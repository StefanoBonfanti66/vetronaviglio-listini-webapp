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X:\Direzione\LISTINI DIREZIONE 2025\"/>
    </mc:Choice>
  </mc:AlternateContent>
  <xr:revisionPtr revIDLastSave="0" documentId="13_ncr:1_{6C118D7A-C81B-4E95-961C-CA3006B2F540}" xr6:coauthVersionLast="47" xr6:coauthVersionMax="47" xr10:uidLastSave="{00000000-0000-0000-0000-000000000000}"/>
  <bookViews>
    <workbookView xWindow="-120" yWindow="-120" windowWidth="29040" windowHeight="15720" activeTab="1" xr2:uid="{0EDFB140-4CFC-4F34-83C1-0CAEAE7AD88E}"/>
  </bookViews>
  <sheets>
    <sheet name="CAP_PESI_LOTTI" sheetId="12" r:id="rId1"/>
    <sheet name="30ML PP NBN" sheetId="1" r:id="rId2"/>
    <sheet name="30ML PP COL " sheetId="2" r:id="rId3"/>
    <sheet name="30ML PE NBN" sheetId="13" r:id="rId4"/>
    <sheet name="30ML PE COL" sheetId="3" r:id="rId5"/>
    <sheet name="50ML PP NBN def" sheetId="4" r:id="rId6"/>
    <sheet name="50ML PP COL" sheetId="5" r:id="rId7"/>
    <sheet name="50ML PE NBN" sheetId="6" r:id="rId8"/>
    <sheet name="50ML PE COL" sheetId="7" r:id="rId9"/>
    <sheet name="75ML PP NBN" sheetId="8" r:id="rId10"/>
    <sheet name="75ML PP COL" sheetId="9" r:id="rId11"/>
    <sheet name="75ML PE NBN" sheetId="10" r:id="rId12"/>
    <sheet name="75ML PE COL" sheetId="11" r:id="rId13"/>
    <sheet name="100ML PP NBN" sheetId="14" r:id="rId14"/>
    <sheet name="100ML PP COL" sheetId="15" r:id="rId15"/>
    <sheet name="100ML PE NBN" sheetId="16" r:id="rId16"/>
    <sheet name="100ML PE COL" sheetId="17" r:id="rId17"/>
    <sheet name="125ML PP NBN" sheetId="18" r:id="rId18"/>
    <sheet name="125ML PP COL" sheetId="19" r:id="rId19"/>
    <sheet name="125ML PE NBN" sheetId="20" r:id="rId20"/>
    <sheet name="125ML PE COL" sheetId="21" r:id="rId21"/>
    <sheet name="150ML PP NBN" sheetId="22" r:id="rId22"/>
    <sheet name="150ML PP COL" sheetId="36" r:id="rId23"/>
    <sheet name="150ML PE NBN" sheetId="24" r:id="rId24"/>
    <sheet name="150ML PE COL" sheetId="25" r:id="rId25"/>
    <sheet name="200ML PP NBN" sheetId="26" r:id="rId26"/>
    <sheet name="200ML PP COL" sheetId="27" r:id="rId27"/>
    <sheet name="200ML PE NBN" sheetId="28" r:id="rId28"/>
    <sheet name="200ML PE COL" sheetId="29" r:id="rId29"/>
    <sheet name="250ML PP NBN" sheetId="30" r:id="rId30"/>
    <sheet name="250ML PP COL" sheetId="31" r:id="rId31"/>
    <sheet name="250ML PE NBN" sheetId="32" r:id="rId32"/>
    <sheet name="250ML PE COL" sheetId="33" r:id="rId33"/>
    <sheet name="300 to 400ML PP NBN" sheetId="34" r:id="rId34"/>
    <sheet name="300 to 400ML PP COL" sheetId="35" r:id="rId35"/>
    <sheet name="300 to 400ML PE NBN" sheetId="37" r:id="rId36"/>
    <sheet name="300 to 400ML PE COL" sheetId="38" r:id="rId37"/>
    <sheet name="500ML PP NBN" sheetId="39" r:id="rId38"/>
    <sheet name="500ML PP COL" sheetId="40" r:id="rId39"/>
    <sheet name="500ML PE NBN" sheetId="41" r:id="rId40"/>
    <sheet name="500ML PE COL" sheetId="42" r:id="rId41"/>
    <sheet name="1000ML PP COL" sheetId="44" r:id="rId42"/>
    <sheet name="1000ML PP NBN" sheetId="43" r:id="rId43"/>
    <sheet name="1000ML PE NBN" sheetId="45" r:id="rId44"/>
    <sheet name="1000ML PE COL" sheetId="46" r:id="rId45"/>
  </sheets>
  <definedNames>
    <definedName name="_xlnm.Print_Area" localSheetId="1">'30ML PP NBN'!$A$1:$AB$37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  <c r="H4" i="1"/>
  <c r="G4" i="1"/>
  <c r="T14" i="46"/>
  <c r="T13" i="46"/>
  <c r="T12" i="46"/>
  <c r="T11" i="46"/>
  <c r="T10" i="46"/>
  <c r="T9" i="46"/>
  <c r="T8" i="46"/>
  <c r="T7" i="46"/>
  <c r="T6" i="46"/>
  <c r="T5" i="46"/>
  <c r="T4" i="46"/>
  <c r="T5" i="45"/>
  <c r="T6" i="45"/>
  <c r="T7" i="45"/>
  <c r="T8" i="45"/>
  <c r="T9" i="45"/>
  <c r="T10" i="45"/>
  <c r="T11" i="45"/>
  <c r="T12" i="45"/>
  <c r="T13" i="45"/>
  <c r="T14" i="45"/>
  <c r="T5" i="43"/>
  <c r="T6" i="43"/>
  <c r="T7" i="43"/>
  <c r="T8" i="43"/>
  <c r="T9" i="43"/>
  <c r="T10" i="43"/>
  <c r="T11" i="43"/>
  <c r="T12" i="43"/>
  <c r="T13" i="43"/>
  <c r="T14" i="43"/>
  <c r="T5" i="44"/>
  <c r="T6" i="44"/>
  <c r="T7" i="44"/>
  <c r="T8" i="44"/>
  <c r="T9" i="44"/>
  <c r="T10" i="44"/>
  <c r="T11" i="44"/>
  <c r="T12" i="44"/>
  <c r="T13" i="44"/>
  <c r="T14" i="44"/>
  <c r="T5" i="42"/>
  <c r="T6" i="42"/>
  <c r="T7" i="42"/>
  <c r="T8" i="42"/>
  <c r="T9" i="42"/>
  <c r="T10" i="42"/>
  <c r="T11" i="42"/>
  <c r="T12" i="42"/>
  <c r="T13" i="42"/>
  <c r="T14" i="42"/>
  <c r="T5" i="41"/>
  <c r="T6" i="41"/>
  <c r="T7" i="41"/>
  <c r="T8" i="41"/>
  <c r="T9" i="41"/>
  <c r="T10" i="41"/>
  <c r="T11" i="41"/>
  <c r="T12" i="41"/>
  <c r="T13" i="41"/>
  <c r="T14" i="41"/>
  <c r="T5" i="40"/>
  <c r="T6" i="40"/>
  <c r="T7" i="40"/>
  <c r="T8" i="40"/>
  <c r="T9" i="40"/>
  <c r="T10" i="40"/>
  <c r="T11" i="40"/>
  <c r="T12" i="40"/>
  <c r="T13" i="40"/>
  <c r="T14" i="40"/>
  <c r="T5" i="39"/>
  <c r="T6" i="39"/>
  <c r="T7" i="39"/>
  <c r="T8" i="39"/>
  <c r="T9" i="39"/>
  <c r="T10" i="39"/>
  <c r="T11" i="39"/>
  <c r="T12" i="39"/>
  <c r="T13" i="39"/>
  <c r="T14" i="39"/>
  <c r="T5" i="38"/>
  <c r="T6" i="38"/>
  <c r="T7" i="38"/>
  <c r="T8" i="38"/>
  <c r="T9" i="38"/>
  <c r="T10" i="38"/>
  <c r="T11" i="38"/>
  <c r="T12" i="38"/>
  <c r="T13" i="38"/>
  <c r="T14" i="38"/>
  <c r="T5" i="37"/>
  <c r="T6" i="37"/>
  <c r="T7" i="37"/>
  <c r="T8" i="37"/>
  <c r="T9" i="37"/>
  <c r="T10" i="37"/>
  <c r="T11" i="37"/>
  <c r="T12" i="37"/>
  <c r="T13" i="37"/>
  <c r="T14" i="37"/>
  <c r="T5" i="35"/>
  <c r="T6" i="35"/>
  <c r="T7" i="35"/>
  <c r="T8" i="35"/>
  <c r="T9" i="35"/>
  <c r="T10" i="35"/>
  <c r="T11" i="35"/>
  <c r="T12" i="35"/>
  <c r="T13" i="35"/>
  <c r="T14" i="35"/>
  <c r="T5" i="34"/>
  <c r="T6" i="34"/>
  <c r="T7" i="34"/>
  <c r="T8" i="34"/>
  <c r="T9" i="34"/>
  <c r="T10" i="34"/>
  <c r="T11" i="34"/>
  <c r="T12" i="34"/>
  <c r="T13" i="34"/>
  <c r="T14" i="34"/>
  <c r="T5" i="33"/>
  <c r="T6" i="33"/>
  <c r="T7" i="33"/>
  <c r="T8" i="33"/>
  <c r="T9" i="33"/>
  <c r="T10" i="33"/>
  <c r="T11" i="33"/>
  <c r="T12" i="33"/>
  <c r="T13" i="33"/>
  <c r="T14" i="33"/>
  <c r="T5" i="32"/>
  <c r="T6" i="32"/>
  <c r="T7" i="32"/>
  <c r="T8" i="32"/>
  <c r="T9" i="32"/>
  <c r="T10" i="32"/>
  <c r="T11" i="32"/>
  <c r="T12" i="32"/>
  <c r="T13" i="32"/>
  <c r="T14" i="32"/>
  <c r="T5" i="31"/>
  <c r="T6" i="31"/>
  <c r="T7" i="31"/>
  <c r="T8" i="31"/>
  <c r="T9" i="31"/>
  <c r="T10" i="31"/>
  <c r="T11" i="31"/>
  <c r="T12" i="31"/>
  <c r="T13" i="31"/>
  <c r="T14" i="31"/>
  <c r="T5" i="30"/>
  <c r="T6" i="30"/>
  <c r="T7" i="30"/>
  <c r="T8" i="30"/>
  <c r="T9" i="30"/>
  <c r="T10" i="30"/>
  <c r="T11" i="30"/>
  <c r="T12" i="30"/>
  <c r="T13" i="30"/>
  <c r="T14" i="30"/>
  <c r="T5" i="29"/>
  <c r="T6" i="29"/>
  <c r="T7" i="29"/>
  <c r="T8" i="29"/>
  <c r="T9" i="29"/>
  <c r="T10" i="29"/>
  <c r="T11" i="29"/>
  <c r="T12" i="29"/>
  <c r="T13" i="29"/>
  <c r="T14" i="29"/>
  <c r="T5" i="28"/>
  <c r="T6" i="28"/>
  <c r="T7" i="28"/>
  <c r="T8" i="28"/>
  <c r="T9" i="28"/>
  <c r="T10" i="28"/>
  <c r="T11" i="28"/>
  <c r="T12" i="28"/>
  <c r="T13" i="28"/>
  <c r="T14" i="28"/>
  <c r="Z5" i="27"/>
  <c r="Z6" i="27"/>
  <c r="Z7" i="27"/>
  <c r="Z8" i="27"/>
  <c r="Z9" i="27"/>
  <c r="Z10" i="27"/>
  <c r="Z11" i="27"/>
  <c r="Z12" i="27"/>
  <c r="Z13" i="27"/>
  <c r="Z14" i="27"/>
  <c r="T5" i="27"/>
  <c r="T6" i="27"/>
  <c r="T7" i="27"/>
  <c r="T8" i="27"/>
  <c r="T9" i="27"/>
  <c r="T10" i="27"/>
  <c r="T11" i="27"/>
  <c r="T12" i="27"/>
  <c r="T13" i="27"/>
  <c r="T14" i="27"/>
  <c r="T5" i="26"/>
  <c r="T6" i="26"/>
  <c r="T7" i="26"/>
  <c r="T8" i="26"/>
  <c r="T9" i="26"/>
  <c r="T10" i="26"/>
  <c r="T11" i="26"/>
  <c r="T12" i="26"/>
  <c r="T13" i="26"/>
  <c r="T14" i="26"/>
  <c r="T5" i="25"/>
  <c r="T6" i="25"/>
  <c r="T7" i="25"/>
  <c r="T8" i="25"/>
  <c r="T9" i="25"/>
  <c r="T10" i="25"/>
  <c r="T11" i="25"/>
  <c r="T12" i="25"/>
  <c r="T13" i="25"/>
  <c r="T14" i="25"/>
  <c r="Z5" i="24"/>
  <c r="Z6" i="24"/>
  <c r="Z7" i="24"/>
  <c r="Z8" i="24"/>
  <c r="Z9" i="24"/>
  <c r="Z10" i="24"/>
  <c r="Z11" i="24"/>
  <c r="Z12" i="24"/>
  <c r="Z13" i="24"/>
  <c r="Z14" i="24"/>
  <c r="T5" i="24"/>
  <c r="T6" i="24"/>
  <c r="T7" i="24"/>
  <c r="T8" i="24"/>
  <c r="T9" i="24"/>
  <c r="T10" i="24"/>
  <c r="T11" i="24"/>
  <c r="T12" i="24"/>
  <c r="T13" i="24"/>
  <c r="T14" i="24"/>
  <c r="T5" i="36"/>
  <c r="T6" i="36"/>
  <c r="T7" i="36"/>
  <c r="T8" i="36"/>
  <c r="T9" i="36"/>
  <c r="T10" i="36"/>
  <c r="T11" i="36"/>
  <c r="T12" i="36"/>
  <c r="T13" i="36"/>
  <c r="T14" i="36"/>
  <c r="Z14" i="22"/>
  <c r="Z13" i="22"/>
  <c r="Z12" i="22"/>
  <c r="Z11" i="22"/>
  <c r="Z10" i="22"/>
  <c r="Z9" i="22"/>
  <c r="Z8" i="22"/>
  <c r="Z7" i="22"/>
  <c r="Z6" i="22"/>
  <c r="Z5" i="22"/>
  <c r="Z4" i="22"/>
  <c r="T5" i="22"/>
  <c r="T6" i="22"/>
  <c r="T7" i="22"/>
  <c r="T8" i="22"/>
  <c r="T9" i="22"/>
  <c r="T10" i="22"/>
  <c r="T11" i="22"/>
  <c r="T12" i="22"/>
  <c r="T13" i="22"/>
  <c r="T14" i="22"/>
  <c r="T5" i="21"/>
  <c r="T6" i="21"/>
  <c r="T7" i="21"/>
  <c r="T8" i="21"/>
  <c r="T9" i="21"/>
  <c r="T10" i="21"/>
  <c r="T11" i="21"/>
  <c r="T12" i="21"/>
  <c r="T13" i="21"/>
  <c r="T14" i="21"/>
  <c r="Z14" i="21"/>
  <c r="Z13" i="21"/>
  <c r="Z12" i="21"/>
  <c r="Z11" i="21"/>
  <c r="Z10" i="21"/>
  <c r="Z9" i="21"/>
  <c r="Z8" i="21"/>
  <c r="Z7" i="21"/>
  <c r="Z6" i="21"/>
  <c r="Z5" i="21"/>
  <c r="Z4" i="21"/>
  <c r="Z5" i="20"/>
  <c r="Z6" i="20"/>
  <c r="Z7" i="20"/>
  <c r="Z8" i="20"/>
  <c r="Z9" i="20"/>
  <c r="Z10" i="20"/>
  <c r="Z11" i="20"/>
  <c r="Z12" i="20"/>
  <c r="Z13" i="20"/>
  <c r="Z14" i="20"/>
  <c r="Z4" i="20"/>
  <c r="T5" i="20"/>
  <c r="T6" i="20"/>
  <c r="T7" i="20"/>
  <c r="T8" i="20"/>
  <c r="T9" i="20"/>
  <c r="T10" i="20"/>
  <c r="T11" i="20"/>
  <c r="T12" i="20"/>
  <c r="T13" i="20"/>
  <c r="T14" i="20"/>
  <c r="Z5" i="19"/>
  <c r="Z6" i="19"/>
  <c r="Z7" i="19"/>
  <c r="Z8" i="19"/>
  <c r="Z9" i="19"/>
  <c r="Z10" i="19"/>
  <c r="Z11" i="19"/>
  <c r="Z12" i="19"/>
  <c r="Z13" i="19"/>
  <c r="Z14" i="19"/>
  <c r="T5" i="19"/>
  <c r="T6" i="19"/>
  <c r="T7" i="19"/>
  <c r="T8" i="19"/>
  <c r="T9" i="19"/>
  <c r="T10" i="19"/>
  <c r="T11" i="19"/>
  <c r="T12" i="19"/>
  <c r="T13" i="19"/>
  <c r="T14" i="19"/>
  <c r="T5" i="18"/>
  <c r="T6" i="18"/>
  <c r="T7" i="18"/>
  <c r="T8" i="18"/>
  <c r="T9" i="18"/>
  <c r="T10" i="18"/>
  <c r="T11" i="18"/>
  <c r="T12" i="18"/>
  <c r="T13" i="18"/>
  <c r="T14" i="18"/>
  <c r="T5" i="17"/>
  <c r="T6" i="17"/>
  <c r="T7" i="17"/>
  <c r="T8" i="17"/>
  <c r="T9" i="17"/>
  <c r="T10" i="17"/>
  <c r="T11" i="17"/>
  <c r="T12" i="17"/>
  <c r="T13" i="17"/>
  <c r="T14" i="17"/>
  <c r="T5" i="16"/>
  <c r="T6" i="16"/>
  <c r="T7" i="16"/>
  <c r="T8" i="16"/>
  <c r="T9" i="16"/>
  <c r="T10" i="16"/>
  <c r="T11" i="16"/>
  <c r="T12" i="16"/>
  <c r="T13" i="16"/>
  <c r="T14" i="16"/>
  <c r="T5" i="15"/>
  <c r="T6" i="15"/>
  <c r="T7" i="15"/>
  <c r="T8" i="15"/>
  <c r="T9" i="15"/>
  <c r="T10" i="15"/>
  <c r="T11" i="15"/>
  <c r="T12" i="15"/>
  <c r="T13" i="15"/>
  <c r="T14" i="15"/>
  <c r="T5" i="14"/>
  <c r="T6" i="14"/>
  <c r="T7" i="14"/>
  <c r="T8" i="14"/>
  <c r="T9" i="14"/>
  <c r="T10" i="14"/>
  <c r="T11" i="14"/>
  <c r="T12" i="14"/>
  <c r="T13" i="14"/>
  <c r="T14" i="14"/>
  <c r="T5" i="11"/>
  <c r="T6" i="11"/>
  <c r="T7" i="11"/>
  <c r="T8" i="11"/>
  <c r="T9" i="11"/>
  <c r="T10" i="11"/>
  <c r="T11" i="11"/>
  <c r="T12" i="11"/>
  <c r="T13" i="11"/>
  <c r="T14" i="11"/>
  <c r="T5" i="10"/>
  <c r="T6" i="10"/>
  <c r="T7" i="10"/>
  <c r="T8" i="10"/>
  <c r="T9" i="10"/>
  <c r="T10" i="10"/>
  <c r="T11" i="10"/>
  <c r="T12" i="10"/>
  <c r="T13" i="10"/>
  <c r="T14" i="10"/>
  <c r="T5" i="9"/>
  <c r="T6" i="9"/>
  <c r="T7" i="9"/>
  <c r="T8" i="9"/>
  <c r="T9" i="9"/>
  <c r="T10" i="9"/>
  <c r="T11" i="9"/>
  <c r="T12" i="9"/>
  <c r="T13" i="9"/>
  <c r="T14" i="9"/>
  <c r="T5" i="8"/>
  <c r="T6" i="8"/>
  <c r="T7" i="8"/>
  <c r="T8" i="8"/>
  <c r="T9" i="8"/>
  <c r="T10" i="8"/>
  <c r="T11" i="8"/>
  <c r="T12" i="8"/>
  <c r="T13" i="8"/>
  <c r="T14" i="8"/>
  <c r="T5" i="7"/>
  <c r="T6" i="7"/>
  <c r="T7" i="7"/>
  <c r="T8" i="7"/>
  <c r="T9" i="7"/>
  <c r="T10" i="7"/>
  <c r="T11" i="7"/>
  <c r="T12" i="7"/>
  <c r="T13" i="7"/>
  <c r="T14" i="7"/>
  <c r="T5" i="6"/>
  <c r="T6" i="6"/>
  <c r="T7" i="6"/>
  <c r="T8" i="6"/>
  <c r="T9" i="6"/>
  <c r="T10" i="6"/>
  <c r="T11" i="6"/>
  <c r="T12" i="6"/>
  <c r="T13" i="6"/>
  <c r="T14" i="6"/>
  <c r="T5" i="5"/>
  <c r="T6" i="5"/>
  <c r="T7" i="5"/>
  <c r="T8" i="5"/>
  <c r="T9" i="5"/>
  <c r="T10" i="5"/>
  <c r="T11" i="5"/>
  <c r="T12" i="5"/>
  <c r="T13" i="5"/>
  <c r="T14" i="5"/>
  <c r="T5" i="3"/>
  <c r="T6" i="3"/>
  <c r="T7" i="3"/>
  <c r="T8" i="3"/>
  <c r="T9" i="3"/>
  <c r="T10" i="3"/>
  <c r="T11" i="3"/>
  <c r="T12" i="3"/>
  <c r="T13" i="3"/>
  <c r="T14" i="3"/>
  <c r="T14" i="13"/>
  <c r="T13" i="13"/>
  <c r="T12" i="13"/>
  <c r="T11" i="13"/>
  <c r="T10" i="13"/>
  <c r="T9" i="13"/>
  <c r="T8" i="13"/>
  <c r="T7" i="13"/>
  <c r="T6" i="13"/>
  <c r="T5" i="13"/>
  <c r="T14" i="2"/>
  <c r="T13" i="2"/>
  <c r="T12" i="2"/>
  <c r="T11" i="2"/>
  <c r="T10" i="2"/>
  <c r="T9" i="2"/>
  <c r="T8" i="2"/>
  <c r="T7" i="2"/>
  <c r="T6" i="2"/>
  <c r="T5" i="2"/>
  <c r="T14" i="1"/>
  <c r="T13" i="1"/>
  <c r="T12" i="1"/>
  <c r="T11" i="1"/>
  <c r="T10" i="1"/>
  <c r="T9" i="1"/>
  <c r="T8" i="1"/>
  <c r="T7" i="1"/>
  <c r="T6" i="1"/>
  <c r="T4" i="1"/>
  <c r="T5" i="1"/>
  <c r="Z5" i="1"/>
  <c r="X4" i="1"/>
  <c r="Z14" i="46"/>
  <c r="Z13" i="46"/>
  <c r="Z12" i="46"/>
  <c r="Z11" i="46"/>
  <c r="Z10" i="46"/>
  <c r="Z9" i="46"/>
  <c r="Z8" i="46"/>
  <c r="Z7" i="46"/>
  <c r="Z6" i="46"/>
  <c r="Z5" i="46"/>
  <c r="Z4" i="46"/>
  <c r="R6" i="20"/>
  <c r="U6" i="20"/>
  <c r="G4" i="35"/>
  <c r="H4" i="35"/>
  <c r="M4" i="35"/>
  <c r="N4" i="35"/>
  <c r="P4" i="35" s="1"/>
  <c r="O4" i="35"/>
  <c r="Q4" i="35" s="1"/>
  <c r="S4" i="35"/>
  <c r="V4" i="35"/>
  <c r="Y4" i="35"/>
  <c r="G5" i="35"/>
  <c r="H5" i="35"/>
  <c r="M5" i="35"/>
  <c r="N5" i="35"/>
  <c r="P5" i="35" s="1"/>
  <c r="O5" i="35"/>
  <c r="Q5" i="35" s="1"/>
  <c r="S5" i="35"/>
  <c r="V5" i="35"/>
  <c r="Y5" i="35"/>
  <c r="G6" i="35"/>
  <c r="H6" i="35"/>
  <c r="M6" i="35"/>
  <c r="N6" i="35"/>
  <c r="P6" i="35" s="1"/>
  <c r="W6" i="35" s="1"/>
  <c r="O6" i="35"/>
  <c r="S6" i="35"/>
  <c r="V6" i="35"/>
  <c r="Y6" i="35"/>
  <c r="G7" i="35"/>
  <c r="H7" i="35"/>
  <c r="M7" i="35"/>
  <c r="N7" i="35"/>
  <c r="P7" i="35" s="1"/>
  <c r="O7" i="35"/>
  <c r="Q7" i="35" s="1"/>
  <c r="S7" i="35"/>
  <c r="V7" i="35"/>
  <c r="Y7" i="35"/>
  <c r="G8" i="35"/>
  <c r="H8" i="35"/>
  <c r="M8" i="35"/>
  <c r="N8" i="35"/>
  <c r="O8" i="35"/>
  <c r="P8" i="35"/>
  <c r="Q8" i="35"/>
  <c r="S8" i="35"/>
  <c r="V8" i="35"/>
  <c r="W8" i="35" s="1"/>
  <c r="Y8" i="35"/>
  <c r="G9" i="35"/>
  <c r="H9" i="35"/>
  <c r="M9" i="35"/>
  <c r="N9" i="35"/>
  <c r="P9" i="35" s="1"/>
  <c r="O9" i="35"/>
  <c r="S9" i="35"/>
  <c r="V9" i="35"/>
  <c r="Y9" i="35"/>
  <c r="G10" i="35"/>
  <c r="H10" i="35"/>
  <c r="M10" i="35"/>
  <c r="N10" i="35"/>
  <c r="P10" i="35" s="1"/>
  <c r="W10" i="35" s="1"/>
  <c r="O10" i="35"/>
  <c r="S10" i="35"/>
  <c r="V10" i="35"/>
  <c r="Y10" i="35"/>
  <c r="G11" i="35"/>
  <c r="H11" i="35" s="1"/>
  <c r="M11" i="35"/>
  <c r="N11" i="35"/>
  <c r="O11" i="35"/>
  <c r="P11" i="35"/>
  <c r="Q11" i="35"/>
  <c r="S11" i="35"/>
  <c r="V11" i="35"/>
  <c r="Y11" i="35"/>
  <c r="G12" i="35"/>
  <c r="H12" i="35"/>
  <c r="M12" i="35"/>
  <c r="N12" i="35"/>
  <c r="P12" i="35" s="1"/>
  <c r="O12" i="35"/>
  <c r="S12" i="35"/>
  <c r="V12" i="35"/>
  <c r="Y12" i="35"/>
  <c r="G13" i="35"/>
  <c r="H13" i="35" s="1"/>
  <c r="M13" i="35"/>
  <c r="N13" i="35"/>
  <c r="O13" i="35"/>
  <c r="P13" i="35"/>
  <c r="Q13" i="35"/>
  <c r="S13" i="35"/>
  <c r="V13" i="35"/>
  <c r="W13" i="35"/>
  <c r="Y13" i="35"/>
  <c r="G14" i="35"/>
  <c r="H14" i="35"/>
  <c r="M14" i="35"/>
  <c r="N14" i="35"/>
  <c r="O14" i="35"/>
  <c r="P14" i="35"/>
  <c r="S14" i="35"/>
  <c r="V14" i="35"/>
  <c r="Y14" i="35"/>
  <c r="G4" i="37"/>
  <c r="H4" i="37" s="1"/>
  <c r="M4" i="37"/>
  <c r="N4" i="37"/>
  <c r="O4" i="37"/>
  <c r="P4" i="37"/>
  <c r="Q4" i="37"/>
  <c r="S4" i="37"/>
  <c r="V4" i="37"/>
  <c r="W4" i="37" s="1"/>
  <c r="Y4" i="37"/>
  <c r="G5" i="37"/>
  <c r="H5" i="37"/>
  <c r="M5" i="37"/>
  <c r="N5" i="37"/>
  <c r="P5" i="37" s="1"/>
  <c r="O5" i="37"/>
  <c r="S5" i="37"/>
  <c r="V5" i="37"/>
  <c r="Y5" i="37"/>
  <c r="G6" i="37"/>
  <c r="H6" i="37" s="1"/>
  <c r="M6" i="37"/>
  <c r="N6" i="37"/>
  <c r="O6" i="37"/>
  <c r="P6" i="37"/>
  <c r="Q6" i="37"/>
  <c r="S6" i="37"/>
  <c r="V6" i="37"/>
  <c r="Y6" i="37"/>
  <c r="G7" i="37"/>
  <c r="H7" i="37" s="1"/>
  <c r="M7" i="37"/>
  <c r="N7" i="37"/>
  <c r="O7" i="37"/>
  <c r="P7" i="37"/>
  <c r="Q7" i="37"/>
  <c r="S7" i="37"/>
  <c r="V7" i="37"/>
  <c r="Y7" i="37"/>
  <c r="G8" i="37"/>
  <c r="H8" i="37"/>
  <c r="M8" i="37"/>
  <c r="N8" i="37"/>
  <c r="O8" i="37"/>
  <c r="P8" i="37"/>
  <c r="S8" i="37"/>
  <c r="V8" i="37"/>
  <c r="Y8" i="37"/>
  <c r="G9" i="37"/>
  <c r="H9" i="37"/>
  <c r="M9" i="37"/>
  <c r="N9" i="37"/>
  <c r="P9" i="37" s="1"/>
  <c r="O9" i="37"/>
  <c r="S9" i="37"/>
  <c r="V9" i="37"/>
  <c r="Y9" i="37"/>
  <c r="G10" i="37"/>
  <c r="H10" i="37" s="1"/>
  <c r="M10" i="37"/>
  <c r="N10" i="37"/>
  <c r="P10" i="37" s="1"/>
  <c r="O10" i="37"/>
  <c r="S10" i="37"/>
  <c r="V10" i="37"/>
  <c r="Y10" i="37"/>
  <c r="G11" i="37"/>
  <c r="H11" i="37"/>
  <c r="M11" i="37"/>
  <c r="N11" i="37"/>
  <c r="P11" i="37" s="1"/>
  <c r="O11" i="37"/>
  <c r="Q11" i="37" s="1"/>
  <c r="S11" i="37"/>
  <c r="V11" i="37"/>
  <c r="Y11" i="37"/>
  <c r="G12" i="37"/>
  <c r="H12" i="37" s="1"/>
  <c r="M12" i="37"/>
  <c r="N12" i="37"/>
  <c r="P12" i="37" s="1"/>
  <c r="O12" i="37"/>
  <c r="S12" i="37"/>
  <c r="V12" i="37"/>
  <c r="Y12" i="37"/>
  <c r="G13" i="37"/>
  <c r="H13" i="37" s="1"/>
  <c r="M13" i="37"/>
  <c r="N13" i="37"/>
  <c r="O13" i="37"/>
  <c r="P13" i="37"/>
  <c r="Q13" i="37"/>
  <c r="S13" i="37"/>
  <c r="V13" i="37"/>
  <c r="Y13" i="37"/>
  <c r="Y14" i="3"/>
  <c r="V14" i="3"/>
  <c r="W14" i="3" s="1"/>
  <c r="S14" i="3"/>
  <c r="O14" i="3"/>
  <c r="Q14" i="3" s="1"/>
  <c r="R14" i="3" s="1"/>
  <c r="N14" i="3"/>
  <c r="P14" i="3" s="1"/>
  <c r="M14" i="3"/>
  <c r="K14" i="3"/>
  <c r="L14" i="3" s="1"/>
  <c r="J14" i="3"/>
  <c r="Y13" i="3"/>
  <c r="V13" i="3"/>
  <c r="S13" i="3"/>
  <c r="O13" i="3"/>
  <c r="N13" i="3"/>
  <c r="P13" i="3" s="1"/>
  <c r="Q13" i="3" s="1"/>
  <c r="M13" i="3"/>
  <c r="K13" i="3"/>
  <c r="L13" i="3" s="1"/>
  <c r="J13" i="3"/>
  <c r="Y12" i="3"/>
  <c r="V12" i="3"/>
  <c r="W12" i="3" s="1"/>
  <c r="S12" i="3"/>
  <c r="O12" i="3"/>
  <c r="Q12" i="3" s="1"/>
  <c r="R12" i="3" s="1"/>
  <c r="U12" i="3" s="1"/>
  <c r="AC12" i="3" s="1"/>
  <c r="N12" i="3"/>
  <c r="P12" i="3" s="1"/>
  <c r="M12" i="3"/>
  <c r="K12" i="3"/>
  <c r="L12" i="3" s="1"/>
  <c r="J12" i="3"/>
  <c r="Y11" i="3"/>
  <c r="V11" i="3"/>
  <c r="S11" i="3"/>
  <c r="O11" i="3"/>
  <c r="N11" i="3"/>
  <c r="P11" i="3" s="1"/>
  <c r="M11" i="3"/>
  <c r="K11" i="3"/>
  <c r="L11" i="3" s="1"/>
  <c r="J11" i="3"/>
  <c r="Y10" i="3"/>
  <c r="V10" i="3"/>
  <c r="W10" i="3" s="1"/>
  <c r="S10" i="3"/>
  <c r="O10" i="3"/>
  <c r="Q10" i="3" s="1"/>
  <c r="R10" i="3" s="1"/>
  <c r="N10" i="3"/>
  <c r="P10" i="3" s="1"/>
  <c r="M10" i="3"/>
  <c r="K10" i="3"/>
  <c r="L10" i="3" s="1"/>
  <c r="J10" i="3"/>
  <c r="Y9" i="3"/>
  <c r="V9" i="3"/>
  <c r="S9" i="3"/>
  <c r="O9" i="3"/>
  <c r="N9" i="3"/>
  <c r="P9" i="3" s="1"/>
  <c r="Q9" i="3" s="1"/>
  <c r="M9" i="3"/>
  <c r="K9" i="3"/>
  <c r="L9" i="3" s="1"/>
  <c r="J9" i="3"/>
  <c r="Y8" i="3"/>
  <c r="V8" i="3"/>
  <c r="W8" i="3" s="1"/>
  <c r="S8" i="3"/>
  <c r="O8" i="3"/>
  <c r="Q8" i="3" s="1"/>
  <c r="R8" i="3" s="1"/>
  <c r="U8" i="3" s="1"/>
  <c r="AC8" i="3" s="1"/>
  <c r="N8" i="3"/>
  <c r="P8" i="3" s="1"/>
  <c r="M8" i="3"/>
  <c r="K8" i="3"/>
  <c r="L8" i="3" s="1"/>
  <c r="J8" i="3"/>
  <c r="Y7" i="3"/>
  <c r="V7" i="3"/>
  <c r="S7" i="3"/>
  <c r="O7" i="3"/>
  <c r="N7" i="3"/>
  <c r="P7" i="3" s="1"/>
  <c r="M7" i="3"/>
  <c r="K7" i="3"/>
  <c r="L7" i="3" s="1"/>
  <c r="J7" i="3"/>
  <c r="Y6" i="3"/>
  <c r="V6" i="3"/>
  <c r="W6" i="3" s="1"/>
  <c r="S6" i="3"/>
  <c r="O6" i="3"/>
  <c r="Q6" i="3" s="1"/>
  <c r="R6" i="3" s="1"/>
  <c r="U6" i="3" s="1"/>
  <c r="AC6" i="3" s="1"/>
  <c r="N6" i="3"/>
  <c r="P6" i="3" s="1"/>
  <c r="M6" i="3"/>
  <c r="K6" i="3"/>
  <c r="L6" i="3" s="1"/>
  <c r="J6" i="3"/>
  <c r="Y5" i="3"/>
  <c r="V5" i="3"/>
  <c r="S5" i="3"/>
  <c r="O5" i="3"/>
  <c r="N5" i="3"/>
  <c r="P5" i="3" s="1"/>
  <c r="Q5" i="3" s="1"/>
  <c r="M5" i="3"/>
  <c r="K5" i="3"/>
  <c r="L5" i="3" s="1"/>
  <c r="J5" i="3"/>
  <c r="Y4" i="3"/>
  <c r="V4" i="3"/>
  <c r="W4" i="3" s="1"/>
  <c r="S4" i="3"/>
  <c r="O4" i="3"/>
  <c r="Q4" i="3" s="1"/>
  <c r="R4" i="3" s="1"/>
  <c r="T4" i="3" s="1"/>
  <c r="U4" i="3" s="1"/>
  <c r="AC4" i="3" s="1"/>
  <c r="N4" i="3"/>
  <c r="P4" i="3" s="1"/>
  <c r="M4" i="3"/>
  <c r="K4" i="3"/>
  <c r="L4" i="3" s="1"/>
  <c r="J4" i="3"/>
  <c r="Y14" i="13"/>
  <c r="V14" i="13"/>
  <c r="S14" i="13"/>
  <c r="O14" i="13"/>
  <c r="N14" i="13"/>
  <c r="P14" i="13" s="1"/>
  <c r="M14" i="13"/>
  <c r="K14" i="13"/>
  <c r="L14" i="13" s="1"/>
  <c r="J14" i="13"/>
  <c r="Y13" i="13"/>
  <c r="V13" i="13"/>
  <c r="W13" i="13" s="1"/>
  <c r="X13" i="13" s="1"/>
  <c r="Z13" i="13" s="1"/>
  <c r="AA13" i="13" s="1"/>
  <c r="AD13" i="13" s="1"/>
  <c r="S13" i="13"/>
  <c r="O13" i="13"/>
  <c r="N13" i="13"/>
  <c r="P13" i="13" s="1"/>
  <c r="M13" i="13"/>
  <c r="K13" i="13"/>
  <c r="L13" i="13" s="1"/>
  <c r="J13" i="13"/>
  <c r="Y12" i="13"/>
  <c r="V12" i="13"/>
  <c r="W12" i="13" s="1"/>
  <c r="X12" i="13" s="1"/>
  <c r="Z12" i="13" s="1"/>
  <c r="AA12" i="13" s="1"/>
  <c r="AD12" i="13" s="1"/>
  <c r="S12" i="13"/>
  <c r="O12" i="13"/>
  <c r="N12" i="13"/>
  <c r="P12" i="13" s="1"/>
  <c r="M12" i="13"/>
  <c r="K12" i="13"/>
  <c r="L12" i="13" s="1"/>
  <c r="J12" i="13"/>
  <c r="Y11" i="13"/>
  <c r="V11" i="13"/>
  <c r="S11" i="13"/>
  <c r="O11" i="13"/>
  <c r="N11" i="13"/>
  <c r="P11" i="13" s="1"/>
  <c r="M11" i="13"/>
  <c r="K11" i="13"/>
  <c r="L11" i="13" s="1"/>
  <c r="J11" i="13"/>
  <c r="Y10" i="13"/>
  <c r="V10" i="13"/>
  <c r="S10" i="13"/>
  <c r="O10" i="13"/>
  <c r="N10" i="13"/>
  <c r="P10" i="13" s="1"/>
  <c r="M10" i="13"/>
  <c r="K10" i="13"/>
  <c r="L10" i="13" s="1"/>
  <c r="J10" i="13"/>
  <c r="Y9" i="13"/>
  <c r="V9" i="13"/>
  <c r="W9" i="13" s="1"/>
  <c r="X9" i="13" s="1"/>
  <c r="Z9" i="13" s="1"/>
  <c r="AA9" i="13" s="1"/>
  <c r="AD9" i="13" s="1"/>
  <c r="S9" i="13"/>
  <c r="O9" i="13"/>
  <c r="N9" i="13"/>
  <c r="P9" i="13" s="1"/>
  <c r="M9" i="13"/>
  <c r="K9" i="13"/>
  <c r="L9" i="13" s="1"/>
  <c r="J9" i="13"/>
  <c r="Y8" i="13"/>
  <c r="V8" i="13"/>
  <c r="W8" i="13" s="1"/>
  <c r="X8" i="13" s="1"/>
  <c r="Z8" i="13" s="1"/>
  <c r="AA8" i="13" s="1"/>
  <c r="AD8" i="13" s="1"/>
  <c r="S8" i="13"/>
  <c r="O8" i="13"/>
  <c r="N8" i="13"/>
  <c r="P8" i="13" s="1"/>
  <c r="M8" i="13"/>
  <c r="K8" i="13"/>
  <c r="L8" i="13" s="1"/>
  <c r="J8" i="13"/>
  <c r="Y7" i="13"/>
  <c r="V7" i="13"/>
  <c r="S7" i="13"/>
  <c r="O7" i="13"/>
  <c r="N7" i="13"/>
  <c r="P7" i="13" s="1"/>
  <c r="M7" i="13"/>
  <c r="K7" i="13"/>
  <c r="L7" i="13" s="1"/>
  <c r="J7" i="13"/>
  <c r="Y6" i="13"/>
  <c r="V6" i="13"/>
  <c r="S6" i="13"/>
  <c r="O6" i="13"/>
  <c r="N6" i="13"/>
  <c r="P6" i="13" s="1"/>
  <c r="M6" i="13"/>
  <c r="K6" i="13"/>
  <c r="L6" i="13" s="1"/>
  <c r="J6" i="13"/>
  <c r="Y5" i="13"/>
  <c r="V5" i="13"/>
  <c r="W5" i="13" s="1"/>
  <c r="X5" i="13" s="1"/>
  <c r="Z5" i="13" s="1"/>
  <c r="AA5" i="13" s="1"/>
  <c r="AD5" i="13" s="1"/>
  <c r="S5" i="13"/>
  <c r="O5" i="13"/>
  <c r="N5" i="13"/>
  <c r="P5" i="13" s="1"/>
  <c r="M5" i="13"/>
  <c r="K5" i="13"/>
  <c r="L5" i="13" s="1"/>
  <c r="J5" i="13"/>
  <c r="Y4" i="13"/>
  <c r="V4" i="13"/>
  <c r="W4" i="13" s="1"/>
  <c r="S4" i="13"/>
  <c r="O4" i="13"/>
  <c r="N4" i="13"/>
  <c r="P4" i="13" s="1"/>
  <c r="M4" i="13"/>
  <c r="K4" i="13"/>
  <c r="L4" i="13" s="1"/>
  <c r="J4" i="13"/>
  <c r="Y14" i="2"/>
  <c r="V14" i="2"/>
  <c r="W14" i="2" s="1"/>
  <c r="S14" i="2"/>
  <c r="O14" i="2"/>
  <c r="Q14" i="2" s="1"/>
  <c r="R14" i="2" s="1"/>
  <c r="U14" i="2" s="1"/>
  <c r="AC14" i="2" s="1"/>
  <c r="N14" i="2"/>
  <c r="P14" i="2" s="1"/>
  <c r="M14" i="2"/>
  <c r="K14" i="2"/>
  <c r="L14" i="2" s="1"/>
  <c r="J14" i="2"/>
  <c r="Y13" i="2"/>
  <c r="V13" i="2"/>
  <c r="S13" i="2"/>
  <c r="O13" i="2"/>
  <c r="N13" i="2"/>
  <c r="P13" i="2" s="1"/>
  <c r="M13" i="2"/>
  <c r="K13" i="2"/>
  <c r="L13" i="2" s="1"/>
  <c r="J13" i="2"/>
  <c r="Y12" i="2"/>
  <c r="V12" i="2"/>
  <c r="W12" i="2" s="1"/>
  <c r="X12" i="2" s="1"/>
  <c r="Z12" i="2" s="1"/>
  <c r="AA12" i="2" s="1"/>
  <c r="AD12" i="2" s="1"/>
  <c r="S12" i="2"/>
  <c r="O12" i="2"/>
  <c r="N12" i="2"/>
  <c r="P12" i="2" s="1"/>
  <c r="M12" i="2"/>
  <c r="K12" i="2"/>
  <c r="L12" i="2" s="1"/>
  <c r="J12" i="2"/>
  <c r="Y11" i="2"/>
  <c r="V11" i="2"/>
  <c r="W11" i="2" s="1"/>
  <c r="X11" i="2" s="1"/>
  <c r="Z11" i="2" s="1"/>
  <c r="AA11" i="2" s="1"/>
  <c r="AD11" i="2" s="1"/>
  <c r="S11" i="2"/>
  <c r="O11" i="2"/>
  <c r="Q11" i="2" s="1"/>
  <c r="R11" i="2" s="1"/>
  <c r="U11" i="2" s="1"/>
  <c r="AC11" i="2" s="1"/>
  <c r="N11" i="2"/>
  <c r="P11" i="2" s="1"/>
  <c r="M11" i="2"/>
  <c r="K11" i="2"/>
  <c r="L11" i="2" s="1"/>
  <c r="J11" i="2"/>
  <c r="Y10" i="2"/>
  <c r="V10" i="2"/>
  <c r="S10" i="2"/>
  <c r="O10" i="2"/>
  <c r="N10" i="2"/>
  <c r="P10" i="2" s="1"/>
  <c r="M10" i="2"/>
  <c r="K10" i="2"/>
  <c r="L10" i="2" s="1"/>
  <c r="J10" i="2"/>
  <c r="Y9" i="2"/>
  <c r="V9" i="2"/>
  <c r="W9" i="2" s="1"/>
  <c r="X9" i="2" s="1"/>
  <c r="Z9" i="2" s="1"/>
  <c r="AA9" i="2" s="1"/>
  <c r="AD9" i="2" s="1"/>
  <c r="S9" i="2"/>
  <c r="O9" i="2"/>
  <c r="N9" i="2"/>
  <c r="P9" i="2" s="1"/>
  <c r="M9" i="2"/>
  <c r="K9" i="2"/>
  <c r="L9" i="2" s="1"/>
  <c r="J9" i="2"/>
  <c r="Y8" i="2"/>
  <c r="V8" i="2"/>
  <c r="W8" i="2" s="1"/>
  <c r="X8" i="2" s="1"/>
  <c r="Z8" i="2" s="1"/>
  <c r="AA8" i="2" s="1"/>
  <c r="AD8" i="2" s="1"/>
  <c r="S8" i="2"/>
  <c r="O8" i="2"/>
  <c r="N8" i="2"/>
  <c r="P8" i="2" s="1"/>
  <c r="M8" i="2"/>
  <c r="K8" i="2"/>
  <c r="L8" i="2" s="1"/>
  <c r="J8" i="2"/>
  <c r="Y7" i="2"/>
  <c r="V7" i="2"/>
  <c r="W7" i="2" s="1"/>
  <c r="S7" i="2"/>
  <c r="O7" i="2"/>
  <c r="Q7" i="2" s="1"/>
  <c r="N7" i="2"/>
  <c r="P7" i="2" s="1"/>
  <c r="M7" i="2"/>
  <c r="K7" i="2"/>
  <c r="L7" i="2" s="1"/>
  <c r="J7" i="2"/>
  <c r="Y6" i="2"/>
  <c r="V6" i="2"/>
  <c r="S6" i="2"/>
  <c r="O6" i="2"/>
  <c r="N6" i="2"/>
  <c r="P6" i="2" s="1"/>
  <c r="M6" i="2"/>
  <c r="K6" i="2"/>
  <c r="L6" i="2" s="1"/>
  <c r="J6" i="2"/>
  <c r="Y5" i="2"/>
  <c r="V5" i="2"/>
  <c r="W5" i="2" s="1"/>
  <c r="S5" i="2"/>
  <c r="O5" i="2"/>
  <c r="N5" i="2"/>
  <c r="P5" i="2" s="1"/>
  <c r="M5" i="2"/>
  <c r="K5" i="2"/>
  <c r="L5" i="2" s="1"/>
  <c r="J5" i="2"/>
  <c r="Y4" i="2"/>
  <c r="V4" i="2"/>
  <c r="W4" i="2" s="1"/>
  <c r="X4" i="2" s="1"/>
  <c r="Z4" i="2" s="1"/>
  <c r="AA4" i="2" s="1"/>
  <c r="AD4" i="2" s="1"/>
  <c r="S4" i="2"/>
  <c r="O4" i="2"/>
  <c r="N4" i="2"/>
  <c r="P4" i="2" s="1"/>
  <c r="M4" i="2"/>
  <c r="K4" i="2"/>
  <c r="L4" i="2" s="1"/>
  <c r="J4" i="2"/>
  <c r="Y14" i="1"/>
  <c r="V14" i="1"/>
  <c r="W14" i="1" s="1"/>
  <c r="X14" i="1" s="1"/>
  <c r="Z14" i="1" s="1"/>
  <c r="AA14" i="1" s="1"/>
  <c r="AD14" i="1" s="1"/>
  <c r="S14" i="1"/>
  <c r="O14" i="1"/>
  <c r="Q14" i="1" s="1"/>
  <c r="R14" i="1" s="1"/>
  <c r="N14" i="1"/>
  <c r="P14" i="1" s="1"/>
  <c r="M14" i="1"/>
  <c r="K14" i="1"/>
  <c r="L14" i="1" s="1"/>
  <c r="J14" i="1"/>
  <c r="Y13" i="1"/>
  <c r="V13" i="1"/>
  <c r="S13" i="1"/>
  <c r="O13" i="1"/>
  <c r="N13" i="1"/>
  <c r="P13" i="1" s="1"/>
  <c r="M13" i="1"/>
  <c r="K13" i="1"/>
  <c r="L13" i="1" s="1"/>
  <c r="J13" i="1"/>
  <c r="Y12" i="1"/>
  <c r="V12" i="1"/>
  <c r="W12" i="1" s="1"/>
  <c r="X12" i="1" s="1"/>
  <c r="Z12" i="1" s="1"/>
  <c r="AA12" i="1" s="1"/>
  <c r="AD12" i="1" s="1"/>
  <c r="S12" i="1"/>
  <c r="O12" i="1"/>
  <c r="Q12" i="1" s="1"/>
  <c r="R12" i="1" s="1"/>
  <c r="N12" i="1"/>
  <c r="P12" i="1" s="1"/>
  <c r="M12" i="1"/>
  <c r="K12" i="1"/>
  <c r="L12" i="1" s="1"/>
  <c r="J12" i="1"/>
  <c r="Y11" i="1"/>
  <c r="V11" i="1"/>
  <c r="S11" i="1"/>
  <c r="O11" i="1"/>
  <c r="N11" i="1"/>
  <c r="P11" i="1" s="1"/>
  <c r="M11" i="1"/>
  <c r="K11" i="1"/>
  <c r="L11" i="1" s="1"/>
  <c r="J11" i="1"/>
  <c r="Y10" i="1"/>
  <c r="V10" i="1"/>
  <c r="W10" i="1" s="1"/>
  <c r="X10" i="1" s="1"/>
  <c r="Z10" i="1" s="1"/>
  <c r="AA10" i="1" s="1"/>
  <c r="AD10" i="1" s="1"/>
  <c r="S10" i="1"/>
  <c r="O10" i="1"/>
  <c r="Q10" i="1" s="1"/>
  <c r="R10" i="1" s="1"/>
  <c r="N10" i="1"/>
  <c r="P10" i="1" s="1"/>
  <c r="M10" i="1"/>
  <c r="K10" i="1"/>
  <c r="L10" i="1" s="1"/>
  <c r="J10" i="1"/>
  <c r="Y9" i="1"/>
  <c r="V9" i="1"/>
  <c r="S9" i="1"/>
  <c r="O9" i="1"/>
  <c r="N9" i="1"/>
  <c r="P9" i="1" s="1"/>
  <c r="M9" i="1"/>
  <c r="K9" i="1"/>
  <c r="L9" i="1" s="1"/>
  <c r="J9" i="1"/>
  <c r="Y8" i="1"/>
  <c r="V8" i="1"/>
  <c r="W8" i="1" s="1"/>
  <c r="X8" i="1" s="1"/>
  <c r="Z8" i="1" s="1"/>
  <c r="AA8" i="1" s="1"/>
  <c r="AD8" i="1" s="1"/>
  <c r="S8" i="1"/>
  <c r="O8" i="1"/>
  <c r="Q8" i="1" s="1"/>
  <c r="R8" i="1" s="1"/>
  <c r="N8" i="1"/>
  <c r="P8" i="1" s="1"/>
  <c r="M8" i="1"/>
  <c r="K8" i="1"/>
  <c r="L8" i="1" s="1"/>
  <c r="J8" i="1"/>
  <c r="Y7" i="1"/>
  <c r="V7" i="1"/>
  <c r="S7" i="1"/>
  <c r="O7" i="1"/>
  <c r="N7" i="1"/>
  <c r="P7" i="1" s="1"/>
  <c r="M7" i="1"/>
  <c r="K7" i="1"/>
  <c r="L7" i="1" s="1"/>
  <c r="J7" i="1"/>
  <c r="Y6" i="1"/>
  <c r="V6" i="1"/>
  <c r="W6" i="1" s="1"/>
  <c r="X6" i="1" s="1"/>
  <c r="Z6" i="1" s="1"/>
  <c r="AA6" i="1" s="1"/>
  <c r="AD6" i="1" s="1"/>
  <c r="S6" i="1"/>
  <c r="O6" i="1"/>
  <c r="Q6" i="1" s="1"/>
  <c r="R6" i="1" s="1"/>
  <c r="N6" i="1"/>
  <c r="P6" i="1" s="1"/>
  <c r="M6" i="1"/>
  <c r="K6" i="1"/>
  <c r="L6" i="1" s="1"/>
  <c r="J6" i="1"/>
  <c r="Y5" i="1"/>
  <c r="V5" i="1"/>
  <c r="S5" i="1"/>
  <c r="O5" i="1"/>
  <c r="N5" i="1"/>
  <c r="P5" i="1" s="1"/>
  <c r="M5" i="1"/>
  <c r="K5" i="1"/>
  <c r="L5" i="1" s="1"/>
  <c r="J5" i="1"/>
  <c r="Y4" i="1"/>
  <c r="V4" i="1"/>
  <c r="W4" i="1" s="1"/>
  <c r="Z4" i="1" s="1"/>
  <c r="AA4" i="1" s="1"/>
  <c r="AD4" i="1" s="1"/>
  <c r="S4" i="1"/>
  <c r="O4" i="1"/>
  <c r="R4" i="1" s="1"/>
  <c r="N4" i="1"/>
  <c r="P4" i="1" s="1"/>
  <c r="M4" i="1"/>
  <c r="K4" i="1"/>
  <c r="L4" i="1" s="1"/>
  <c r="J4" i="1"/>
  <c r="Y14" i="46"/>
  <c r="V14" i="46"/>
  <c r="S14" i="46"/>
  <c r="O14" i="46"/>
  <c r="N14" i="46"/>
  <c r="P14" i="46" s="1"/>
  <c r="M14" i="46"/>
  <c r="K14" i="46"/>
  <c r="L14" i="46" s="1"/>
  <c r="J14" i="46"/>
  <c r="Y13" i="46"/>
  <c r="V13" i="46"/>
  <c r="W13" i="46" s="1"/>
  <c r="S13" i="46"/>
  <c r="P13" i="46"/>
  <c r="O13" i="46"/>
  <c r="Q13" i="46" s="1"/>
  <c r="N13" i="46"/>
  <c r="M13" i="46"/>
  <c r="K13" i="46"/>
  <c r="L13" i="46" s="1"/>
  <c r="J13" i="46"/>
  <c r="Y12" i="46"/>
  <c r="V12" i="46"/>
  <c r="S12" i="46"/>
  <c r="O12" i="46"/>
  <c r="N12" i="46"/>
  <c r="P12" i="46" s="1"/>
  <c r="M12" i="46"/>
  <c r="K12" i="46"/>
  <c r="L12" i="46" s="1"/>
  <c r="J12" i="46"/>
  <c r="Y11" i="46"/>
  <c r="V11" i="46"/>
  <c r="S11" i="46"/>
  <c r="O11" i="46"/>
  <c r="N11" i="46"/>
  <c r="P11" i="46" s="1"/>
  <c r="W11" i="46" s="1"/>
  <c r="M11" i="46"/>
  <c r="K11" i="46"/>
  <c r="L11" i="46" s="1"/>
  <c r="J11" i="46"/>
  <c r="Y10" i="46"/>
  <c r="V10" i="46"/>
  <c r="S10" i="46"/>
  <c r="O10" i="46"/>
  <c r="N10" i="46"/>
  <c r="P10" i="46" s="1"/>
  <c r="M10" i="46"/>
  <c r="K10" i="46"/>
  <c r="L10" i="46" s="1"/>
  <c r="J10" i="46"/>
  <c r="Y9" i="46"/>
  <c r="V9" i="46"/>
  <c r="W9" i="46" s="1"/>
  <c r="X9" i="46" s="1"/>
  <c r="S9" i="46"/>
  <c r="P9" i="46"/>
  <c r="O9" i="46"/>
  <c r="Q9" i="46" s="1"/>
  <c r="R9" i="46" s="1"/>
  <c r="U9" i="46" s="1"/>
  <c r="AC9" i="46" s="1"/>
  <c r="N9" i="46"/>
  <c r="M9" i="46"/>
  <c r="K9" i="46"/>
  <c r="L9" i="46" s="1"/>
  <c r="J9" i="46"/>
  <c r="Y8" i="46"/>
  <c r="V8" i="46"/>
  <c r="S8" i="46"/>
  <c r="O8" i="46"/>
  <c r="N8" i="46"/>
  <c r="P8" i="46" s="1"/>
  <c r="M8" i="46"/>
  <c r="K8" i="46"/>
  <c r="L8" i="46" s="1"/>
  <c r="J8" i="46"/>
  <c r="Y7" i="46"/>
  <c r="V7" i="46"/>
  <c r="S7" i="46"/>
  <c r="O7" i="46"/>
  <c r="N7" i="46"/>
  <c r="P7" i="46" s="1"/>
  <c r="W7" i="46" s="1"/>
  <c r="X7" i="46" s="1"/>
  <c r="AA7" i="46" s="1"/>
  <c r="AD7" i="46" s="1"/>
  <c r="M7" i="46"/>
  <c r="K7" i="46"/>
  <c r="L7" i="46" s="1"/>
  <c r="J7" i="46"/>
  <c r="Y6" i="46"/>
  <c r="V6" i="46"/>
  <c r="S6" i="46"/>
  <c r="O6" i="46"/>
  <c r="N6" i="46"/>
  <c r="P6" i="46" s="1"/>
  <c r="M6" i="46"/>
  <c r="K6" i="46"/>
  <c r="L6" i="46" s="1"/>
  <c r="J6" i="46"/>
  <c r="Y5" i="46"/>
  <c r="V5" i="46"/>
  <c r="W5" i="46" s="1"/>
  <c r="X5" i="46" s="1"/>
  <c r="S5" i="46"/>
  <c r="P5" i="46"/>
  <c r="O5" i="46"/>
  <c r="Q5" i="46" s="1"/>
  <c r="R5" i="46" s="1"/>
  <c r="N5" i="46"/>
  <c r="M5" i="46"/>
  <c r="K5" i="46"/>
  <c r="L5" i="46" s="1"/>
  <c r="J5" i="46"/>
  <c r="Y4" i="46"/>
  <c r="V4" i="46"/>
  <c r="S4" i="46"/>
  <c r="O4" i="46"/>
  <c r="N4" i="46"/>
  <c r="P4" i="46" s="1"/>
  <c r="M4" i="46"/>
  <c r="K4" i="46"/>
  <c r="L4" i="46" s="1"/>
  <c r="J4" i="46"/>
  <c r="Y14" i="45"/>
  <c r="V14" i="45"/>
  <c r="S14" i="45"/>
  <c r="O14" i="45"/>
  <c r="N14" i="45"/>
  <c r="P14" i="45" s="1"/>
  <c r="M14" i="45"/>
  <c r="K14" i="45"/>
  <c r="L14" i="45" s="1"/>
  <c r="J14" i="45"/>
  <c r="Y13" i="45"/>
  <c r="V13" i="45"/>
  <c r="W13" i="45" s="1"/>
  <c r="S13" i="45"/>
  <c r="P13" i="45"/>
  <c r="O13" i="45"/>
  <c r="Q13" i="45" s="1"/>
  <c r="N13" i="45"/>
  <c r="M13" i="45"/>
  <c r="K13" i="45"/>
  <c r="L13" i="45" s="1"/>
  <c r="J13" i="45"/>
  <c r="Y12" i="45"/>
  <c r="V12" i="45"/>
  <c r="S12" i="45"/>
  <c r="O12" i="45"/>
  <c r="N12" i="45"/>
  <c r="P12" i="45" s="1"/>
  <c r="M12" i="45"/>
  <c r="K12" i="45"/>
  <c r="L12" i="45" s="1"/>
  <c r="J12" i="45"/>
  <c r="Y11" i="45"/>
  <c r="V11" i="45"/>
  <c r="S11" i="45"/>
  <c r="O11" i="45"/>
  <c r="N11" i="45"/>
  <c r="P11" i="45" s="1"/>
  <c r="W11" i="45" s="1"/>
  <c r="M11" i="45"/>
  <c r="K11" i="45"/>
  <c r="L11" i="45" s="1"/>
  <c r="J11" i="45"/>
  <c r="Y10" i="45"/>
  <c r="V10" i="45"/>
  <c r="S10" i="45"/>
  <c r="O10" i="45"/>
  <c r="N10" i="45"/>
  <c r="P10" i="45" s="1"/>
  <c r="M10" i="45"/>
  <c r="K10" i="45"/>
  <c r="L10" i="45" s="1"/>
  <c r="J10" i="45"/>
  <c r="Y9" i="45"/>
  <c r="V9" i="45"/>
  <c r="W9" i="45" s="1"/>
  <c r="X9" i="45" s="1"/>
  <c r="Z9" i="45" s="1"/>
  <c r="AA9" i="45" s="1"/>
  <c r="AD9" i="45" s="1"/>
  <c r="S9" i="45"/>
  <c r="P9" i="45"/>
  <c r="O9" i="45"/>
  <c r="Q9" i="45" s="1"/>
  <c r="R9" i="45" s="1"/>
  <c r="N9" i="45"/>
  <c r="M9" i="45"/>
  <c r="K9" i="45"/>
  <c r="L9" i="45" s="1"/>
  <c r="J9" i="45"/>
  <c r="Y8" i="45"/>
  <c r="V8" i="45"/>
  <c r="S8" i="45"/>
  <c r="O8" i="45"/>
  <c r="N8" i="45"/>
  <c r="P8" i="45" s="1"/>
  <c r="M8" i="45"/>
  <c r="K8" i="45"/>
  <c r="L8" i="45" s="1"/>
  <c r="J8" i="45"/>
  <c r="Y7" i="45"/>
  <c r="V7" i="45"/>
  <c r="S7" i="45"/>
  <c r="O7" i="45"/>
  <c r="N7" i="45"/>
  <c r="P7" i="45" s="1"/>
  <c r="W7" i="45" s="1"/>
  <c r="X7" i="45" s="1"/>
  <c r="Z7" i="45" s="1"/>
  <c r="AA7" i="45" s="1"/>
  <c r="AD7" i="45" s="1"/>
  <c r="M7" i="45"/>
  <c r="K7" i="45"/>
  <c r="L7" i="45" s="1"/>
  <c r="J7" i="45"/>
  <c r="Y6" i="45"/>
  <c r="V6" i="45"/>
  <c r="S6" i="45"/>
  <c r="O6" i="45"/>
  <c r="N6" i="45"/>
  <c r="P6" i="45" s="1"/>
  <c r="M6" i="45"/>
  <c r="K6" i="45"/>
  <c r="L6" i="45" s="1"/>
  <c r="J6" i="45"/>
  <c r="Y5" i="45"/>
  <c r="V5" i="45"/>
  <c r="W5" i="45" s="1"/>
  <c r="X5" i="45" s="1"/>
  <c r="Z5" i="45" s="1"/>
  <c r="AA5" i="45" s="1"/>
  <c r="AD5" i="45" s="1"/>
  <c r="S5" i="45"/>
  <c r="P5" i="45"/>
  <c r="O5" i="45"/>
  <c r="Q5" i="45" s="1"/>
  <c r="R5" i="45" s="1"/>
  <c r="U5" i="45" s="1"/>
  <c r="AC5" i="45" s="1"/>
  <c r="N5" i="45"/>
  <c r="M5" i="45"/>
  <c r="K5" i="45"/>
  <c r="L5" i="45" s="1"/>
  <c r="J5" i="45"/>
  <c r="Y4" i="45"/>
  <c r="V4" i="45"/>
  <c r="S4" i="45"/>
  <c r="O4" i="45"/>
  <c r="N4" i="45"/>
  <c r="P4" i="45" s="1"/>
  <c r="M4" i="45"/>
  <c r="K4" i="45"/>
  <c r="L4" i="45" s="1"/>
  <c r="J4" i="45"/>
  <c r="Y14" i="43"/>
  <c r="V14" i="43"/>
  <c r="W14" i="43" s="1"/>
  <c r="S14" i="43"/>
  <c r="O14" i="43"/>
  <c r="N14" i="43"/>
  <c r="P14" i="43" s="1"/>
  <c r="M14" i="43"/>
  <c r="K14" i="43"/>
  <c r="L14" i="43" s="1"/>
  <c r="J14" i="43"/>
  <c r="Y13" i="43"/>
  <c r="V13" i="43"/>
  <c r="W13" i="43" s="1"/>
  <c r="S13" i="43"/>
  <c r="P13" i="43"/>
  <c r="O13" i="43"/>
  <c r="Q13" i="43" s="1"/>
  <c r="N13" i="43"/>
  <c r="M13" i="43"/>
  <c r="K13" i="43"/>
  <c r="L13" i="43" s="1"/>
  <c r="J13" i="43"/>
  <c r="Y12" i="43"/>
  <c r="V12" i="43"/>
  <c r="W12" i="43" s="1"/>
  <c r="S12" i="43"/>
  <c r="O12" i="43"/>
  <c r="N12" i="43"/>
  <c r="P12" i="43" s="1"/>
  <c r="M12" i="43"/>
  <c r="K12" i="43"/>
  <c r="L12" i="43" s="1"/>
  <c r="J12" i="43"/>
  <c r="Y11" i="43"/>
  <c r="V11" i="43"/>
  <c r="S11" i="43"/>
  <c r="O11" i="43"/>
  <c r="N11" i="43"/>
  <c r="P11" i="43" s="1"/>
  <c r="W11" i="43" s="1"/>
  <c r="M11" i="43"/>
  <c r="K11" i="43"/>
  <c r="L11" i="43" s="1"/>
  <c r="J11" i="43"/>
  <c r="Y10" i="43"/>
  <c r="V10" i="43"/>
  <c r="W10" i="43" s="1"/>
  <c r="S10" i="43"/>
  <c r="O10" i="43"/>
  <c r="N10" i="43"/>
  <c r="P10" i="43" s="1"/>
  <c r="M10" i="43"/>
  <c r="K10" i="43"/>
  <c r="L10" i="43" s="1"/>
  <c r="J10" i="43"/>
  <c r="Y9" i="43"/>
  <c r="V9" i="43"/>
  <c r="W9" i="43" s="1"/>
  <c r="X9" i="43" s="1"/>
  <c r="Z9" i="43" s="1"/>
  <c r="AA9" i="43" s="1"/>
  <c r="AD9" i="43" s="1"/>
  <c r="S9" i="43"/>
  <c r="P9" i="43"/>
  <c r="O9" i="43"/>
  <c r="Q9" i="43" s="1"/>
  <c r="R9" i="43" s="1"/>
  <c r="U9" i="43" s="1"/>
  <c r="AC9" i="43" s="1"/>
  <c r="N9" i="43"/>
  <c r="M9" i="43"/>
  <c r="K9" i="43"/>
  <c r="L9" i="43" s="1"/>
  <c r="J9" i="43"/>
  <c r="Y8" i="43"/>
  <c r="V8" i="43"/>
  <c r="S8" i="43"/>
  <c r="O8" i="43"/>
  <c r="N8" i="43"/>
  <c r="P8" i="43" s="1"/>
  <c r="M8" i="43"/>
  <c r="K8" i="43"/>
  <c r="L8" i="43" s="1"/>
  <c r="J8" i="43"/>
  <c r="Y7" i="43"/>
  <c r="V7" i="43"/>
  <c r="S7" i="43"/>
  <c r="O7" i="43"/>
  <c r="N7" i="43"/>
  <c r="P7" i="43" s="1"/>
  <c r="W7" i="43" s="1"/>
  <c r="X7" i="43" s="1"/>
  <c r="Z7" i="43" s="1"/>
  <c r="AA7" i="43" s="1"/>
  <c r="AD7" i="43" s="1"/>
  <c r="M7" i="43"/>
  <c r="K7" i="43"/>
  <c r="L7" i="43" s="1"/>
  <c r="J7" i="43"/>
  <c r="Y6" i="43"/>
  <c r="V6" i="43"/>
  <c r="S6" i="43"/>
  <c r="O6" i="43"/>
  <c r="N6" i="43"/>
  <c r="P6" i="43" s="1"/>
  <c r="M6" i="43"/>
  <c r="K6" i="43"/>
  <c r="L6" i="43" s="1"/>
  <c r="J6" i="43"/>
  <c r="Y5" i="43"/>
  <c r="V5" i="43"/>
  <c r="W5" i="43" s="1"/>
  <c r="X5" i="43" s="1"/>
  <c r="Z5" i="43" s="1"/>
  <c r="AA5" i="43" s="1"/>
  <c r="AD5" i="43" s="1"/>
  <c r="S5" i="43"/>
  <c r="P5" i="43"/>
  <c r="O5" i="43"/>
  <c r="Q5" i="43" s="1"/>
  <c r="R5" i="43" s="1"/>
  <c r="U5" i="43" s="1"/>
  <c r="AC5" i="43" s="1"/>
  <c r="N5" i="43"/>
  <c r="M5" i="43"/>
  <c r="K5" i="43"/>
  <c r="L5" i="43" s="1"/>
  <c r="J5" i="43"/>
  <c r="Y4" i="43"/>
  <c r="V4" i="43"/>
  <c r="S4" i="43"/>
  <c r="O4" i="43"/>
  <c r="N4" i="43"/>
  <c r="P4" i="43" s="1"/>
  <c r="M4" i="43"/>
  <c r="K4" i="43"/>
  <c r="L4" i="43" s="1"/>
  <c r="J4" i="43"/>
  <c r="Y14" i="44"/>
  <c r="V14" i="44"/>
  <c r="S14" i="44"/>
  <c r="O14" i="44"/>
  <c r="N14" i="44"/>
  <c r="P14" i="44" s="1"/>
  <c r="M14" i="44"/>
  <c r="K14" i="44"/>
  <c r="L14" i="44" s="1"/>
  <c r="J14" i="44"/>
  <c r="Y13" i="44"/>
  <c r="V13" i="44"/>
  <c r="W13" i="44" s="1"/>
  <c r="X13" i="44" s="1"/>
  <c r="Z13" i="44" s="1"/>
  <c r="AA13" i="44" s="1"/>
  <c r="AD13" i="44" s="1"/>
  <c r="S13" i="44"/>
  <c r="P13" i="44"/>
  <c r="O13" i="44"/>
  <c r="Q13" i="44" s="1"/>
  <c r="R13" i="44" s="1"/>
  <c r="U13" i="44" s="1"/>
  <c r="AC13" i="44" s="1"/>
  <c r="N13" i="44"/>
  <c r="M13" i="44"/>
  <c r="K13" i="44"/>
  <c r="L13" i="44" s="1"/>
  <c r="J13" i="44"/>
  <c r="Y12" i="44"/>
  <c r="V12" i="44"/>
  <c r="W12" i="44" s="1"/>
  <c r="X12" i="44" s="1"/>
  <c r="Z12" i="44" s="1"/>
  <c r="AA12" i="44" s="1"/>
  <c r="AD12" i="44" s="1"/>
  <c r="S12" i="44"/>
  <c r="O12" i="44"/>
  <c r="N12" i="44"/>
  <c r="P12" i="44" s="1"/>
  <c r="M12" i="44"/>
  <c r="K12" i="44"/>
  <c r="L12" i="44" s="1"/>
  <c r="J12" i="44"/>
  <c r="Y11" i="44"/>
  <c r="V11" i="44"/>
  <c r="S11" i="44"/>
  <c r="O11" i="44"/>
  <c r="N11" i="44"/>
  <c r="P11" i="44" s="1"/>
  <c r="W11" i="44" s="1"/>
  <c r="M11" i="44"/>
  <c r="K11" i="44"/>
  <c r="L11" i="44" s="1"/>
  <c r="J11" i="44"/>
  <c r="Y10" i="44"/>
  <c r="V10" i="44"/>
  <c r="S10" i="44"/>
  <c r="O10" i="44"/>
  <c r="N10" i="44"/>
  <c r="P10" i="44" s="1"/>
  <c r="M10" i="44"/>
  <c r="K10" i="44"/>
  <c r="L10" i="44" s="1"/>
  <c r="J10" i="44"/>
  <c r="Y9" i="44"/>
  <c r="V9" i="44"/>
  <c r="W9" i="44" s="1"/>
  <c r="X9" i="44" s="1"/>
  <c r="Z9" i="44" s="1"/>
  <c r="AA9" i="44" s="1"/>
  <c r="AD9" i="44" s="1"/>
  <c r="S9" i="44"/>
  <c r="R9" i="44"/>
  <c r="U9" i="44" s="1"/>
  <c r="AC9" i="44" s="1"/>
  <c r="P9" i="44"/>
  <c r="O9" i="44"/>
  <c r="Q9" i="44" s="1"/>
  <c r="N9" i="44"/>
  <c r="M9" i="44"/>
  <c r="K9" i="44"/>
  <c r="L9" i="44" s="1"/>
  <c r="J9" i="44"/>
  <c r="Y8" i="44"/>
  <c r="V8" i="44"/>
  <c r="W8" i="44" s="1"/>
  <c r="X8" i="44" s="1"/>
  <c r="Z8" i="44" s="1"/>
  <c r="AA8" i="44" s="1"/>
  <c r="AD8" i="44" s="1"/>
  <c r="S8" i="44"/>
  <c r="O8" i="44"/>
  <c r="N8" i="44"/>
  <c r="P8" i="44" s="1"/>
  <c r="M8" i="44"/>
  <c r="K8" i="44"/>
  <c r="L8" i="44" s="1"/>
  <c r="J8" i="44"/>
  <c r="Y7" i="44"/>
  <c r="V7" i="44"/>
  <c r="S7" i="44"/>
  <c r="O7" i="44"/>
  <c r="N7" i="44"/>
  <c r="P7" i="44" s="1"/>
  <c r="W7" i="44" s="1"/>
  <c r="M7" i="44"/>
  <c r="K7" i="44"/>
  <c r="L7" i="44" s="1"/>
  <c r="J7" i="44"/>
  <c r="Y6" i="44"/>
  <c r="V6" i="44"/>
  <c r="S6" i="44"/>
  <c r="O6" i="44"/>
  <c r="N6" i="44"/>
  <c r="P6" i="44" s="1"/>
  <c r="M6" i="44"/>
  <c r="K6" i="44"/>
  <c r="L6" i="44" s="1"/>
  <c r="J6" i="44"/>
  <c r="Y5" i="44"/>
  <c r="V5" i="44"/>
  <c r="W5" i="44" s="1"/>
  <c r="X5" i="44" s="1"/>
  <c r="Z5" i="44" s="1"/>
  <c r="AA5" i="44" s="1"/>
  <c r="AD5" i="44" s="1"/>
  <c r="S5" i="44"/>
  <c r="R5" i="44"/>
  <c r="U5" i="44" s="1"/>
  <c r="AC5" i="44" s="1"/>
  <c r="P5" i="44"/>
  <c r="O5" i="44"/>
  <c r="Q5" i="44" s="1"/>
  <c r="N5" i="44"/>
  <c r="M5" i="44"/>
  <c r="K5" i="44"/>
  <c r="L5" i="44" s="1"/>
  <c r="J5" i="44"/>
  <c r="Y4" i="44"/>
  <c r="V4" i="44"/>
  <c r="W4" i="44" s="1"/>
  <c r="X4" i="44" s="1"/>
  <c r="Z4" i="44" s="1"/>
  <c r="AA4" i="44" s="1"/>
  <c r="AD4" i="44" s="1"/>
  <c r="S4" i="44"/>
  <c r="O4" i="44"/>
  <c r="N4" i="44"/>
  <c r="P4" i="44" s="1"/>
  <c r="M4" i="44"/>
  <c r="K4" i="44"/>
  <c r="L4" i="44" s="1"/>
  <c r="J4" i="44"/>
  <c r="Y14" i="42"/>
  <c r="V14" i="42"/>
  <c r="S14" i="42"/>
  <c r="O14" i="42"/>
  <c r="N14" i="42"/>
  <c r="P14" i="42" s="1"/>
  <c r="M14" i="42"/>
  <c r="K14" i="42"/>
  <c r="L14" i="42" s="1"/>
  <c r="J14" i="42"/>
  <c r="Y13" i="42"/>
  <c r="V13" i="42"/>
  <c r="W13" i="42" s="1"/>
  <c r="X13" i="42" s="1"/>
  <c r="Z13" i="42" s="1"/>
  <c r="AA13" i="42" s="1"/>
  <c r="AD13" i="42" s="1"/>
  <c r="S13" i="42"/>
  <c r="P13" i="42"/>
  <c r="O13" i="42"/>
  <c r="Q13" i="42" s="1"/>
  <c r="N13" i="42"/>
  <c r="M13" i="42"/>
  <c r="K13" i="42"/>
  <c r="L13" i="42" s="1"/>
  <c r="J13" i="42"/>
  <c r="Y12" i="42"/>
  <c r="V12" i="42"/>
  <c r="S12" i="42"/>
  <c r="O12" i="42"/>
  <c r="N12" i="42"/>
  <c r="P12" i="42" s="1"/>
  <c r="M12" i="42"/>
  <c r="K12" i="42"/>
  <c r="L12" i="42" s="1"/>
  <c r="J12" i="42"/>
  <c r="Y11" i="42"/>
  <c r="V11" i="42"/>
  <c r="S11" i="42"/>
  <c r="O11" i="42"/>
  <c r="N11" i="42"/>
  <c r="P11" i="42" s="1"/>
  <c r="W11" i="42" s="1"/>
  <c r="M11" i="42"/>
  <c r="K11" i="42"/>
  <c r="L11" i="42" s="1"/>
  <c r="J11" i="42"/>
  <c r="Y10" i="42"/>
  <c r="V10" i="42"/>
  <c r="S10" i="42"/>
  <c r="O10" i="42"/>
  <c r="N10" i="42"/>
  <c r="P10" i="42" s="1"/>
  <c r="M10" i="42"/>
  <c r="K10" i="42"/>
  <c r="L10" i="42" s="1"/>
  <c r="J10" i="42"/>
  <c r="Y9" i="42"/>
  <c r="V9" i="42"/>
  <c r="W9" i="42" s="1"/>
  <c r="X9" i="42" s="1"/>
  <c r="Z9" i="42" s="1"/>
  <c r="AA9" i="42" s="1"/>
  <c r="AD9" i="42" s="1"/>
  <c r="S9" i="42"/>
  <c r="P9" i="42"/>
  <c r="O9" i="42"/>
  <c r="Q9" i="42" s="1"/>
  <c r="R9" i="42" s="1"/>
  <c r="U9" i="42" s="1"/>
  <c r="AC9" i="42" s="1"/>
  <c r="N9" i="42"/>
  <c r="M9" i="42"/>
  <c r="K9" i="42"/>
  <c r="L9" i="42" s="1"/>
  <c r="J9" i="42"/>
  <c r="Y8" i="42"/>
  <c r="V8" i="42"/>
  <c r="S8" i="42"/>
  <c r="O8" i="42"/>
  <c r="N8" i="42"/>
  <c r="P8" i="42" s="1"/>
  <c r="M8" i="42"/>
  <c r="K8" i="42"/>
  <c r="L8" i="42" s="1"/>
  <c r="J8" i="42"/>
  <c r="Y7" i="42"/>
  <c r="V7" i="42"/>
  <c r="S7" i="42"/>
  <c r="O7" i="42"/>
  <c r="N7" i="42"/>
  <c r="P7" i="42" s="1"/>
  <c r="W7" i="42" s="1"/>
  <c r="X7" i="42" s="1"/>
  <c r="Z7" i="42" s="1"/>
  <c r="AA7" i="42" s="1"/>
  <c r="AD7" i="42" s="1"/>
  <c r="M7" i="42"/>
  <c r="K7" i="42"/>
  <c r="L7" i="42" s="1"/>
  <c r="J7" i="42"/>
  <c r="Y6" i="42"/>
  <c r="V6" i="42"/>
  <c r="S6" i="42"/>
  <c r="O6" i="42"/>
  <c r="N6" i="42"/>
  <c r="P6" i="42" s="1"/>
  <c r="M6" i="42"/>
  <c r="K6" i="42"/>
  <c r="L6" i="42" s="1"/>
  <c r="J6" i="42"/>
  <c r="Y5" i="42"/>
  <c r="V5" i="42"/>
  <c r="W5" i="42" s="1"/>
  <c r="X5" i="42" s="1"/>
  <c r="Z5" i="42" s="1"/>
  <c r="AA5" i="42" s="1"/>
  <c r="AD5" i="42" s="1"/>
  <c r="S5" i="42"/>
  <c r="P5" i="42"/>
  <c r="O5" i="42"/>
  <c r="Q5" i="42" s="1"/>
  <c r="R5" i="42" s="1"/>
  <c r="U5" i="42" s="1"/>
  <c r="AC5" i="42" s="1"/>
  <c r="N5" i="42"/>
  <c r="M5" i="42"/>
  <c r="K5" i="42"/>
  <c r="L5" i="42" s="1"/>
  <c r="J5" i="42"/>
  <c r="Y4" i="42"/>
  <c r="V4" i="42"/>
  <c r="S4" i="42"/>
  <c r="O4" i="42"/>
  <c r="N4" i="42"/>
  <c r="P4" i="42" s="1"/>
  <c r="M4" i="42"/>
  <c r="K4" i="42"/>
  <c r="L4" i="42" s="1"/>
  <c r="J4" i="42"/>
  <c r="Y14" i="41"/>
  <c r="V14" i="41"/>
  <c r="S14" i="41"/>
  <c r="O14" i="41"/>
  <c r="N14" i="41"/>
  <c r="P14" i="41" s="1"/>
  <c r="M14" i="41"/>
  <c r="K14" i="41"/>
  <c r="L14" i="41" s="1"/>
  <c r="J14" i="41"/>
  <c r="Y13" i="41"/>
  <c r="V13" i="41"/>
  <c r="W13" i="41" s="1"/>
  <c r="X13" i="41" s="1"/>
  <c r="Z13" i="41" s="1"/>
  <c r="AA13" i="41" s="1"/>
  <c r="AD13" i="41" s="1"/>
  <c r="S13" i="41"/>
  <c r="O13" i="41"/>
  <c r="N13" i="41"/>
  <c r="P13" i="41" s="1"/>
  <c r="M13" i="41"/>
  <c r="K13" i="41"/>
  <c r="L13" i="41" s="1"/>
  <c r="J13" i="41"/>
  <c r="Y12" i="41"/>
  <c r="V12" i="41"/>
  <c r="W12" i="41" s="1"/>
  <c r="X12" i="41" s="1"/>
  <c r="Z12" i="41" s="1"/>
  <c r="AA12" i="41" s="1"/>
  <c r="AD12" i="41" s="1"/>
  <c r="S12" i="41"/>
  <c r="O12" i="41"/>
  <c r="N12" i="41"/>
  <c r="P12" i="41" s="1"/>
  <c r="M12" i="41"/>
  <c r="K12" i="41"/>
  <c r="L12" i="41" s="1"/>
  <c r="J12" i="41"/>
  <c r="Y11" i="41"/>
  <c r="V11" i="41"/>
  <c r="S11" i="41"/>
  <c r="O11" i="41"/>
  <c r="N11" i="41"/>
  <c r="P11" i="41" s="1"/>
  <c r="M11" i="41"/>
  <c r="K11" i="41"/>
  <c r="L11" i="41" s="1"/>
  <c r="J11" i="41"/>
  <c r="Y10" i="41"/>
  <c r="V10" i="41"/>
  <c r="S10" i="41"/>
  <c r="O10" i="41"/>
  <c r="N10" i="41"/>
  <c r="P10" i="41" s="1"/>
  <c r="M10" i="41"/>
  <c r="K10" i="41"/>
  <c r="L10" i="41" s="1"/>
  <c r="J10" i="41"/>
  <c r="Y9" i="41"/>
  <c r="V9" i="41"/>
  <c r="W9" i="41" s="1"/>
  <c r="X9" i="41" s="1"/>
  <c r="Z9" i="41" s="1"/>
  <c r="AA9" i="41" s="1"/>
  <c r="AD9" i="41" s="1"/>
  <c r="S9" i="41"/>
  <c r="O9" i="41"/>
  <c r="N9" i="41"/>
  <c r="P9" i="41" s="1"/>
  <c r="M9" i="41"/>
  <c r="K9" i="41"/>
  <c r="L9" i="41" s="1"/>
  <c r="J9" i="41"/>
  <c r="Y8" i="41"/>
  <c r="V8" i="41"/>
  <c r="W8" i="41" s="1"/>
  <c r="X8" i="41" s="1"/>
  <c r="Z8" i="41" s="1"/>
  <c r="AA8" i="41" s="1"/>
  <c r="AD8" i="41" s="1"/>
  <c r="S8" i="41"/>
  <c r="O8" i="41"/>
  <c r="N8" i="41"/>
  <c r="P8" i="41" s="1"/>
  <c r="M8" i="41"/>
  <c r="K8" i="41"/>
  <c r="L8" i="41" s="1"/>
  <c r="J8" i="41"/>
  <c r="Y7" i="41"/>
  <c r="V7" i="41"/>
  <c r="S7" i="41"/>
  <c r="O7" i="41"/>
  <c r="N7" i="41"/>
  <c r="P7" i="41" s="1"/>
  <c r="M7" i="41"/>
  <c r="K7" i="41"/>
  <c r="L7" i="41" s="1"/>
  <c r="J7" i="41"/>
  <c r="Y6" i="41"/>
  <c r="V6" i="41"/>
  <c r="S6" i="41"/>
  <c r="O6" i="41"/>
  <c r="N6" i="41"/>
  <c r="P6" i="41" s="1"/>
  <c r="M6" i="41"/>
  <c r="K6" i="41"/>
  <c r="L6" i="41" s="1"/>
  <c r="J6" i="41"/>
  <c r="Y5" i="41"/>
  <c r="V5" i="41"/>
  <c r="W5" i="41" s="1"/>
  <c r="X5" i="41" s="1"/>
  <c r="Z5" i="41" s="1"/>
  <c r="AA5" i="41" s="1"/>
  <c r="AD5" i="41" s="1"/>
  <c r="S5" i="41"/>
  <c r="O5" i="41"/>
  <c r="N5" i="41"/>
  <c r="P5" i="41" s="1"/>
  <c r="M5" i="41"/>
  <c r="K5" i="41"/>
  <c r="L5" i="41" s="1"/>
  <c r="J5" i="41"/>
  <c r="Y4" i="41"/>
  <c r="V4" i="41"/>
  <c r="W4" i="41" s="1"/>
  <c r="S4" i="41"/>
  <c r="O4" i="41"/>
  <c r="N4" i="41"/>
  <c r="P4" i="41" s="1"/>
  <c r="M4" i="41"/>
  <c r="K4" i="41"/>
  <c r="L4" i="41" s="1"/>
  <c r="J4" i="41"/>
  <c r="Y14" i="40"/>
  <c r="V14" i="40"/>
  <c r="S14" i="40"/>
  <c r="O14" i="40"/>
  <c r="N14" i="40"/>
  <c r="P14" i="40" s="1"/>
  <c r="M14" i="40"/>
  <c r="K14" i="40"/>
  <c r="L14" i="40" s="1"/>
  <c r="J14" i="40"/>
  <c r="Y13" i="40"/>
  <c r="V13" i="40"/>
  <c r="S13" i="40"/>
  <c r="O13" i="40"/>
  <c r="N13" i="40"/>
  <c r="P13" i="40" s="1"/>
  <c r="M13" i="40"/>
  <c r="K13" i="40"/>
  <c r="L13" i="40" s="1"/>
  <c r="J13" i="40"/>
  <c r="Y12" i="40"/>
  <c r="V12" i="40"/>
  <c r="S12" i="40"/>
  <c r="O12" i="40"/>
  <c r="N12" i="40"/>
  <c r="P12" i="40" s="1"/>
  <c r="M12" i="40"/>
  <c r="K12" i="40"/>
  <c r="L12" i="40" s="1"/>
  <c r="J12" i="40"/>
  <c r="Y11" i="40"/>
  <c r="V11" i="40"/>
  <c r="S11" i="40"/>
  <c r="O11" i="40"/>
  <c r="N11" i="40"/>
  <c r="P11" i="40" s="1"/>
  <c r="M11" i="40"/>
  <c r="K11" i="40"/>
  <c r="L11" i="40" s="1"/>
  <c r="J11" i="40"/>
  <c r="Y10" i="40"/>
  <c r="V10" i="40"/>
  <c r="S10" i="40"/>
  <c r="O10" i="40"/>
  <c r="N10" i="40"/>
  <c r="P10" i="40" s="1"/>
  <c r="M10" i="40"/>
  <c r="K10" i="40"/>
  <c r="L10" i="40" s="1"/>
  <c r="J10" i="40"/>
  <c r="Y9" i="40"/>
  <c r="V9" i="40"/>
  <c r="S9" i="40"/>
  <c r="O9" i="40"/>
  <c r="N9" i="40"/>
  <c r="P9" i="40" s="1"/>
  <c r="M9" i="40"/>
  <c r="K9" i="40"/>
  <c r="L9" i="40" s="1"/>
  <c r="J9" i="40"/>
  <c r="Y8" i="40"/>
  <c r="V8" i="40"/>
  <c r="S8" i="40"/>
  <c r="O8" i="40"/>
  <c r="N8" i="40"/>
  <c r="P8" i="40" s="1"/>
  <c r="M8" i="40"/>
  <c r="K8" i="40"/>
  <c r="L8" i="40" s="1"/>
  <c r="J8" i="40"/>
  <c r="Y7" i="40"/>
  <c r="V7" i="40"/>
  <c r="S7" i="40"/>
  <c r="O7" i="40"/>
  <c r="N7" i="40"/>
  <c r="P7" i="40" s="1"/>
  <c r="M7" i="40"/>
  <c r="K7" i="40"/>
  <c r="L7" i="40" s="1"/>
  <c r="J7" i="40"/>
  <c r="Y6" i="40"/>
  <c r="V6" i="40"/>
  <c r="S6" i="40"/>
  <c r="O6" i="40"/>
  <c r="N6" i="40"/>
  <c r="P6" i="40" s="1"/>
  <c r="M6" i="40"/>
  <c r="K6" i="40"/>
  <c r="L6" i="40" s="1"/>
  <c r="J6" i="40"/>
  <c r="Y5" i="40"/>
  <c r="V5" i="40"/>
  <c r="S5" i="40"/>
  <c r="O5" i="40"/>
  <c r="N5" i="40"/>
  <c r="P5" i="40" s="1"/>
  <c r="M5" i="40"/>
  <c r="K5" i="40"/>
  <c r="L5" i="40" s="1"/>
  <c r="J5" i="40"/>
  <c r="Y4" i="40"/>
  <c r="V4" i="40"/>
  <c r="S4" i="40"/>
  <c r="O4" i="40"/>
  <c r="N4" i="40"/>
  <c r="P4" i="40" s="1"/>
  <c r="M4" i="40"/>
  <c r="K4" i="40"/>
  <c r="L4" i="40" s="1"/>
  <c r="J4" i="40"/>
  <c r="Y14" i="39"/>
  <c r="V14" i="39"/>
  <c r="S14" i="39"/>
  <c r="O14" i="39"/>
  <c r="N14" i="39"/>
  <c r="P14" i="39" s="1"/>
  <c r="M14" i="39"/>
  <c r="K14" i="39"/>
  <c r="L14" i="39" s="1"/>
  <c r="J14" i="39"/>
  <c r="Y13" i="39"/>
  <c r="V13" i="39"/>
  <c r="W13" i="39" s="1"/>
  <c r="S13" i="39"/>
  <c r="P13" i="39"/>
  <c r="O13" i="39"/>
  <c r="Q13" i="39" s="1"/>
  <c r="N13" i="39"/>
  <c r="M13" i="39"/>
  <c r="K13" i="39"/>
  <c r="L13" i="39" s="1"/>
  <c r="J13" i="39"/>
  <c r="Y12" i="39"/>
  <c r="V12" i="39"/>
  <c r="S12" i="39"/>
  <c r="O12" i="39"/>
  <c r="N12" i="39"/>
  <c r="P12" i="39" s="1"/>
  <c r="M12" i="39"/>
  <c r="K12" i="39"/>
  <c r="L12" i="39" s="1"/>
  <c r="J12" i="39"/>
  <c r="Y11" i="39"/>
  <c r="V11" i="39"/>
  <c r="S11" i="39"/>
  <c r="O11" i="39"/>
  <c r="N11" i="39"/>
  <c r="P11" i="39" s="1"/>
  <c r="W11" i="39" s="1"/>
  <c r="M11" i="39"/>
  <c r="K11" i="39"/>
  <c r="L11" i="39" s="1"/>
  <c r="J11" i="39"/>
  <c r="Y10" i="39"/>
  <c r="V10" i="39"/>
  <c r="S10" i="39"/>
  <c r="O10" i="39"/>
  <c r="N10" i="39"/>
  <c r="P10" i="39" s="1"/>
  <c r="M10" i="39"/>
  <c r="K10" i="39"/>
  <c r="L10" i="39" s="1"/>
  <c r="J10" i="39"/>
  <c r="Y9" i="39"/>
  <c r="V9" i="39"/>
  <c r="W9" i="39" s="1"/>
  <c r="X9" i="39" s="1"/>
  <c r="Z9" i="39" s="1"/>
  <c r="AA9" i="39" s="1"/>
  <c r="AD9" i="39" s="1"/>
  <c r="S9" i="39"/>
  <c r="P9" i="39"/>
  <c r="O9" i="39"/>
  <c r="Q9" i="39" s="1"/>
  <c r="R9" i="39" s="1"/>
  <c r="U9" i="39" s="1"/>
  <c r="AC9" i="39" s="1"/>
  <c r="N9" i="39"/>
  <c r="M9" i="39"/>
  <c r="K9" i="39"/>
  <c r="L9" i="39" s="1"/>
  <c r="J9" i="39"/>
  <c r="Y8" i="39"/>
  <c r="V8" i="39"/>
  <c r="S8" i="39"/>
  <c r="O8" i="39"/>
  <c r="N8" i="39"/>
  <c r="P8" i="39" s="1"/>
  <c r="M8" i="39"/>
  <c r="K8" i="39"/>
  <c r="L8" i="39" s="1"/>
  <c r="J8" i="39"/>
  <c r="Y7" i="39"/>
  <c r="V7" i="39"/>
  <c r="S7" i="39"/>
  <c r="O7" i="39"/>
  <c r="N7" i="39"/>
  <c r="P7" i="39" s="1"/>
  <c r="W7" i="39" s="1"/>
  <c r="X7" i="39" s="1"/>
  <c r="Z7" i="39" s="1"/>
  <c r="AA7" i="39" s="1"/>
  <c r="AD7" i="39" s="1"/>
  <c r="M7" i="39"/>
  <c r="K7" i="39"/>
  <c r="L7" i="39" s="1"/>
  <c r="J7" i="39"/>
  <c r="Y6" i="39"/>
  <c r="V6" i="39"/>
  <c r="S6" i="39"/>
  <c r="O6" i="39"/>
  <c r="N6" i="39"/>
  <c r="P6" i="39" s="1"/>
  <c r="M6" i="39"/>
  <c r="K6" i="39"/>
  <c r="L6" i="39" s="1"/>
  <c r="J6" i="39"/>
  <c r="Y5" i="39"/>
  <c r="V5" i="39"/>
  <c r="W5" i="39" s="1"/>
  <c r="X5" i="39" s="1"/>
  <c r="Z5" i="39" s="1"/>
  <c r="AA5" i="39" s="1"/>
  <c r="AD5" i="39" s="1"/>
  <c r="S5" i="39"/>
  <c r="P5" i="39"/>
  <c r="O5" i="39"/>
  <c r="Q5" i="39" s="1"/>
  <c r="R5" i="39" s="1"/>
  <c r="U5" i="39" s="1"/>
  <c r="AC5" i="39" s="1"/>
  <c r="N5" i="39"/>
  <c r="M5" i="39"/>
  <c r="K5" i="39"/>
  <c r="L5" i="39" s="1"/>
  <c r="J5" i="39"/>
  <c r="Y4" i="39"/>
  <c r="V4" i="39"/>
  <c r="S4" i="39"/>
  <c r="O4" i="39"/>
  <c r="N4" i="39"/>
  <c r="P4" i="39" s="1"/>
  <c r="M4" i="39"/>
  <c r="K4" i="39"/>
  <c r="L4" i="39" s="1"/>
  <c r="J4" i="39"/>
  <c r="Y14" i="38"/>
  <c r="V14" i="38"/>
  <c r="S14" i="38"/>
  <c r="O14" i="38"/>
  <c r="N14" i="38"/>
  <c r="P14" i="38" s="1"/>
  <c r="M14" i="38"/>
  <c r="K14" i="38"/>
  <c r="L14" i="38" s="1"/>
  <c r="J14" i="38"/>
  <c r="Y13" i="38"/>
  <c r="V13" i="38"/>
  <c r="S13" i="38"/>
  <c r="O13" i="38"/>
  <c r="N13" i="38"/>
  <c r="P13" i="38" s="1"/>
  <c r="M13" i="38"/>
  <c r="K13" i="38"/>
  <c r="L13" i="38" s="1"/>
  <c r="J13" i="38"/>
  <c r="Y12" i="38"/>
  <c r="V12" i="38"/>
  <c r="S12" i="38"/>
  <c r="O12" i="38"/>
  <c r="N12" i="38"/>
  <c r="P12" i="38" s="1"/>
  <c r="M12" i="38"/>
  <c r="K12" i="38"/>
  <c r="L12" i="38" s="1"/>
  <c r="J12" i="38"/>
  <c r="Y11" i="38"/>
  <c r="V11" i="38"/>
  <c r="S11" i="38"/>
  <c r="O11" i="38"/>
  <c r="N11" i="38"/>
  <c r="P11" i="38" s="1"/>
  <c r="M11" i="38"/>
  <c r="K11" i="38"/>
  <c r="L11" i="38" s="1"/>
  <c r="J11" i="38"/>
  <c r="Y10" i="38"/>
  <c r="V10" i="38"/>
  <c r="S10" i="38"/>
  <c r="O10" i="38"/>
  <c r="N10" i="38"/>
  <c r="P10" i="38" s="1"/>
  <c r="M10" i="38"/>
  <c r="K10" i="38"/>
  <c r="L10" i="38" s="1"/>
  <c r="J10" i="38"/>
  <c r="Y9" i="38"/>
  <c r="V9" i="38"/>
  <c r="S9" i="38"/>
  <c r="O9" i="38"/>
  <c r="N9" i="38"/>
  <c r="P9" i="38" s="1"/>
  <c r="M9" i="38"/>
  <c r="K9" i="38"/>
  <c r="L9" i="38" s="1"/>
  <c r="J9" i="38"/>
  <c r="Y8" i="38"/>
  <c r="V8" i="38"/>
  <c r="S8" i="38"/>
  <c r="O8" i="38"/>
  <c r="N8" i="38"/>
  <c r="P8" i="38" s="1"/>
  <c r="M8" i="38"/>
  <c r="K8" i="38"/>
  <c r="L8" i="38" s="1"/>
  <c r="J8" i="38"/>
  <c r="Y7" i="38"/>
  <c r="V7" i="38"/>
  <c r="S7" i="38"/>
  <c r="O7" i="38"/>
  <c r="N7" i="38"/>
  <c r="P7" i="38" s="1"/>
  <c r="M7" i="38"/>
  <c r="K7" i="38"/>
  <c r="L7" i="38" s="1"/>
  <c r="J7" i="38"/>
  <c r="Y6" i="38"/>
  <c r="V6" i="38"/>
  <c r="S6" i="38"/>
  <c r="O6" i="38"/>
  <c r="N6" i="38"/>
  <c r="P6" i="38" s="1"/>
  <c r="M6" i="38"/>
  <c r="K6" i="38"/>
  <c r="L6" i="38" s="1"/>
  <c r="J6" i="38"/>
  <c r="Y5" i="38"/>
  <c r="V5" i="38"/>
  <c r="S5" i="38"/>
  <c r="O5" i="38"/>
  <c r="N5" i="38"/>
  <c r="P5" i="38" s="1"/>
  <c r="M5" i="38"/>
  <c r="K5" i="38"/>
  <c r="L5" i="38" s="1"/>
  <c r="J5" i="38"/>
  <c r="Y4" i="38"/>
  <c r="V4" i="38"/>
  <c r="S4" i="38"/>
  <c r="O4" i="38"/>
  <c r="N4" i="38"/>
  <c r="P4" i="38" s="1"/>
  <c r="M4" i="38"/>
  <c r="K4" i="38"/>
  <c r="L4" i="38" s="1"/>
  <c r="J4" i="38"/>
  <c r="Y14" i="37"/>
  <c r="V14" i="37"/>
  <c r="S14" i="37"/>
  <c r="O14" i="37"/>
  <c r="N14" i="37"/>
  <c r="P14" i="37" s="1"/>
  <c r="M14" i="37"/>
  <c r="Y14" i="34"/>
  <c r="V14" i="34"/>
  <c r="W14" i="34" s="1"/>
  <c r="S14" i="34"/>
  <c r="O14" i="34"/>
  <c r="N14" i="34"/>
  <c r="P14" i="34" s="1"/>
  <c r="M14" i="34"/>
  <c r="K14" i="34"/>
  <c r="L14" i="34" s="1"/>
  <c r="J14" i="34"/>
  <c r="Y13" i="34"/>
  <c r="V13" i="34"/>
  <c r="S13" i="34"/>
  <c r="O13" i="34"/>
  <c r="N13" i="34"/>
  <c r="P13" i="34" s="1"/>
  <c r="M13" i="34"/>
  <c r="K13" i="34"/>
  <c r="L13" i="34" s="1"/>
  <c r="J13" i="34"/>
  <c r="Y12" i="34"/>
  <c r="V12" i="34"/>
  <c r="W12" i="34" s="1"/>
  <c r="X12" i="34" s="1"/>
  <c r="Z12" i="34" s="1"/>
  <c r="AA12" i="34" s="1"/>
  <c r="AD12" i="34" s="1"/>
  <c r="S12" i="34"/>
  <c r="O12" i="34"/>
  <c r="N12" i="34"/>
  <c r="P12" i="34" s="1"/>
  <c r="M12" i="34"/>
  <c r="K12" i="34"/>
  <c r="L12" i="34" s="1"/>
  <c r="J12" i="34"/>
  <c r="Y11" i="34"/>
  <c r="V11" i="34"/>
  <c r="W11" i="34" s="1"/>
  <c r="X11" i="34" s="1"/>
  <c r="Z11" i="34" s="1"/>
  <c r="AA11" i="34" s="1"/>
  <c r="AD11" i="34" s="1"/>
  <c r="S11" i="34"/>
  <c r="O11" i="34"/>
  <c r="N11" i="34"/>
  <c r="P11" i="34" s="1"/>
  <c r="M11" i="34"/>
  <c r="K11" i="34"/>
  <c r="L11" i="34" s="1"/>
  <c r="J11" i="34"/>
  <c r="Y10" i="34"/>
  <c r="V10" i="34"/>
  <c r="S10" i="34"/>
  <c r="O10" i="34"/>
  <c r="N10" i="34"/>
  <c r="P10" i="34" s="1"/>
  <c r="M10" i="34"/>
  <c r="K10" i="34"/>
  <c r="L10" i="34" s="1"/>
  <c r="J10" i="34"/>
  <c r="Y9" i="34"/>
  <c r="V9" i="34"/>
  <c r="W9" i="34" s="1"/>
  <c r="X9" i="34" s="1"/>
  <c r="Z9" i="34" s="1"/>
  <c r="AA9" i="34" s="1"/>
  <c r="AD9" i="34" s="1"/>
  <c r="S9" i="34"/>
  <c r="O9" i="34"/>
  <c r="N9" i="34"/>
  <c r="P9" i="34" s="1"/>
  <c r="M9" i="34"/>
  <c r="K9" i="34"/>
  <c r="L9" i="34" s="1"/>
  <c r="J9" i="34"/>
  <c r="Y8" i="34"/>
  <c r="V8" i="34"/>
  <c r="W8" i="34" s="1"/>
  <c r="X8" i="34" s="1"/>
  <c r="Z8" i="34" s="1"/>
  <c r="AA8" i="34" s="1"/>
  <c r="AD8" i="34" s="1"/>
  <c r="S8" i="34"/>
  <c r="O8" i="34"/>
  <c r="N8" i="34"/>
  <c r="P8" i="34" s="1"/>
  <c r="M8" i="34"/>
  <c r="K8" i="34"/>
  <c r="L8" i="34" s="1"/>
  <c r="J8" i="34"/>
  <c r="Y7" i="34"/>
  <c r="V7" i="34"/>
  <c r="W7" i="34" s="1"/>
  <c r="S7" i="34"/>
  <c r="O7" i="34"/>
  <c r="N7" i="34"/>
  <c r="P7" i="34" s="1"/>
  <c r="M7" i="34"/>
  <c r="K7" i="34"/>
  <c r="L7" i="34" s="1"/>
  <c r="J7" i="34"/>
  <c r="Y6" i="34"/>
  <c r="V6" i="34"/>
  <c r="S6" i="34"/>
  <c r="O6" i="34"/>
  <c r="N6" i="34"/>
  <c r="P6" i="34" s="1"/>
  <c r="M6" i="34"/>
  <c r="K6" i="34"/>
  <c r="L6" i="34" s="1"/>
  <c r="J6" i="34"/>
  <c r="Y5" i="34"/>
  <c r="V5" i="34"/>
  <c r="S5" i="34"/>
  <c r="O5" i="34"/>
  <c r="N5" i="34"/>
  <c r="P5" i="34" s="1"/>
  <c r="M5" i="34"/>
  <c r="K5" i="34"/>
  <c r="L5" i="34" s="1"/>
  <c r="J5" i="34"/>
  <c r="Y4" i="34"/>
  <c r="V4" i="34"/>
  <c r="W4" i="34" s="1"/>
  <c r="X4" i="34" s="1"/>
  <c r="Z4" i="34" s="1"/>
  <c r="AA4" i="34" s="1"/>
  <c r="AD4" i="34" s="1"/>
  <c r="S4" i="34"/>
  <c r="O4" i="34"/>
  <c r="N4" i="34"/>
  <c r="P4" i="34" s="1"/>
  <c r="M4" i="34"/>
  <c r="K4" i="34"/>
  <c r="L4" i="34" s="1"/>
  <c r="J4" i="34"/>
  <c r="Y14" i="33"/>
  <c r="V14" i="33"/>
  <c r="S14" i="33"/>
  <c r="O14" i="33"/>
  <c r="N14" i="33"/>
  <c r="P14" i="33" s="1"/>
  <c r="M14" i="33"/>
  <c r="K14" i="33"/>
  <c r="L14" i="33" s="1"/>
  <c r="J14" i="33"/>
  <c r="Y13" i="33"/>
  <c r="V13" i="33"/>
  <c r="W13" i="33" s="1"/>
  <c r="X13" i="33" s="1"/>
  <c r="Z13" i="33" s="1"/>
  <c r="AA13" i="33" s="1"/>
  <c r="AD13" i="33" s="1"/>
  <c r="S13" i="33"/>
  <c r="O13" i="33"/>
  <c r="N13" i="33"/>
  <c r="P13" i="33" s="1"/>
  <c r="M13" i="33"/>
  <c r="K13" i="33"/>
  <c r="L13" i="33" s="1"/>
  <c r="J13" i="33"/>
  <c r="Y12" i="33"/>
  <c r="V12" i="33"/>
  <c r="W12" i="33" s="1"/>
  <c r="X12" i="33" s="1"/>
  <c r="Z12" i="33" s="1"/>
  <c r="AA12" i="33" s="1"/>
  <c r="AD12" i="33" s="1"/>
  <c r="S12" i="33"/>
  <c r="O12" i="33"/>
  <c r="N12" i="33"/>
  <c r="P12" i="33" s="1"/>
  <c r="M12" i="33"/>
  <c r="K12" i="33"/>
  <c r="L12" i="33" s="1"/>
  <c r="J12" i="33"/>
  <c r="Y11" i="33"/>
  <c r="V11" i="33"/>
  <c r="S11" i="33"/>
  <c r="O11" i="33"/>
  <c r="N11" i="33"/>
  <c r="P11" i="33" s="1"/>
  <c r="M11" i="33"/>
  <c r="K11" i="33"/>
  <c r="L11" i="33" s="1"/>
  <c r="J11" i="33"/>
  <c r="Y10" i="33"/>
  <c r="V10" i="33"/>
  <c r="S10" i="33"/>
  <c r="O10" i="33"/>
  <c r="N10" i="33"/>
  <c r="P10" i="33" s="1"/>
  <c r="M10" i="33"/>
  <c r="K10" i="33"/>
  <c r="L10" i="33" s="1"/>
  <c r="J10" i="33"/>
  <c r="Y9" i="33"/>
  <c r="V9" i="33"/>
  <c r="W9" i="33" s="1"/>
  <c r="X9" i="33" s="1"/>
  <c r="Z9" i="33" s="1"/>
  <c r="AA9" i="33" s="1"/>
  <c r="AD9" i="33" s="1"/>
  <c r="S9" i="33"/>
  <c r="O9" i="33"/>
  <c r="N9" i="33"/>
  <c r="P9" i="33" s="1"/>
  <c r="M9" i="33"/>
  <c r="K9" i="33"/>
  <c r="L9" i="33" s="1"/>
  <c r="J9" i="33"/>
  <c r="Y8" i="33"/>
  <c r="V8" i="33"/>
  <c r="W8" i="33" s="1"/>
  <c r="X8" i="33" s="1"/>
  <c r="Z8" i="33" s="1"/>
  <c r="AA8" i="33" s="1"/>
  <c r="AD8" i="33" s="1"/>
  <c r="S8" i="33"/>
  <c r="O8" i="33"/>
  <c r="N8" i="33"/>
  <c r="P8" i="33" s="1"/>
  <c r="M8" i="33"/>
  <c r="K8" i="33"/>
  <c r="L8" i="33" s="1"/>
  <c r="J8" i="33"/>
  <c r="Y7" i="33"/>
  <c r="V7" i="33"/>
  <c r="S7" i="33"/>
  <c r="O7" i="33"/>
  <c r="N7" i="33"/>
  <c r="P7" i="33" s="1"/>
  <c r="M7" i="33"/>
  <c r="K7" i="33"/>
  <c r="L7" i="33" s="1"/>
  <c r="J7" i="33"/>
  <c r="Y6" i="33"/>
  <c r="V6" i="33"/>
  <c r="S6" i="33"/>
  <c r="O6" i="33"/>
  <c r="N6" i="33"/>
  <c r="P6" i="33" s="1"/>
  <c r="M6" i="33"/>
  <c r="K6" i="33"/>
  <c r="L6" i="33" s="1"/>
  <c r="J6" i="33"/>
  <c r="Y5" i="33"/>
  <c r="V5" i="33"/>
  <c r="W5" i="33" s="1"/>
  <c r="X5" i="33" s="1"/>
  <c r="Z5" i="33" s="1"/>
  <c r="AA5" i="33" s="1"/>
  <c r="AD5" i="33" s="1"/>
  <c r="S5" i="33"/>
  <c r="O5" i="33"/>
  <c r="N5" i="33"/>
  <c r="P5" i="33" s="1"/>
  <c r="M5" i="33"/>
  <c r="K5" i="33"/>
  <c r="L5" i="33" s="1"/>
  <c r="J5" i="33"/>
  <c r="Y4" i="33"/>
  <c r="V4" i="33"/>
  <c r="W4" i="33" s="1"/>
  <c r="S4" i="33"/>
  <c r="O4" i="33"/>
  <c r="N4" i="33"/>
  <c r="P4" i="33" s="1"/>
  <c r="M4" i="33"/>
  <c r="K4" i="33"/>
  <c r="L4" i="33" s="1"/>
  <c r="J4" i="33"/>
  <c r="Y14" i="32"/>
  <c r="V14" i="32"/>
  <c r="S14" i="32"/>
  <c r="O14" i="32"/>
  <c r="N14" i="32"/>
  <c r="P14" i="32" s="1"/>
  <c r="M14" i="32"/>
  <c r="K14" i="32"/>
  <c r="L14" i="32" s="1"/>
  <c r="J14" i="32"/>
  <c r="Y13" i="32"/>
  <c r="V13" i="32"/>
  <c r="S13" i="32"/>
  <c r="P13" i="32"/>
  <c r="O13" i="32"/>
  <c r="Q13" i="32" s="1"/>
  <c r="R13" i="32" s="1"/>
  <c r="U13" i="32" s="1"/>
  <c r="AC13" i="32" s="1"/>
  <c r="N13" i="32"/>
  <c r="M13" i="32"/>
  <c r="K13" i="32"/>
  <c r="L13" i="32" s="1"/>
  <c r="J13" i="32"/>
  <c r="Y12" i="32"/>
  <c r="V12" i="32"/>
  <c r="W12" i="32" s="1"/>
  <c r="X12" i="32" s="1"/>
  <c r="Z12" i="32" s="1"/>
  <c r="AA12" i="32" s="1"/>
  <c r="AD12" i="32" s="1"/>
  <c r="S12" i="32"/>
  <c r="O12" i="32"/>
  <c r="N12" i="32"/>
  <c r="P12" i="32" s="1"/>
  <c r="M12" i="32"/>
  <c r="K12" i="32"/>
  <c r="L12" i="32" s="1"/>
  <c r="J12" i="32"/>
  <c r="Y11" i="32"/>
  <c r="V11" i="32"/>
  <c r="S11" i="32"/>
  <c r="O11" i="32"/>
  <c r="N11" i="32"/>
  <c r="P11" i="32" s="1"/>
  <c r="W11" i="32" s="1"/>
  <c r="M11" i="32"/>
  <c r="K11" i="32"/>
  <c r="L11" i="32" s="1"/>
  <c r="J11" i="32"/>
  <c r="Y10" i="32"/>
  <c r="V10" i="32"/>
  <c r="S10" i="32"/>
  <c r="O10" i="32"/>
  <c r="N10" i="32"/>
  <c r="P10" i="32" s="1"/>
  <c r="M10" i="32"/>
  <c r="K10" i="32"/>
  <c r="L10" i="32" s="1"/>
  <c r="J10" i="32"/>
  <c r="Y9" i="32"/>
  <c r="V9" i="32"/>
  <c r="S9" i="32"/>
  <c r="P9" i="32"/>
  <c r="Q9" i="32" s="1"/>
  <c r="R9" i="32" s="1"/>
  <c r="U9" i="32" s="1"/>
  <c r="AC9" i="32" s="1"/>
  <c r="O9" i="32"/>
  <c r="N9" i="32"/>
  <c r="M9" i="32"/>
  <c r="K9" i="32"/>
  <c r="L9" i="32" s="1"/>
  <c r="J9" i="32"/>
  <c r="Y8" i="32"/>
  <c r="V8" i="32"/>
  <c r="W8" i="32" s="1"/>
  <c r="X8" i="32" s="1"/>
  <c r="Z8" i="32" s="1"/>
  <c r="AA8" i="32" s="1"/>
  <c r="AD8" i="32" s="1"/>
  <c r="S8" i="32"/>
  <c r="O8" i="32"/>
  <c r="N8" i="32"/>
  <c r="P8" i="32" s="1"/>
  <c r="M8" i="32"/>
  <c r="K8" i="32"/>
  <c r="L8" i="32" s="1"/>
  <c r="J8" i="32"/>
  <c r="Y7" i="32"/>
  <c r="V7" i="32"/>
  <c r="S7" i="32"/>
  <c r="O7" i="32"/>
  <c r="N7" i="32"/>
  <c r="P7" i="32" s="1"/>
  <c r="W7" i="32" s="1"/>
  <c r="X7" i="32" s="1"/>
  <c r="Z7" i="32" s="1"/>
  <c r="AA7" i="32" s="1"/>
  <c r="AD7" i="32" s="1"/>
  <c r="M7" i="32"/>
  <c r="K7" i="32"/>
  <c r="L7" i="32" s="1"/>
  <c r="J7" i="32"/>
  <c r="Y6" i="32"/>
  <c r="V6" i="32"/>
  <c r="S6" i="32"/>
  <c r="O6" i="32"/>
  <c r="N6" i="32"/>
  <c r="P6" i="32" s="1"/>
  <c r="M6" i="32"/>
  <c r="K6" i="32"/>
  <c r="L6" i="32" s="1"/>
  <c r="J6" i="32"/>
  <c r="Y5" i="32"/>
  <c r="V5" i="32"/>
  <c r="W5" i="32" s="1"/>
  <c r="X5" i="32" s="1"/>
  <c r="Z5" i="32" s="1"/>
  <c r="AA5" i="32" s="1"/>
  <c r="AD5" i="32" s="1"/>
  <c r="S5" i="32"/>
  <c r="P5" i="32"/>
  <c r="O5" i="32"/>
  <c r="Q5" i="32" s="1"/>
  <c r="R5" i="32" s="1"/>
  <c r="U5" i="32" s="1"/>
  <c r="AC5" i="32" s="1"/>
  <c r="N5" i="32"/>
  <c r="M5" i="32"/>
  <c r="K5" i="32"/>
  <c r="L5" i="32" s="1"/>
  <c r="J5" i="32"/>
  <c r="Y4" i="32"/>
  <c r="V4" i="32"/>
  <c r="W4" i="32" s="1"/>
  <c r="X4" i="32" s="1"/>
  <c r="Z4" i="32" s="1"/>
  <c r="AA4" i="32" s="1"/>
  <c r="AD4" i="32" s="1"/>
  <c r="S4" i="32"/>
  <c r="O4" i="32"/>
  <c r="Q4" i="32" s="1"/>
  <c r="R4" i="32" s="1"/>
  <c r="T4" i="32" s="1"/>
  <c r="U4" i="32" s="1"/>
  <c r="AC4" i="32" s="1"/>
  <c r="N4" i="32"/>
  <c r="P4" i="32" s="1"/>
  <c r="M4" i="32"/>
  <c r="K4" i="32"/>
  <c r="L4" i="32" s="1"/>
  <c r="J4" i="32"/>
  <c r="Y14" i="31"/>
  <c r="V14" i="31"/>
  <c r="S14" i="31"/>
  <c r="O14" i="31"/>
  <c r="N14" i="31"/>
  <c r="P14" i="31" s="1"/>
  <c r="M14" i="31"/>
  <c r="K14" i="31"/>
  <c r="L14" i="31" s="1"/>
  <c r="J14" i="31"/>
  <c r="Y13" i="31"/>
  <c r="V13" i="31"/>
  <c r="W13" i="31" s="1"/>
  <c r="X13" i="31" s="1"/>
  <c r="Z13" i="31" s="1"/>
  <c r="AA13" i="31" s="1"/>
  <c r="AD13" i="31" s="1"/>
  <c r="S13" i="31"/>
  <c r="P13" i="31"/>
  <c r="O13" i="31"/>
  <c r="Q13" i="31" s="1"/>
  <c r="R13" i="31" s="1"/>
  <c r="U13" i="31" s="1"/>
  <c r="AC13" i="31" s="1"/>
  <c r="N13" i="31"/>
  <c r="M13" i="31"/>
  <c r="K13" i="31"/>
  <c r="L13" i="31" s="1"/>
  <c r="J13" i="31"/>
  <c r="Y12" i="31"/>
  <c r="V12" i="31"/>
  <c r="W12" i="31" s="1"/>
  <c r="X12" i="31" s="1"/>
  <c r="Z12" i="31" s="1"/>
  <c r="AA12" i="31" s="1"/>
  <c r="AD12" i="31" s="1"/>
  <c r="S12" i="31"/>
  <c r="O12" i="31"/>
  <c r="N12" i="31"/>
  <c r="P12" i="31" s="1"/>
  <c r="M12" i="31"/>
  <c r="K12" i="31"/>
  <c r="L12" i="31" s="1"/>
  <c r="J12" i="31"/>
  <c r="Y11" i="31"/>
  <c r="V11" i="31"/>
  <c r="S11" i="31"/>
  <c r="O11" i="31"/>
  <c r="N11" i="31"/>
  <c r="P11" i="31" s="1"/>
  <c r="W11" i="31" s="1"/>
  <c r="M11" i="31"/>
  <c r="K11" i="31"/>
  <c r="L11" i="31" s="1"/>
  <c r="J11" i="31"/>
  <c r="Y10" i="31"/>
  <c r="V10" i="31"/>
  <c r="S10" i="31"/>
  <c r="O10" i="31"/>
  <c r="N10" i="31"/>
  <c r="P10" i="31" s="1"/>
  <c r="M10" i="31"/>
  <c r="K10" i="31"/>
  <c r="L10" i="31" s="1"/>
  <c r="J10" i="31"/>
  <c r="Y9" i="31"/>
  <c r="V9" i="31"/>
  <c r="W9" i="31" s="1"/>
  <c r="X9" i="31" s="1"/>
  <c r="Z9" i="31" s="1"/>
  <c r="AA9" i="31" s="1"/>
  <c r="AD9" i="31" s="1"/>
  <c r="S9" i="31"/>
  <c r="P9" i="31"/>
  <c r="Q9" i="31" s="1"/>
  <c r="R9" i="31" s="1"/>
  <c r="O9" i="31"/>
  <c r="N9" i="31"/>
  <c r="M9" i="31"/>
  <c r="K9" i="31"/>
  <c r="L9" i="31" s="1"/>
  <c r="J9" i="31"/>
  <c r="Y8" i="31"/>
  <c r="V8" i="31"/>
  <c r="W8" i="31" s="1"/>
  <c r="X8" i="31" s="1"/>
  <c r="Z8" i="31" s="1"/>
  <c r="AA8" i="31" s="1"/>
  <c r="AD8" i="31" s="1"/>
  <c r="S8" i="31"/>
  <c r="O8" i="31"/>
  <c r="Q8" i="31" s="1"/>
  <c r="R8" i="31" s="1"/>
  <c r="N8" i="31"/>
  <c r="P8" i="31" s="1"/>
  <c r="M8" i="31"/>
  <c r="K8" i="31"/>
  <c r="L8" i="31" s="1"/>
  <c r="J8" i="31"/>
  <c r="Y7" i="31"/>
  <c r="V7" i="31"/>
  <c r="S7" i="31"/>
  <c r="O7" i="31"/>
  <c r="N7" i="31"/>
  <c r="P7" i="31" s="1"/>
  <c r="W7" i="31" s="1"/>
  <c r="X7" i="31" s="1"/>
  <c r="Z7" i="31" s="1"/>
  <c r="AA7" i="31" s="1"/>
  <c r="AD7" i="31" s="1"/>
  <c r="M7" i="31"/>
  <c r="L7" i="31"/>
  <c r="K7" i="31"/>
  <c r="J7" i="31"/>
  <c r="Y6" i="31"/>
  <c r="V6" i="31"/>
  <c r="S6" i="31"/>
  <c r="O6" i="31"/>
  <c r="N6" i="31"/>
  <c r="P6" i="31" s="1"/>
  <c r="M6" i="31"/>
  <c r="K6" i="31"/>
  <c r="L6" i="31" s="1"/>
  <c r="J6" i="31"/>
  <c r="Y5" i="31"/>
  <c r="V5" i="31"/>
  <c r="S5" i="31"/>
  <c r="P5" i="31"/>
  <c r="O5" i="31"/>
  <c r="Q5" i="31" s="1"/>
  <c r="R5" i="31" s="1"/>
  <c r="U5" i="31" s="1"/>
  <c r="AC5" i="31" s="1"/>
  <c r="N5" i="31"/>
  <c r="M5" i="31"/>
  <c r="K5" i="31"/>
  <c r="L5" i="31" s="1"/>
  <c r="J5" i="31"/>
  <c r="Y4" i="31"/>
  <c r="V4" i="31"/>
  <c r="W4" i="31" s="1"/>
  <c r="X4" i="31" s="1"/>
  <c r="Z4" i="31" s="1"/>
  <c r="AA4" i="31" s="1"/>
  <c r="AD4" i="31" s="1"/>
  <c r="S4" i="31"/>
  <c r="O4" i="31"/>
  <c r="Q4" i="31" s="1"/>
  <c r="N4" i="31"/>
  <c r="P4" i="31" s="1"/>
  <c r="M4" i="31"/>
  <c r="K4" i="31"/>
  <c r="L4" i="31" s="1"/>
  <c r="J4" i="31"/>
  <c r="Y14" i="30"/>
  <c r="V14" i="30"/>
  <c r="S14" i="30"/>
  <c r="O14" i="30"/>
  <c r="N14" i="30"/>
  <c r="P14" i="30" s="1"/>
  <c r="M14" i="30"/>
  <c r="K14" i="30"/>
  <c r="L14" i="30" s="1"/>
  <c r="J14" i="30"/>
  <c r="Y13" i="30"/>
  <c r="V13" i="30"/>
  <c r="W13" i="30" s="1"/>
  <c r="X13" i="30" s="1"/>
  <c r="Z13" i="30" s="1"/>
  <c r="AA13" i="30" s="1"/>
  <c r="AD13" i="30" s="1"/>
  <c r="S13" i="30"/>
  <c r="O13" i="30"/>
  <c r="N13" i="30"/>
  <c r="P13" i="30" s="1"/>
  <c r="M13" i="30"/>
  <c r="K13" i="30"/>
  <c r="L13" i="30" s="1"/>
  <c r="J13" i="30"/>
  <c r="Y12" i="30"/>
  <c r="V12" i="30"/>
  <c r="W12" i="30" s="1"/>
  <c r="X12" i="30" s="1"/>
  <c r="Z12" i="30" s="1"/>
  <c r="AA12" i="30" s="1"/>
  <c r="AD12" i="30" s="1"/>
  <c r="S12" i="30"/>
  <c r="O12" i="30"/>
  <c r="N12" i="30"/>
  <c r="P12" i="30" s="1"/>
  <c r="M12" i="30"/>
  <c r="K12" i="30"/>
  <c r="L12" i="30" s="1"/>
  <c r="J12" i="30"/>
  <c r="Y11" i="30"/>
  <c r="V11" i="30"/>
  <c r="S11" i="30"/>
  <c r="O11" i="30"/>
  <c r="N11" i="30"/>
  <c r="P11" i="30" s="1"/>
  <c r="M11" i="30"/>
  <c r="K11" i="30"/>
  <c r="L11" i="30" s="1"/>
  <c r="J11" i="30"/>
  <c r="Y10" i="30"/>
  <c r="V10" i="30"/>
  <c r="S10" i="30"/>
  <c r="O10" i="30"/>
  <c r="N10" i="30"/>
  <c r="P10" i="30" s="1"/>
  <c r="M10" i="30"/>
  <c r="K10" i="30"/>
  <c r="L10" i="30" s="1"/>
  <c r="J10" i="30"/>
  <c r="Y9" i="30"/>
  <c r="V9" i="30"/>
  <c r="W9" i="30" s="1"/>
  <c r="X9" i="30" s="1"/>
  <c r="Z9" i="30" s="1"/>
  <c r="AA9" i="30" s="1"/>
  <c r="AD9" i="30" s="1"/>
  <c r="S9" i="30"/>
  <c r="O9" i="30"/>
  <c r="N9" i="30"/>
  <c r="P9" i="30" s="1"/>
  <c r="M9" i="30"/>
  <c r="K9" i="30"/>
  <c r="L9" i="30" s="1"/>
  <c r="J9" i="30"/>
  <c r="Y8" i="30"/>
  <c r="V8" i="30"/>
  <c r="W8" i="30" s="1"/>
  <c r="X8" i="30" s="1"/>
  <c r="Z8" i="30" s="1"/>
  <c r="AA8" i="30" s="1"/>
  <c r="AD8" i="30" s="1"/>
  <c r="S8" i="30"/>
  <c r="O8" i="30"/>
  <c r="N8" i="30"/>
  <c r="P8" i="30" s="1"/>
  <c r="M8" i="30"/>
  <c r="K8" i="30"/>
  <c r="L8" i="30" s="1"/>
  <c r="J8" i="30"/>
  <c r="Y7" i="30"/>
  <c r="V7" i="30"/>
  <c r="S7" i="30"/>
  <c r="O7" i="30"/>
  <c r="N7" i="30"/>
  <c r="P7" i="30" s="1"/>
  <c r="M7" i="30"/>
  <c r="K7" i="30"/>
  <c r="L7" i="30" s="1"/>
  <c r="J7" i="30"/>
  <c r="Y6" i="30"/>
  <c r="V6" i="30"/>
  <c r="S6" i="30"/>
  <c r="O6" i="30"/>
  <c r="N6" i="30"/>
  <c r="P6" i="30" s="1"/>
  <c r="M6" i="30"/>
  <c r="K6" i="30"/>
  <c r="L6" i="30" s="1"/>
  <c r="J6" i="30"/>
  <c r="Y5" i="30"/>
  <c r="V5" i="30"/>
  <c r="W5" i="30" s="1"/>
  <c r="X5" i="30" s="1"/>
  <c r="Z5" i="30" s="1"/>
  <c r="AA5" i="30" s="1"/>
  <c r="AD5" i="30" s="1"/>
  <c r="S5" i="30"/>
  <c r="O5" i="30"/>
  <c r="N5" i="30"/>
  <c r="P5" i="30" s="1"/>
  <c r="M5" i="30"/>
  <c r="K5" i="30"/>
  <c r="L5" i="30" s="1"/>
  <c r="J5" i="30"/>
  <c r="Y4" i="30"/>
  <c r="V4" i="30"/>
  <c r="W4" i="30" s="1"/>
  <c r="S4" i="30"/>
  <c r="O4" i="30"/>
  <c r="N4" i="30"/>
  <c r="P4" i="30" s="1"/>
  <c r="M4" i="30"/>
  <c r="K4" i="30"/>
  <c r="L4" i="30" s="1"/>
  <c r="J4" i="30"/>
  <c r="Y14" i="29"/>
  <c r="V14" i="29"/>
  <c r="S14" i="29"/>
  <c r="O14" i="29"/>
  <c r="N14" i="29"/>
  <c r="P14" i="29" s="1"/>
  <c r="M14" i="29"/>
  <c r="K14" i="29"/>
  <c r="L14" i="29" s="1"/>
  <c r="J14" i="29"/>
  <c r="Y13" i="29"/>
  <c r="V13" i="29"/>
  <c r="W13" i="29" s="1"/>
  <c r="X13" i="29" s="1"/>
  <c r="Z13" i="29" s="1"/>
  <c r="AA13" i="29" s="1"/>
  <c r="AD13" i="29" s="1"/>
  <c r="S13" i="29"/>
  <c r="O13" i="29"/>
  <c r="N13" i="29"/>
  <c r="P13" i="29" s="1"/>
  <c r="M13" i="29"/>
  <c r="K13" i="29"/>
  <c r="L13" i="29" s="1"/>
  <c r="J13" i="29"/>
  <c r="Y12" i="29"/>
  <c r="V12" i="29"/>
  <c r="W12" i="29" s="1"/>
  <c r="X12" i="29" s="1"/>
  <c r="Z12" i="29" s="1"/>
  <c r="AA12" i="29" s="1"/>
  <c r="AD12" i="29" s="1"/>
  <c r="S12" i="29"/>
  <c r="O12" i="29"/>
  <c r="N12" i="29"/>
  <c r="P12" i="29" s="1"/>
  <c r="M12" i="29"/>
  <c r="K12" i="29"/>
  <c r="L12" i="29" s="1"/>
  <c r="J12" i="29"/>
  <c r="Y11" i="29"/>
  <c r="V11" i="29"/>
  <c r="S11" i="29"/>
  <c r="O11" i="29"/>
  <c r="N11" i="29"/>
  <c r="P11" i="29" s="1"/>
  <c r="M11" i="29"/>
  <c r="K11" i="29"/>
  <c r="L11" i="29" s="1"/>
  <c r="J11" i="29"/>
  <c r="Y10" i="29"/>
  <c r="V10" i="29"/>
  <c r="S10" i="29"/>
  <c r="O10" i="29"/>
  <c r="N10" i="29"/>
  <c r="P10" i="29" s="1"/>
  <c r="M10" i="29"/>
  <c r="K10" i="29"/>
  <c r="L10" i="29" s="1"/>
  <c r="J10" i="29"/>
  <c r="Y9" i="29"/>
  <c r="V9" i="29"/>
  <c r="W9" i="29" s="1"/>
  <c r="X9" i="29" s="1"/>
  <c r="Z9" i="29" s="1"/>
  <c r="AA9" i="29" s="1"/>
  <c r="AD9" i="29" s="1"/>
  <c r="S9" i="29"/>
  <c r="O9" i="29"/>
  <c r="N9" i="29"/>
  <c r="P9" i="29" s="1"/>
  <c r="M9" i="29"/>
  <c r="K9" i="29"/>
  <c r="L9" i="29" s="1"/>
  <c r="J9" i="29"/>
  <c r="Y8" i="29"/>
  <c r="V8" i="29"/>
  <c r="W8" i="29" s="1"/>
  <c r="X8" i="29" s="1"/>
  <c r="Z8" i="29" s="1"/>
  <c r="AA8" i="29" s="1"/>
  <c r="AD8" i="29" s="1"/>
  <c r="S8" i="29"/>
  <c r="O8" i="29"/>
  <c r="N8" i="29"/>
  <c r="P8" i="29" s="1"/>
  <c r="M8" i="29"/>
  <c r="K8" i="29"/>
  <c r="L8" i="29" s="1"/>
  <c r="J8" i="29"/>
  <c r="Y7" i="29"/>
  <c r="V7" i="29"/>
  <c r="S7" i="29"/>
  <c r="O7" i="29"/>
  <c r="N7" i="29"/>
  <c r="P7" i="29" s="1"/>
  <c r="M7" i="29"/>
  <c r="K7" i="29"/>
  <c r="L7" i="29" s="1"/>
  <c r="J7" i="29"/>
  <c r="Y6" i="29"/>
  <c r="V6" i="29"/>
  <c r="S6" i="29"/>
  <c r="O6" i="29"/>
  <c r="N6" i="29"/>
  <c r="P6" i="29" s="1"/>
  <c r="M6" i="29"/>
  <c r="K6" i="29"/>
  <c r="L6" i="29" s="1"/>
  <c r="J6" i="29"/>
  <c r="Y5" i="29"/>
  <c r="V5" i="29"/>
  <c r="W5" i="29" s="1"/>
  <c r="X5" i="29" s="1"/>
  <c r="Z5" i="29" s="1"/>
  <c r="AA5" i="29" s="1"/>
  <c r="AD5" i="29" s="1"/>
  <c r="S5" i="29"/>
  <c r="O5" i="29"/>
  <c r="N5" i="29"/>
  <c r="P5" i="29" s="1"/>
  <c r="M5" i="29"/>
  <c r="K5" i="29"/>
  <c r="L5" i="29" s="1"/>
  <c r="J5" i="29"/>
  <c r="Y4" i="29"/>
  <c r="V4" i="29"/>
  <c r="W4" i="29" s="1"/>
  <c r="X4" i="29" s="1"/>
  <c r="Z4" i="29" s="1"/>
  <c r="AA4" i="29" s="1"/>
  <c r="AD4" i="29" s="1"/>
  <c r="S4" i="29"/>
  <c r="O4" i="29"/>
  <c r="N4" i="29"/>
  <c r="P4" i="29" s="1"/>
  <c r="M4" i="29"/>
  <c r="K4" i="29"/>
  <c r="L4" i="29" s="1"/>
  <c r="J4" i="29"/>
  <c r="Y14" i="28"/>
  <c r="V14" i="28"/>
  <c r="S14" i="28"/>
  <c r="O14" i="28"/>
  <c r="N14" i="28"/>
  <c r="P14" i="28" s="1"/>
  <c r="M14" i="28"/>
  <c r="K14" i="28"/>
  <c r="L14" i="28" s="1"/>
  <c r="J14" i="28"/>
  <c r="Y13" i="28"/>
  <c r="V13" i="28"/>
  <c r="W13" i="28" s="1"/>
  <c r="X13" i="28" s="1"/>
  <c r="Z13" i="28" s="1"/>
  <c r="AA13" i="28" s="1"/>
  <c r="AD13" i="28" s="1"/>
  <c r="S13" i="28"/>
  <c r="P13" i="28"/>
  <c r="O13" i="28"/>
  <c r="Q13" i="28" s="1"/>
  <c r="R13" i="28" s="1"/>
  <c r="N13" i="28"/>
  <c r="M13" i="28"/>
  <c r="K13" i="28"/>
  <c r="L13" i="28" s="1"/>
  <c r="J13" i="28"/>
  <c r="Y12" i="28"/>
  <c r="V12" i="28"/>
  <c r="W12" i="28" s="1"/>
  <c r="X12" i="28" s="1"/>
  <c r="Z12" i="28" s="1"/>
  <c r="AA12" i="28" s="1"/>
  <c r="AD12" i="28" s="1"/>
  <c r="S12" i="28"/>
  <c r="O12" i="28"/>
  <c r="N12" i="28"/>
  <c r="P12" i="28" s="1"/>
  <c r="M12" i="28"/>
  <c r="K12" i="28"/>
  <c r="L12" i="28" s="1"/>
  <c r="J12" i="28"/>
  <c r="Y11" i="28"/>
  <c r="V11" i="28"/>
  <c r="S11" i="28"/>
  <c r="O11" i="28"/>
  <c r="N11" i="28"/>
  <c r="P11" i="28" s="1"/>
  <c r="W11" i="28" s="1"/>
  <c r="M11" i="28"/>
  <c r="K11" i="28"/>
  <c r="L11" i="28" s="1"/>
  <c r="J11" i="28"/>
  <c r="Y10" i="28"/>
  <c r="V10" i="28"/>
  <c r="S10" i="28"/>
  <c r="O10" i="28"/>
  <c r="N10" i="28"/>
  <c r="P10" i="28" s="1"/>
  <c r="M10" i="28"/>
  <c r="K10" i="28"/>
  <c r="L10" i="28" s="1"/>
  <c r="J10" i="28"/>
  <c r="Y9" i="28"/>
  <c r="V9" i="28"/>
  <c r="W9" i="28" s="1"/>
  <c r="X9" i="28" s="1"/>
  <c r="Z9" i="28" s="1"/>
  <c r="AA9" i="28" s="1"/>
  <c r="AD9" i="28" s="1"/>
  <c r="S9" i="28"/>
  <c r="P9" i="28"/>
  <c r="O9" i="28"/>
  <c r="Q9" i="28" s="1"/>
  <c r="R9" i="28" s="1"/>
  <c r="N9" i="28"/>
  <c r="M9" i="28"/>
  <c r="K9" i="28"/>
  <c r="L9" i="28" s="1"/>
  <c r="J9" i="28"/>
  <c r="Y8" i="28"/>
  <c r="V8" i="28"/>
  <c r="W8" i="28" s="1"/>
  <c r="X8" i="28" s="1"/>
  <c r="Z8" i="28" s="1"/>
  <c r="AA8" i="28" s="1"/>
  <c r="AD8" i="28" s="1"/>
  <c r="S8" i="28"/>
  <c r="O8" i="28"/>
  <c r="Q8" i="28" s="1"/>
  <c r="R8" i="28" s="1"/>
  <c r="U8" i="28" s="1"/>
  <c r="AC8" i="28" s="1"/>
  <c r="N8" i="28"/>
  <c r="P8" i="28" s="1"/>
  <c r="M8" i="28"/>
  <c r="K8" i="28"/>
  <c r="L8" i="28" s="1"/>
  <c r="J8" i="28"/>
  <c r="Y7" i="28"/>
  <c r="V7" i="28"/>
  <c r="S7" i="28"/>
  <c r="O7" i="28"/>
  <c r="N7" i="28"/>
  <c r="P7" i="28" s="1"/>
  <c r="W7" i="28" s="1"/>
  <c r="X7" i="28" s="1"/>
  <c r="Z7" i="28" s="1"/>
  <c r="AA7" i="28" s="1"/>
  <c r="AD7" i="28" s="1"/>
  <c r="M7" i="28"/>
  <c r="L7" i="28"/>
  <c r="K7" i="28"/>
  <c r="J7" i="28"/>
  <c r="Y6" i="28"/>
  <c r="V6" i="28"/>
  <c r="S6" i="28"/>
  <c r="O6" i="28"/>
  <c r="N6" i="28"/>
  <c r="P6" i="28" s="1"/>
  <c r="M6" i="28"/>
  <c r="K6" i="28"/>
  <c r="L6" i="28" s="1"/>
  <c r="J6" i="28"/>
  <c r="Y5" i="28"/>
  <c r="V5" i="28"/>
  <c r="S5" i="28"/>
  <c r="P5" i="28"/>
  <c r="O5" i="28"/>
  <c r="Q5" i="28" s="1"/>
  <c r="R5" i="28" s="1"/>
  <c r="U5" i="28" s="1"/>
  <c r="AC5" i="28" s="1"/>
  <c r="N5" i="28"/>
  <c r="M5" i="28"/>
  <c r="K5" i="28"/>
  <c r="L5" i="28" s="1"/>
  <c r="J5" i="28"/>
  <c r="Y4" i="28"/>
  <c r="V4" i="28"/>
  <c r="W4" i="28" s="1"/>
  <c r="X4" i="28" s="1"/>
  <c r="Z4" i="28" s="1"/>
  <c r="AA4" i="28" s="1"/>
  <c r="AD4" i="28" s="1"/>
  <c r="S4" i="28"/>
  <c r="O4" i="28"/>
  <c r="N4" i="28"/>
  <c r="P4" i="28" s="1"/>
  <c r="M4" i="28"/>
  <c r="K4" i="28"/>
  <c r="L4" i="28" s="1"/>
  <c r="J4" i="28"/>
  <c r="Y14" i="27"/>
  <c r="V14" i="27"/>
  <c r="S14" i="27"/>
  <c r="O14" i="27"/>
  <c r="N14" i="27"/>
  <c r="P14" i="27" s="1"/>
  <c r="M14" i="27"/>
  <c r="L14" i="27"/>
  <c r="K14" i="27"/>
  <c r="J14" i="27"/>
  <c r="Y13" i="27"/>
  <c r="V13" i="27"/>
  <c r="S13" i="27"/>
  <c r="O13" i="27"/>
  <c r="N13" i="27"/>
  <c r="P13" i="27" s="1"/>
  <c r="Q13" i="27" s="1"/>
  <c r="M13" i="27"/>
  <c r="K13" i="27"/>
  <c r="L13" i="27" s="1"/>
  <c r="J13" i="27"/>
  <c r="Y12" i="27"/>
  <c r="V12" i="27"/>
  <c r="S12" i="27"/>
  <c r="O12" i="27"/>
  <c r="N12" i="27"/>
  <c r="P12" i="27" s="1"/>
  <c r="M12" i="27"/>
  <c r="K12" i="27"/>
  <c r="L12" i="27" s="1"/>
  <c r="J12" i="27"/>
  <c r="Y11" i="27"/>
  <c r="V11" i="27"/>
  <c r="S11" i="27"/>
  <c r="O11" i="27"/>
  <c r="N11" i="27"/>
  <c r="P11" i="27" s="1"/>
  <c r="M11" i="27"/>
  <c r="K11" i="27"/>
  <c r="L11" i="27" s="1"/>
  <c r="J11" i="27"/>
  <c r="Y10" i="27"/>
  <c r="V10" i="27"/>
  <c r="S10" i="27"/>
  <c r="O10" i="27"/>
  <c r="N10" i="27"/>
  <c r="P10" i="27" s="1"/>
  <c r="M10" i="27"/>
  <c r="L10" i="27"/>
  <c r="K10" i="27"/>
  <c r="J10" i="27"/>
  <c r="Y9" i="27"/>
  <c r="V9" i="27"/>
  <c r="S9" i="27"/>
  <c r="O9" i="27"/>
  <c r="N9" i="27"/>
  <c r="P9" i="27" s="1"/>
  <c r="Q9" i="27" s="1"/>
  <c r="R9" i="27" s="1"/>
  <c r="U9" i="27" s="1"/>
  <c r="AC9" i="27" s="1"/>
  <c r="M9" i="27"/>
  <c r="K9" i="27"/>
  <c r="L9" i="27" s="1"/>
  <c r="J9" i="27"/>
  <c r="Y8" i="27"/>
  <c r="V8" i="27"/>
  <c r="S8" i="27"/>
  <c r="O8" i="27"/>
  <c r="N8" i="27"/>
  <c r="P8" i="27" s="1"/>
  <c r="M8" i="27"/>
  <c r="K8" i="27"/>
  <c r="L8" i="27" s="1"/>
  <c r="J8" i="27"/>
  <c r="Y7" i="27"/>
  <c r="V7" i="27"/>
  <c r="S7" i="27"/>
  <c r="O7" i="27"/>
  <c r="N7" i="27"/>
  <c r="P7" i="27" s="1"/>
  <c r="M7" i="27"/>
  <c r="K7" i="27"/>
  <c r="L7" i="27" s="1"/>
  <c r="J7" i="27"/>
  <c r="Y6" i="27"/>
  <c r="V6" i="27"/>
  <c r="S6" i="27"/>
  <c r="O6" i="27"/>
  <c r="N6" i="27"/>
  <c r="P6" i="27" s="1"/>
  <c r="M6" i="27"/>
  <c r="L6" i="27"/>
  <c r="K6" i="27"/>
  <c r="J6" i="27"/>
  <c r="Y5" i="27"/>
  <c r="V5" i="27"/>
  <c r="S5" i="27"/>
  <c r="O5" i="27"/>
  <c r="N5" i="27"/>
  <c r="P5" i="27" s="1"/>
  <c r="Q5" i="27" s="1"/>
  <c r="R5" i="27" s="1"/>
  <c r="U5" i="27" s="1"/>
  <c r="AC5" i="27" s="1"/>
  <c r="M5" i="27"/>
  <c r="K5" i="27"/>
  <c r="L5" i="27" s="1"/>
  <c r="J5" i="27"/>
  <c r="Y4" i="27"/>
  <c r="V4" i="27"/>
  <c r="S4" i="27"/>
  <c r="O4" i="27"/>
  <c r="N4" i="27"/>
  <c r="P4" i="27" s="1"/>
  <c r="M4" i="27"/>
  <c r="K4" i="27"/>
  <c r="L4" i="27" s="1"/>
  <c r="J4" i="27"/>
  <c r="Y14" i="26"/>
  <c r="V14" i="26"/>
  <c r="S14" i="26"/>
  <c r="O14" i="26"/>
  <c r="N14" i="26"/>
  <c r="P14" i="26" s="1"/>
  <c r="M14" i="26"/>
  <c r="K14" i="26"/>
  <c r="L14" i="26" s="1"/>
  <c r="J14" i="26"/>
  <c r="Y13" i="26"/>
  <c r="V13" i="26"/>
  <c r="W13" i="26" s="1"/>
  <c r="X13" i="26" s="1"/>
  <c r="Z13" i="26" s="1"/>
  <c r="AA13" i="26" s="1"/>
  <c r="AD13" i="26" s="1"/>
  <c r="S13" i="26"/>
  <c r="O13" i="26"/>
  <c r="N13" i="26"/>
  <c r="P13" i="26" s="1"/>
  <c r="M13" i="26"/>
  <c r="K13" i="26"/>
  <c r="L13" i="26" s="1"/>
  <c r="J13" i="26"/>
  <c r="Y12" i="26"/>
  <c r="V12" i="26"/>
  <c r="W12" i="26" s="1"/>
  <c r="X12" i="26" s="1"/>
  <c r="Z12" i="26" s="1"/>
  <c r="AA12" i="26" s="1"/>
  <c r="AD12" i="26" s="1"/>
  <c r="S12" i="26"/>
  <c r="O12" i="26"/>
  <c r="N12" i="26"/>
  <c r="P12" i="26" s="1"/>
  <c r="M12" i="26"/>
  <c r="K12" i="26"/>
  <c r="L12" i="26" s="1"/>
  <c r="J12" i="26"/>
  <c r="Y11" i="26"/>
  <c r="V11" i="26"/>
  <c r="S11" i="26"/>
  <c r="O11" i="26"/>
  <c r="N11" i="26"/>
  <c r="P11" i="26" s="1"/>
  <c r="M11" i="26"/>
  <c r="K11" i="26"/>
  <c r="L11" i="26" s="1"/>
  <c r="J11" i="26"/>
  <c r="Y10" i="26"/>
  <c r="V10" i="26"/>
  <c r="S10" i="26"/>
  <c r="O10" i="26"/>
  <c r="N10" i="26"/>
  <c r="P10" i="26" s="1"/>
  <c r="M10" i="26"/>
  <c r="K10" i="26"/>
  <c r="L10" i="26" s="1"/>
  <c r="J10" i="26"/>
  <c r="Y9" i="26"/>
  <c r="V9" i="26"/>
  <c r="S9" i="26"/>
  <c r="O9" i="26"/>
  <c r="N9" i="26"/>
  <c r="P9" i="26" s="1"/>
  <c r="M9" i="26"/>
  <c r="K9" i="26"/>
  <c r="L9" i="26" s="1"/>
  <c r="J9" i="26"/>
  <c r="Y8" i="26"/>
  <c r="V8" i="26"/>
  <c r="W8" i="26" s="1"/>
  <c r="X8" i="26" s="1"/>
  <c r="Z8" i="26" s="1"/>
  <c r="AA8" i="26" s="1"/>
  <c r="AD8" i="26" s="1"/>
  <c r="S8" i="26"/>
  <c r="O8" i="26"/>
  <c r="N8" i="26"/>
  <c r="P8" i="26" s="1"/>
  <c r="M8" i="26"/>
  <c r="K8" i="26"/>
  <c r="L8" i="26" s="1"/>
  <c r="J8" i="26"/>
  <c r="Y7" i="26"/>
  <c r="V7" i="26"/>
  <c r="S7" i="26"/>
  <c r="O7" i="26"/>
  <c r="N7" i="26"/>
  <c r="P7" i="26" s="1"/>
  <c r="M7" i="26"/>
  <c r="K7" i="26"/>
  <c r="L7" i="26" s="1"/>
  <c r="J7" i="26"/>
  <c r="Y6" i="26"/>
  <c r="V6" i="26"/>
  <c r="S6" i="26"/>
  <c r="P6" i="26"/>
  <c r="Q6" i="26" s="1"/>
  <c r="R6" i="26" s="1"/>
  <c r="U6" i="26" s="1"/>
  <c r="AC6" i="26" s="1"/>
  <c r="O6" i="26"/>
  <c r="N6" i="26"/>
  <c r="M6" i="26"/>
  <c r="K6" i="26"/>
  <c r="L6" i="26" s="1"/>
  <c r="J6" i="26"/>
  <c r="Y5" i="26"/>
  <c r="V5" i="26"/>
  <c r="S5" i="26"/>
  <c r="O5" i="26"/>
  <c r="N5" i="26"/>
  <c r="P5" i="26" s="1"/>
  <c r="M5" i="26"/>
  <c r="K5" i="26"/>
  <c r="L5" i="26" s="1"/>
  <c r="J5" i="26"/>
  <c r="Y4" i="26"/>
  <c r="V4" i="26"/>
  <c r="W4" i="26" s="1"/>
  <c r="X4" i="26" s="1"/>
  <c r="Z4" i="26" s="1"/>
  <c r="AA4" i="26" s="1"/>
  <c r="AD4" i="26" s="1"/>
  <c r="S4" i="26"/>
  <c r="O4" i="26"/>
  <c r="N4" i="26"/>
  <c r="P4" i="26" s="1"/>
  <c r="M4" i="26"/>
  <c r="K4" i="26"/>
  <c r="L4" i="26" s="1"/>
  <c r="J4" i="26"/>
  <c r="Y14" i="25"/>
  <c r="V14" i="25"/>
  <c r="S14" i="25"/>
  <c r="O14" i="25"/>
  <c r="N14" i="25"/>
  <c r="P14" i="25" s="1"/>
  <c r="M14" i="25"/>
  <c r="K14" i="25"/>
  <c r="L14" i="25" s="1"/>
  <c r="J14" i="25"/>
  <c r="Y13" i="25"/>
  <c r="V13" i="25"/>
  <c r="W13" i="25" s="1"/>
  <c r="X13" i="25" s="1"/>
  <c r="Z13" i="25" s="1"/>
  <c r="AA13" i="25" s="1"/>
  <c r="AD13" i="25" s="1"/>
  <c r="S13" i="25"/>
  <c r="O13" i="25"/>
  <c r="N13" i="25"/>
  <c r="P13" i="25" s="1"/>
  <c r="M13" i="25"/>
  <c r="K13" i="25"/>
  <c r="L13" i="25" s="1"/>
  <c r="J13" i="25"/>
  <c r="Y12" i="25"/>
  <c r="V12" i="25"/>
  <c r="S12" i="25"/>
  <c r="O12" i="25"/>
  <c r="N12" i="25"/>
  <c r="P12" i="25" s="1"/>
  <c r="M12" i="25"/>
  <c r="L12" i="25"/>
  <c r="K12" i="25"/>
  <c r="J12" i="25"/>
  <c r="Y11" i="25"/>
  <c r="V11" i="25"/>
  <c r="W11" i="25" s="1"/>
  <c r="X11" i="25" s="1"/>
  <c r="Z11" i="25" s="1"/>
  <c r="AA11" i="25" s="1"/>
  <c r="AD11" i="25" s="1"/>
  <c r="S11" i="25"/>
  <c r="P11" i="25"/>
  <c r="Q11" i="25" s="1"/>
  <c r="R11" i="25" s="1"/>
  <c r="U11" i="25" s="1"/>
  <c r="AC11" i="25" s="1"/>
  <c r="O11" i="25"/>
  <c r="N11" i="25"/>
  <c r="M11" i="25"/>
  <c r="K11" i="25"/>
  <c r="L11" i="25" s="1"/>
  <c r="J11" i="25"/>
  <c r="Y10" i="25"/>
  <c r="V10" i="25"/>
  <c r="S10" i="25"/>
  <c r="O10" i="25"/>
  <c r="N10" i="25"/>
  <c r="P10" i="25" s="1"/>
  <c r="M10" i="25"/>
  <c r="K10" i="25"/>
  <c r="L10" i="25" s="1"/>
  <c r="J10" i="25"/>
  <c r="Y9" i="25"/>
  <c r="V9" i="25"/>
  <c r="S9" i="25"/>
  <c r="O9" i="25"/>
  <c r="N9" i="25"/>
  <c r="P9" i="25" s="1"/>
  <c r="M9" i="25"/>
  <c r="K9" i="25"/>
  <c r="L9" i="25" s="1"/>
  <c r="J9" i="25"/>
  <c r="Y8" i="25"/>
  <c r="V8" i="25"/>
  <c r="S8" i="25"/>
  <c r="O8" i="25"/>
  <c r="N8" i="25"/>
  <c r="P8" i="25" s="1"/>
  <c r="M8" i="25"/>
  <c r="L8" i="25"/>
  <c r="K8" i="25"/>
  <c r="J8" i="25"/>
  <c r="Y7" i="25"/>
  <c r="V7" i="25"/>
  <c r="W7" i="25" s="1"/>
  <c r="X7" i="25" s="1"/>
  <c r="Z7" i="25" s="1"/>
  <c r="AA7" i="25" s="1"/>
  <c r="AD7" i="25" s="1"/>
  <c r="S7" i="25"/>
  <c r="P7" i="25"/>
  <c r="Q7" i="25" s="1"/>
  <c r="R7" i="25" s="1"/>
  <c r="U7" i="25" s="1"/>
  <c r="AC7" i="25" s="1"/>
  <c r="O7" i="25"/>
  <c r="N7" i="25"/>
  <c r="M7" i="25"/>
  <c r="K7" i="25"/>
  <c r="L7" i="25" s="1"/>
  <c r="J7" i="25"/>
  <c r="Y6" i="25"/>
  <c r="V6" i="25"/>
  <c r="S6" i="25"/>
  <c r="O6" i="25"/>
  <c r="N6" i="25"/>
  <c r="P6" i="25" s="1"/>
  <c r="M6" i="25"/>
  <c r="K6" i="25"/>
  <c r="L6" i="25" s="1"/>
  <c r="J6" i="25"/>
  <c r="Y5" i="25"/>
  <c r="V5" i="25"/>
  <c r="W5" i="25" s="1"/>
  <c r="X5" i="25" s="1"/>
  <c r="Z5" i="25" s="1"/>
  <c r="AA5" i="25" s="1"/>
  <c r="AD5" i="25" s="1"/>
  <c r="S5" i="25"/>
  <c r="O5" i="25"/>
  <c r="Q5" i="25" s="1"/>
  <c r="R5" i="25" s="1"/>
  <c r="U5" i="25" s="1"/>
  <c r="AC5" i="25" s="1"/>
  <c r="N5" i="25"/>
  <c r="P5" i="25" s="1"/>
  <c r="M5" i="25"/>
  <c r="K5" i="25"/>
  <c r="L5" i="25" s="1"/>
  <c r="J5" i="25"/>
  <c r="Y4" i="25"/>
  <c r="V4" i="25"/>
  <c r="S4" i="25"/>
  <c r="O4" i="25"/>
  <c r="N4" i="25"/>
  <c r="P4" i="25" s="1"/>
  <c r="M4" i="25"/>
  <c r="L4" i="25"/>
  <c r="K4" i="25"/>
  <c r="J4" i="25"/>
  <c r="Y14" i="24"/>
  <c r="V14" i="24"/>
  <c r="S14" i="24"/>
  <c r="O14" i="24"/>
  <c r="N14" i="24"/>
  <c r="P14" i="24" s="1"/>
  <c r="M14" i="24"/>
  <c r="K14" i="24"/>
  <c r="L14" i="24" s="1"/>
  <c r="J14" i="24"/>
  <c r="Y13" i="24"/>
  <c r="V13" i="24"/>
  <c r="W13" i="24" s="1"/>
  <c r="X13" i="24" s="1"/>
  <c r="AA13" i="24" s="1"/>
  <c r="AD13" i="24" s="1"/>
  <c r="S13" i="24"/>
  <c r="O13" i="24"/>
  <c r="N13" i="24"/>
  <c r="P13" i="24" s="1"/>
  <c r="M13" i="24"/>
  <c r="K13" i="24"/>
  <c r="L13" i="24" s="1"/>
  <c r="J13" i="24"/>
  <c r="Y12" i="24"/>
  <c r="V12" i="24"/>
  <c r="S12" i="24"/>
  <c r="O12" i="24"/>
  <c r="N12" i="24"/>
  <c r="P12" i="24" s="1"/>
  <c r="M12" i="24"/>
  <c r="L12" i="24"/>
  <c r="K12" i="24"/>
  <c r="J12" i="24"/>
  <c r="Y11" i="24"/>
  <c r="V11" i="24"/>
  <c r="W11" i="24" s="1"/>
  <c r="S11" i="24"/>
  <c r="P11" i="24"/>
  <c r="Q11" i="24" s="1"/>
  <c r="R11" i="24" s="1"/>
  <c r="O11" i="24"/>
  <c r="N11" i="24"/>
  <c r="M11" i="24"/>
  <c r="K11" i="24"/>
  <c r="L11" i="24" s="1"/>
  <c r="J11" i="24"/>
  <c r="Y10" i="24"/>
  <c r="V10" i="24"/>
  <c r="S10" i="24"/>
  <c r="O10" i="24"/>
  <c r="N10" i="24"/>
  <c r="P10" i="24" s="1"/>
  <c r="M10" i="24"/>
  <c r="K10" i="24"/>
  <c r="L10" i="24" s="1"/>
  <c r="J10" i="24"/>
  <c r="Y9" i="24"/>
  <c r="V9" i="24"/>
  <c r="S9" i="24"/>
  <c r="O9" i="24"/>
  <c r="N9" i="24"/>
  <c r="P9" i="24" s="1"/>
  <c r="M9" i="24"/>
  <c r="K9" i="24"/>
  <c r="L9" i="24" s="1"/>
  <c r="J9" i="24"/>
  <c r="Y8" i="24"/>
  <c r="V8" i="24"/>
  <c r="S8" i="24"/>
  <c r="O8" i="24"/>
  <c r="N8" i="24"/>
  <c r="P8" i="24" s="1"/>
  <c r="M8" i="24"/>
  <c r="L8" i="24"/>
  <c r="K8" i="24"/>
  <c r="J8" i="24"/>
  <c r="Y7" i="24"/>
  <c r="V7" i="24"/>
  <c r="W7" i="24" s="1"/>
  <c r="S7" i="24"/>
  <c r="P7" i="24"/>
  <c r="Q7" i="24" s="1"/>
  <c r="R7" i="24" s="1"/>
  <c r="U7" i="24" s="1"/>
  <c r="AC7" i="24" s="1"/>
  <c r="O7" i="24"/>
  <c r="N7" i="24"/>
  <c r="M7" i="24"/>
  <c r="K7" i="24"/>
  <c r="L7" i="24" s="1"/>
  <c r="J7" i="24"/>
  <c r="Y6" i="24"/>
  <c r="V6" i="24"/>
  <c r="S6" i="24"/>
  <c r="O6" i="24"/>
  <c r="N6" i="24"/>
  <c r="P6" i="24" s="1"/>
  <c r="M6" i="24"/>
  <c r="K6" i="24"/>
  <c r="L6" i="24" s="1"/>
  <c r="J6" i="24"/>
  <c r="Y5" i="24"/>
  <c r="V5" i="24"/>
  <c r="W5" i="24" s="1"/>
  <c r="S5" i="24"/>
  <c r="O5" i="24"/>
  <c r="Q5" i="24" s="1"/>
  <c r="R5" i="24" s="1"/>
  <c r="U5" i="24" s="1"/>
  <c r="AC5" i="24" s="1"/>
  <c r="N5" i="24"/>
  <c r="P5" i="24" s="1"/>
  <c r="M5" i="24"/>
  <c r="K5" i="24"/>
  <c r="L5" i="24" s="1"/>
  <c r="J5" i="24"/>
  <c r="Y4" i="24"/>
  <c r="V4" i="24"/>
  <c r="S4" i="24"/>
  <c r="O4" i="24"/>
  <c r="N4" i="24"/>
  <c r="P4" i="24" s="1"/>
  <c r="M4" i="24"/>
  <c r="L4" i="24"/>
  <c r="K4" i="24"/>
  <c r="J4" i="24"/>
  <c r="Y14" i="36"/>
  <c r="V14" i="36"/>
  <c r="S14" i="36"/>
  <c r="O14" i="36"/>
  <c r="N14" i="36"/>
  <c r="P14" i="36" s="1"/>
  <c r="M14" i="36"/>
  <c r="K14" i="36"/>
  <c r="L14" i="36" s="1"/>
  <c r="J14" i="36"/>
  <c r="Y13" i="36"/>
  <c r="V13" i="36"/>
  <c r="S13" i="36"/>
  <c r="O13" i="36"/>
  <c r="N13" i="36"/>
  <c r="P13" i="36" s="1"/>
  <c r="M13" i="36"/>
  <c r="K13" i="36"/>
  <c r="L13" i="36" s="1"/>
  <c r="J13" i="36"/>
  <c r="Y12" i="36"/>
  <c r="V12" i="36"/>
  <c r="S12" i="36"/>
  <c r="O12" i="36"/>
  <c r="N12" i="36"/>
  <c r="P12" i="36" s="1"/>
  <c r="M12" i="36"/>
  <c r="K12" i="36"/>
  <c r="L12" i="36" s="1"/>
  <c r="J12" i="36"/>
  <c r="Y11" i="36"/>
  <c r="V11" i="36"/>
  <c r="S11" i="36"/>
  <c r="O11" i="36"/>
  <c r="N11" i="36"/>
  <c r="P11" i="36" s="1"/>
  <c r="M11" i="36"/>
  <c r="K11" i="36"/>
  <c r="L11" i="36" s="1"/>
  <c r="J11" i="36"/>
  <c r="Y10" i="36"/>
  <c r="V10" i="36"/>
  <c r="S10" i="36"/>
  <c r="O10" i="36"/>
  <c r="N10" i="36"/>
  <c r="P10" i="36" s="1"/>
  <c r="M10" i="36"/>
  <c r="K10" i="36"/>
  <c r="L10" i="36" s="1"/>
  <c r="J10" i="36"/>
  <c r="Y9" i="36"/>
  <c r="V9" i="36"/>
  <c r="S9" i="36"/>
  <c r="O9" i="36"/>
  <c r="N9" i="36"/>
  <c r="P9" i="36" s="1"/>
  <c r="M9" i="36"/>
  <c r="K9" i="36"/>
  <c r="L9" i="36" s="1"/>
  <c r="J9" i="36"/>
  <c r="Y8" i="36"/>
  <c r="V8" i="36"/>
  <c r="S8" i="36"/>
  <c r="O8" i="36"/>
  <c r="N8" i="36"/>
  <c r="P8" i="36" s="1"/>
  <c r="M8" i="36"/>
  <c r="K8" i="36"/>
  <c r="L8" i="36" s="1"/>
  <c r="J8" i="36"/>
  <c r="Y7" i="36"/>
  <c r="V7" i="36"/>
  <c r="S7" i="36"/>
  <c r="O7" i="36"/>
  <c r="N7" i="36"/>
  <c r="P7" i="36" s="1"/>
  <c r="M7" i="36"/>
  <c r="K7" i="36"/>
  <c r="L7" i="36" s="1"/>
  <c r="J7" i="36"/>
  <c r="Y6" i="36"/>
  <c r="V6" i="36"/>
  <c r="S6" i="36"/>
  <c r="O6" i="36"/>
  <c r="N6" i="36"/>
  <c r="P6" i="36" s="1"/>
  <c r="M6" i="36"/>
  <c r="K6" i="36"/>
  <c r="L6" i="36" s="1"/>
  <c r="J6" i="36"/>
  <c r="Y5" i="36"/>
  <c r="V5" i="36"/>
  <c r="S5" i="36"/>
  <c r="O5" i="36"/>
  <c r="N5" i="36"/>
  <c r="P5" i="36" s="1"/>
  <c r="M5" i="36"/>
  <c r="K5" i="36"/>
  <c r="L5" i="36" s="1"/>
  <c r="J5" i="36"/>
  <c r="Y4" i="36"/>
  <c r="V4" i="36"/>
  <c r="S4" i="36"/>
  <c r="O4" i="36"/>
  <c r="N4" i="36"/>
  <c r="P4" i="36" s="1"/>
  <c r="M4" i="36"/>
  <c r="K4" i="36"/>
  <c r="L4" i="36" s="1"/>
  <c r="J4" i="36"/>
  <c r="Y14" i="22"/>
  <c r="V14" i="22"/>
  <c r="S14" i="22"/>
  <c r="O14" i="22"/>
  <c r="N14" i="22"/>
  <c r="P14" i="22" s="1"/>
  <c r="M14" i="22"/>
  <c r="K14" i="22"/>
  <c r="L14" i="22" s="1"/>
  <c r="J14" i="22"/>
  <c r="Y13" i="22"/>
  <c r="V13" i="22"/>
  <c r="S13" i="22"/>
  <c r="O13" i="22"/>
  <c r="N13" i="22"/>
  <c r="P13" i="22" s="1"/>
  <c r="M13" i="22"/>
  <c r="K13" i="22"/>
  <c r="L13" i="22" s="1"/>
  <c r="J13" i="22"/>
  <c r="Y12" i="22"/>
  <c r="V12" i="22"/>
  <c r="S12" i="22"/>
  <c r="O12" i="22"/>
  <c r="N12" i="22"/>
  <c r="P12" i="22" s="1"/>
  <c r="M12" i="22"/>
  <c r="K12" i="22"/>
  <c r="L12" i="22" s="1"/>
  <c r="J12" i="22"/>
  <c r="Y11" i="22"/>
  <c r="V11" i="22"/>
  <c r="S11" i="22"/>
  <c r="O11" i="22"/>
  <c r="N11" i="22"/>
  <c r="P11" i="22" s="1"/>
  <c r="M11" i="22"/>
  <c r="K11" i="22"/>
  <c r="L11" i="22" s="1"/>
  <c r="J11" i="22"/>
  <c r="Y10" i="22"/>
  <c r="V10" i="22"/>
  <c r="S10" i="22"/>
  <c r="O10" i="22"/>
  <c r="N10" i="22"/>
  <c r="P10" i="22" s="1"/>
  <c r="M10" i="22"/>
  <c r="K10" i="22"/>
  <c r="L10" i="22" s="1"/>
  <c r="J10" i="22"/>
  <c r="Y9" i="22"/>
  <c r="V9" i="22"/>
  <c r="S9" i="22"/>
  <c r="O9" i="22"/>
  <c r="N9" i="22"/>
  <c r="P9" i="22" s="1"/>
  <c r="M9" i="22"/>
  <c r="K9" i="22"/>
  <c r="L9" i="22" s="1"/>
  <c r="J9" i="22"/>
  <c r="Y8" i="22"/>
  <c r="V8" i="22"/>
  <c r="S8" i="22"/>
  <c r="O8" i="22"/>
  <c r="N8" i="22"/>
  <c r="P8" i="22" s="1"/>
  <c r="M8" i="22"/>
  <c r="K8" i="22"/>
  <c r="L8" i="22" s="1"/>
  <c r="J8" i="22"/>
  <c r="Y7" i="22"/>
  <c r="V7" i="22"/>
  <c r="W7" i="22" s="1"/>
  <c r="X7" i="22" s="1"/>
  <c r="AA7" i="22" s="1"/>
  <c r="AD7" i="22" s="1"/>
  <c r="S7" i="22"/>
  <c r="O7" i="22"/>
  <c r="Q7" i="22" s="1"/>
  <c r="R7" i="22" s="1"/>
  <c r="U7" i="22" s="1"/>
  <c r="AC7" i="22" s="1"/>
  <c r="N7" i="22"/>
  <c r="P7" i="22" s="1"/>
  <c r="M7" i="22"/>
  <c r="K7" i="22"/>
  <c r="L7" i="22" s="1"/>
  <c r="J7" i="22"/>
  <c r="Y6" i="22"/>
  <c r="V6" i="22"/>
  <c r="S6" i="22"/>
  <c r="O6" i="22"/>
  <c r="N6" i="22"/>
  <c r="P6" i="22" s="1"/>
  <c r="M6" i="22"/>
  <c r="K6" i="22"/>
  <c r="L6" i="22" s="1"/>
  <c r="J6" i="22"/>
  <c r="Y5" i="22"/>
  <c r="V5" i="22"/>
  <c r="W5" i="22" s="1"/>
  <c r="X5" i="22" s="1"/>
  <c r="S5" i="22"/>
  <c r="O5" i="22"/>
  <c r="N5" i="22"/>
  <c r="P5" i="22" s="1"/>
  <c r="M5" i="22"/>
  <c r="K5" i="22"/>
  <c r="L5" i="22" s="1"/>
  <c r="J5" i="22"/>
  <c r="Y4" i="22"/>
  <c r="V4" i="22"/>
  <c r="W4" i="22" s="1"/>
  <c r="X4" i="22" s="1"/>
  <c r="AA4" i="22" s="1"/>
  <c r="AD4" i="22" s="1"/>
  <c r="S4" i="22"/>
  <c r="O4" i="22"/>
  <c r="N4" i="22"/>
  <c r="P4" i="22" s="1"/>
  <c r="M4" i="22"/>
  <c r="K4" i="22"/>
  <c r="L4" i="22" s="1"/>
  <c r="J4" i="22"/>
  <c r="Y14" i="21"/>
  <c r="V14" i="21"/>
  <c r="S14" i="21"/>
  <c r="O14" i="21"/>
  <c r="N14" i="21"/>
  <c r="P14" i="21" s="1"/>
  <c r="M14" i="21"/>
  <c r="K14" i="21"/>
  <c r="L14" i="21" s="1"/>
  <c r="J14" i="21"/>
  <c r="Y13" i="21"/>
  <c r="V13" i="21"/>
  <c r="W13" i="21" s="1"/>
  <c r="X13" i="21" s="1"/>
  <c r="AA13" i="21" s="1"/>
  <c r="AD13" i="21" s="1"/>
  <c r="S13" i="21"/>
  <c r="O13" i="21"/>
  <c r="N13" i="21"/>
  <c r="P13" i="21" s="1"/>
  <c r="M13" i="21"/>
  <c r="K13" i="21"/>
  <c r="L13" i="21" s="1"/>
  <c r="J13" i="21"/>
  <c r="Y12" i="21"/>
  <c r="V12" i="21"/>
  <c r="W12" i="21" s="1"/>
  <c r="X12" i="21" s="1"/>
  <c r="AA12" i="21" s="1"/>
  <c r="AD12" i="21" s="1"/>
  <c r="S12" i="21"/>
  <c r="O12" i="21"/>
  <c r="N12" i="21"/>
  <c r="P12" i="21" s="1"/>
  <c r="M12" i="21"/>
  <c r="K12" i="21"/>
  <c r="L12" i="21" s="1"/>
  <c r="J12" i="21"/>
  <c r="Y11" i="21"/>
  <c r="V11" i="21"/>
  <c r="S11" i="21"/>
  <c r="O11" i="21"/>
  <c r="N11" i="21"/>
  <c r="P11" i="21" s="1"/>
  <c r="M11" i="21"/>
  <c r="K11" i="21"/>
  <c r="L11" i="21" s="1"/>
  <c r="J11" i="21"/>
  <c r="Y10" i="21"/>
  <c r="V10" i="21"/>
  <c r="S10" i="21"/>
  <c r="O10" i="21"/>
  <c r="N10" i="21"/>
  <c r="P10" i="21" s="1"/>
  <c r="M10" i="21"/>
  <c r="K10" i="21"/>
  <c r="L10" i="21" s="1"/>
  <c r="J10" i="21"/>
  <c r="Y9" i="21"/>
  <c r="V9" i="21"/>
  <c r="W9" i="21" s="1"/>
  <c r="X9" i="21" s="1"/>
  <c r="AA9" i="21" s="1"/>
  <c r="AD9" i="21" s="1"/>
  <c r="S9" i="21"/>
  <c r="O9" i="21"/>
  <c r="N9" i="21"/>
  <c r="P9" i="21" s="1"/>
  <c r="M9" i="21"/>
  <c r="K9" i="21"/>
  <c r="L9" i="21" s="1"/>
  <c r="J9" i="21"/>
  <c r="Y8" i="21"/>
  <c r="V8" i="21"/>
  <c r="W8" i="21" s="1"/>
  <c r="X8" i="21" s="1"/>
  <c r="AA8" i="21" s="1"/>
  <c r="AD8" i="21" s="1"/>
  <c r="S8" i="21"/>
  <c r="O8" i="21"/>
  <c r="N8" i="21"/>
  <c r="P8" i="21" s="1"/>
  <c r="M8" i="21"/>
  <c r="K8" i="21"/>
  <c r="L8" i="21" s="1"/>
  <c r="J8" i="21"/>
  <c r="Y7" i="21"/>
  <c r="V7" i="21"/>
  <c r="S7" i="21"/>
  <c r="O7" i="21"/>
  <c r="N7" i="21"/>
  <c r="P7" i="21" s="1"/>
  <c r="M7" i="21"/>
  <c r="K7" i="21"/>
  <c r="L7" i="21" s="1"/>
  <c r="J7" i="21"/>
  <c r="Y6" i="21"/>
  <c r="V6" i="21"/>
  <c r="S6" i="21"/>
  <c r="O6" i="21"/>
  <c r="N6" i="21"/>
  <c r="P6" i="21" s="1"/>
  <c r="M6" i="21"/>
  <c r="K6" i="21"/>
  <c r="L6" i="21" s="1"/>
  <c r="J6" i="21"/>
  <c r="Y5" i="21"/>
  <c r="V5" i="21"/>
  <c r="W5" i="21" s="1"/>
  <c r="X5" i="21" s="1"/>
  <c r="S5" i="21"/>
  <c r="O5" i="21"/>
  <c r="N5" i="21"/>
  <c r="P5" i="21" s="1"/>
  <c r="M5" i="21"/>
  <c r="K5" i="21"/>
  <c r="L5" i="21" s="1"/>
  <c r="J5" i="21"/>
  <c r="Y4" i="21"/>
  <c r="V4" i="21"/>
  <c r="W4" i="21" s="1"/>
  <c r="S4" i="21"/>
  <c r="O4" i="21"/>
  <c r="N4" i="21"/>
  <c r="P4" i="21" s="1"/>
  <c r="M4" i="21"/>
  <c r="K4" i="21"/>
  <c r="L4" i="21" s="1"/>
  <c r="J4" i="21"/>
  <c r="Y14" i="20"/>
  <c r="V14" i="20"/>
  <c r="S14" i="20"/>
  <c r="O14" i="20"/>
  <c r="N14" i="20"/>
  <c r="P14" i="20" s="1"/>
  <c r="M14" i="20"/>
  <c r="K14" i="20"/>
  <c r="L14" i="20" s="1"/>
  <c r="J14" i="20"/>
  <c r="Y13" i="20"/>
  <c r="V13" i="20"/>
  <c r="S13" i="20"/>
  <c r="O13" i="20"/>
  <c r="N13" i="20"/>
  <c r="P13" i="20" s="1"/>
  <c r="M13" i="20"/>
  <c r="K13" i="20"/>
  <c r="L13" i="20" s="1"/>
  <c r="J13" i="20"/>
  <c r="Y12" i="20"/>
  <c r="V12" i="20"/>
  <c r="S12" i="20"/>
  <c r="O12" i="20"/>
  <c r="N12" i="20"/>
  <c r="P12" i="20" s="1"/>
  <c r="M12" i="20"/>
  <c r="K12" i="20"/>
  <c r="L12" i="20" s="1"/>
  <c r="J12" i="20"/>
  <c r="Y11" i="20"/>
  <c r="V11" i="20"/>
  <c r="S11" i="20"/>
  <c r="O11" i="20"/>
  <c r="N11" i="20"/>
  <c r="P11" i="20" s="1"/>
  <c r="M11" i="20"/>
  <c r="K11" i="20"/>
  <c r="L11" i="20" s="1"/>
  <c r="J11" i="20"/>
  <c r="Y10" i="20"/>
  <c r="V10" i="20"/>
  <c r="S10" i="20"/>
  <c r="O10" i="20"/>
  <c r="N10" i="20"/>
  <c r="P10" i="20" s="1"/>
  <c r="M10" i="20"/>
  <c r="K10" i="20"/>
  <c r="L10" i="20" s="1"/>
  <c r="J10" i="20"/>
  <c r="Y9" i="20"/>
  <c r="V9" i="20"/>
  <c r="W9" i="20" s="1"/>
  <c r="X9" i="20" s="1"/>
  <c r="S9" i="20"/>
  <c r="O9" i="20"/>
  <c r="Q9" i="20" s="1"/>
  <c r="R9" i="20" s="1"/>
  <c r="N9" i="20"/>
  <c r="P9" i="20" s="1"/>
  <c r="M9" i="20"/>
  <c r="K9" i="20"/>
  <c r="L9" i="20" s="1"/>
  <c r="J9" i="20"/>
  <c r="Y8" i="20"/>
  <c r="V8" i="20"/>
  <c r="W8" i="20" s="1"/>
  <c r="X8" i="20" s="1"/>
  <c r="S8" i="20"/>
  <c r="O8" i="20"/>
  <c r="N8" i="20"/>
  <c r="P8" i="20" s="1"/>
  <c r="M8" i="20"/>
  <c r="K8" i="20"/>
  <c r="L8" i="20" s="1"/>
  <c r="J8" i="20"/>
  <c r="Y7" i="20"/>
  <c r="V7" i="20"/>
  <c r="S7" i="20"/>
  <c r="O7" i="20"/>
  <c r="N7" i="20"/>
  <c r="P7" i="20" s="1"/>
  <c r="M7" i="20"/>
  <c r="K7" i="20"/>
  <c r="L7" i="20" s="1"/>
  <c r="J7" i="20"/>
  <c r="Y6" i="20"/>
  <c r="V6" i="20"/>
  <c r="S6" i="20"/>
  <c r="O6" i="20"/>
  <c r="N6" i="20"/>
  <c r="P6" i="20" s="1"/>
  <c r="M6" i="20"/>
  <c r="K6" i="20"/>
  <c r="L6" i="20" s="1"/>
  <c r="J6" i="20"/>
  <c r="Y5" i="20"/>
  <c r="V5" i="20"/>
  <c r="S5" i="20"/>
  <c r="O5" i="20"/>
  <c r="N5" i="20"/>
  <c r="P5" i="20" s="1"/>
  <c r="M5" i="20"/>
  <c r="K5" i="20"/>
  <c r="L5" i="20" s="1"/>
  <c r="J5" i="20"/>
  <c r="Y4" i="20"/>
  <c r="V4" i="20"/>
  <c r="W4" i="20" s="1"/>
  <c r="X4" i="20" s="1"/>
  <c r="S4" i="20"/>
  <c r="O4" i="20"/>
  <c r="N4" i="20"/>
  <c r="P4" i="20" s="1"/>
  <c r="M4" i="20"/>
  <c r="K4" i="20"/>
  <c r="L4" i="20" s="1"/>
  <c r="J4" i="20"/>
  <c r="Y14" i="19"/>
  <c r="V14" i="19"/>
  <c r="W14" i="19" s="1"/>
  <c r="S14" i="19"/>
  <c r="O14" i="19"/>
  <c r="N14" i="19"/>
  <c r="P14" i="19" s="1"/>
  <c r="M14" i="19"/>
  <c r="K14" i="19"/>
  <c r="L14" i="19" s="1"/>
  <c r="J14" i="19"/>
  <c r="Y13" i="19"/>
  <c r="V13" i="19"/>
  <c r="W13" i="19" s="1"/>
  <c r="S13" i="19"/>
  <c r="P13" i="19"/>
  <c r="O13" i="19"/>
  <c r="Q13" i="19" s="1"/>
  <c r="N13" i="19"/>
  <c r="M13" i="19"/>
  <c r="K13" i="19"/>
  <c r="L13" i="19" s="1"/>
  <c r="J13" i="19"/>
  <c r="Y12" i="19"/>
  <c r="V12" i="19"/>
  <c r="W12" i="19" s="1"/>
  <c r="S12" i="19"/>
  <c r="O12" i="19"/>
  <c r="N12" i="19"/>
  <c r="P12" i="19" s="1"/>
  <c r="M12" i="19"/>
  <c r="K12" i="19"/>
  <c r="L12" i="19" s="1"/>
  <c r="J12" i="19"/>
  <c r="Y11" i="19"/>
  <c r="V11" i="19"/>
  <c r="S11" i="19"/>
  <c r="O11" i="19"/>
  <c r="N11" i="19"/>
  <c r="P11" i="19" s="1"/>
  <c r="W11" i="19" s="1"/>
  <c r="M11" i="19"/>
  <c r="K11" i="19"/>
  <c r="L11" i="19" s="1"/>
  <c r="J11" i="19"/>
  <c r="Y10" i="19"/>
  <c r="V10" i="19"/>
  <c r="W10" i="19" s="1"/>
  <c r="S10" i="19"/>
  <c r="O10" i="19"/>
  <c r="N10" i="19"/>
  <c r="P10" i="19" s="1"/>
  <c r="M10" i="19"/>
  <c r="K10" i="19"/>
  <c r="L10" i="19" s="1"/>
  <c r="J10" i="19"/>
  <c r="Y9" i="19"/>
  <c r="V9" i="19"/>
  <c r="W9" i="19" s="1"/>
  <c r="X9" i="19" s="1"/>
  <c r="AA9" i="19" s="1"/>
  <c r="AD9" i="19" s="1"/>
  <c r="S9" i="19"/>
  <c r="P9" i="19"/>
  <c r="O9" i="19"/>
  <c r="Q9" i="19" s="1"/>
  <c r="R9" i="19" s="1"/>
  <c r="U9" i="19" s="1"/>
  <c r="AC9" i="19" s="1"/>
  <c r="N9" i="19"/>
  <c r="M9" i="19"/>
  <c r="K9" i="19"/>
  <c r="L9" i="19" s="1"/>
  <c r="J9" i="19"/>
  <c r="Y8" i="19"/>
  <c r="V8" i="19"/>
  <c r="S8" i="19"/>
  <c r="O8" i="19"/>
  <c r="N8" i="19"/>
  <c r="P8" i="19" s="1"/>
  <c r="M8" i="19"/>
  <c r="K8" i="19"/>
  <c r="L8" i="19" s="1"/>
  <c r="J8" i="19"/>
  <c r="Y7" i="19"/>
  <c r="V7" i="19"/>
  <c r="S7" i="19"/>
  <c r="O7" i="19"/>
  <c r="N7" i="19"/>
  <c r="P7" i="19" s="1"/>
  <c r="W7" i="19" s="1"/>
  <c r="X7" i="19" s="1"/>
  <c r="M7" i="19"/>
  <c r="K7" i="19"/>
  <c r="L7" i="19" s="1"/>
  <c r="J7" i="19"/>
  <c r="Y6" i="19"/>
  <c r="V6" i="19"/>
  <c r="S6" i="19"/>
  <c r="O6" i="19"/>
  <c r="N6" i="19"/>
  <c r="P6" i="19" s="1"/>
  <c r="M6" i="19"/>
  <c r="K6" i="19"/>
  <c r="L6" i="19" s="1"/>
  <c r="J6" i="19"/>
  <c r="Y5" i="19"/>
  <c r="V5" i="19"/>
  <c r="W5" i="19" s="1"/>
  <c r="X5" i="19" s="1"/>
  <c r="AA5" i="19" s="1"/>
  <c r="AD5" i="19" s="1"/>
  <c r="S5" i="19"/>
  <c r="P5" i="19"/>
  <c r="O5" i="19"/>
  <c r="Q5" i="19" s="1"/>
  <c r="R5" i="19" s="1"/>
  <c r="U5" i="19" s="1"/>
  <c r="AC5" i="19" s="1"/>
  <c r="N5" i="19"/>
  <c r="M5" i="19"/>
  <c r="K5" i="19"/>
  <c r="L5" i="19" s="1"/>
  <c r="J5" i="19"/>
  <c r="Y4" i="19"/>
  <c r="V4" i="19"/>
  <c r="S4" i="19"/>
  <c r="O4" i="19"/>
  <c r="N4" i="19"/>
  <c r="P4" i="19" s="1"/>
  <c r="M4" i="19"/>
  <c r="K4" i="19"/>
  <c r="L4" i="19" s="1"/>
  <c r="J4" i="19"/>
  <c r="Y14" i="18"/>
  <c r="V14" i="18"/>
  <c r="S14" i="18"/>
  <c r="O14" i="18"/>
  <c r="N14" i="18"/>
  <c r="P14" i="18" s="1"/>
  <c r="M14" i="18"/>
  <c r="K14" i="18"/>
  <c r="L14" i="18" s="1"/>
  <c r="J14" i="18"/>
  <c r="Y13" i="18"/>
  <c r="V13" i="18"/>
  <c r="S13" i="18"/>
  <c r="O13" i="18"/>
  <c r="N13" i="18"/>
  <c r="P13" i="18" s="1"/>
  <c r="M13" i="18"/>
  <c r="K13" i="18"/>
  <c r="L13" i="18" s="1"/>
  <c r="J13" i="18"/>
  <c r="Y12" i="18"/>
  <c r="V12" i="18"/>
  <c r="S12" i="18"/>
  <c r="O12" i="18"/>
  <c r="N12" i="18"/>
  <c r="P12" i="18" s="1"/>
  <c r="M12" i="18"/>
  <c r="K12" i="18"/>
  <c r="L12" i="18" s="1"/>
  <c r="J12" i="18"/>
  <c r="Y11" i="18"/>
  <c r="V11" i="18"/>
  <c r="S11" i="18"/>
  <c r="O11" i="18"/>
  <c r="N11" i="18"/>
  <c r="P11" i="18" s="1"/>
  <c r="M11" i="18"/>
  <c r="K11" i="18"/>
  <c r="L11" i="18" s="1"/>
  <c r="J11" i="18"/>
  <c r="Y10" i="18"/>
  <c r="V10" i="18"/>
  <c r="S10" i="18"/>
  <c r="O10" i="18"/>
  <c r="N10" i="18"/>
  <c r="P10" i="18" s="1"/>
  <c r="M10" i="18"/>
  <c r="K10" i="18"/>
  <c r="L10" i="18" s="1"/>
  <c r="J10" i="18"/>
  <c r="Y9" i="18"/>
  <c r="V9" i="18"/>
  <c r="S9" i="18"/>
  <c r="O9" i="18"/>
  <c r="N9" i="18"/>
  <c r="P9" i="18" s="1"/>
  <c r="M9" i="18"/>
  <c r="K9" i="18"/>
  <c r="L9" i="18" s="1"/>
  <c r="J9" i="18"/>
  <c r="Y8" i="18"/>
  <c r="V8" i="18"/>
  <c r="S8" i="18"/>
  <c r="O8" i="18"/>
  <c r="N8" i="18"/>
  <c r="P8" i="18" s="1"/>
  <c r="M8" i="18"/>
  <c r="K8" i="18"/>
  <c r="L8" i="18" s="1"/>
  <c r="J8" i="18"/>
  <c r="Y7" i="18"/>
  <c r="V7" i="18"/>
  <c r="S7" i="18"/>
  <c r="O7" i="18"/>
  <c r="N7" i="18"/>
  <c r="P7" i="18" s="1"/>
  <c r="M7" i="18"/>
  <c r="K7" i="18"/>
  <c r="L7" i="18" s="1"/>
  <c r="J7" i="18"/>
  <c r="Y6" i="18"/>
  <c r="V6" i="18"/>
  <c r="S6" i="18"/>
  <c r="O6" i="18"/>
  <c r="N6" i="18"/>
  <c r="P6" i="18" s="1"/>
  <c r="M6" i="18"/>
  <c r="K6" i="18"/>
  <c r="L6" i="18" s="1"/>
  <c r="J6" i="18"/>
  <c r="Y5" i="18"/>
  <c r="V5" i="18"/>
  <c r="S5" i="18"/>
  <c r="O5" i="18"/>
  <c r="N5" i="18"/>
  <c r="P5" i="18" s="1"/>
  <c r="M5" i="18"/>
  <c r="K5" i="18"/>
  <c r="L5" i="18" s="1"/>
  <c r="J5" i="18"/>
  <c r="Y4" i="18"/>
  <c r="V4" i="18"/>
  <c r="S4" i="18"/>
  <c r="O4" i="18"/>
  <c r="N4" i="18"/>
  <c r="P4" i="18" s="1"/>
  <c r="M4" i="18"/>
  <c r="K4" i="18"/>
  <c r="L4" i="18" s="1"/>
  <c r="J4" i="18"/>
  <c r="Y14" i="17"/>
  <c r="V14" i="17"/>
  <c r="S14" i="17"/>
  <c r="O14" i="17"/>
  <c r="N14" i="17"/>
  <c r="P14" i="17" s="1"/>
  <c r="M14" i="17"/>
  <c r="K14" i="17"/>
  <c r="L14" i="17" s="1"/>
  <c r="J14" i="17"/>
  <c r="Y13" i="17"/>
  <c r="V13" i="17"/>
  <c r="S13" i="17"/>
  <c r="O13" i="17"/>
  <c r="N13" i="17"/>
  <c r="P13" i="17" s="1"/>
  <c r="M13" i="17"/>
  <c r="K13" i="17"/>
  <c r="L13" i="17" s="1"/>
  <c r="J13" i="17"/>
  <c r="Y12" i="17"/>
  <c r="V12" i="17"/>
  <c r="S12" i="17"/>
  <c r="O12" i="17"/>
  <c r="N12" i="17"/>
  <c r="P12" i="17" s="1"/>
  <c r="M12" i="17"/>
  <c r="K12" i="17"/>
  <c r="L12" i="17" s="1"/>
  <c r="J12" i="17"/>
  <c r="Y11" i="17"/>
  <c r="V11" i="17"/>
  <c r="S11" i="17"/>
  <c r="O11" i="17"/>
  <c r="N11" i="17"/>
  <c r="P11" i="17" s="1"/>
  <c r="M11" i="17"/>
  <c r="K11" i="17"/>
  <c r="L11" i="17" s="1"/>
  <c r="J11" i="17"/>
  <c r="Y10" i="17"/>
  <c r="V10" i="17"/>
  <c r="S10" i="17"/>
  <c r="O10" i="17"/>
  <c r="N10" i="17"/>
  <c r="P10" i="17" s="1"/>
  <c r="M10" i="17"/>
  <c r="K10" i="17"/>
  <c r="L10" i="17" s="1"/>
  <c r="J10" i="17"/>
  <c r="Y9" i="17"/>
  <c r="V9" i="17"/>
  <c r="S9" i="17"/>
  <c r="O9" i="17"/>
  <c r="N9" i="17"/>
  <c r="P9" i="17" s="1"/>
  <c r="M9" i="17"/>
  <c r="K9" i="17"/>
  <c r="L9" i="17" s="1"/>
  <c r="J9" i="17"/>
  <c r="Y8" i="17"/>
  <c r="V8" i="17"/>
  <c r="S8" i="17"/>
  <c r="O8" i="17"/>
  <c r="N8" i="17"/>
  <c r="P8" i="17" s="1"/>
  <c r="M8" i="17"/>
  <c r="K8" i="17"/>
  <c r="L8" i="17" s="1"/>
  <c r="J8" i="17"/>
  <c r="Y7" i="17"/>
  <c r="V7" i="17"/>
  <c r="S7" i="17"/>
  <c r="O7" i="17"/>
  <c r="N7" i="17"/>
  <c r="P7" i="17" s="1"/>
  <c r="M7" i="17"/>
  <c r="K7" i="17"/>
  <c r="L7" i="17" s="1"/>
  <c r="J7" i="17"/>
  <c r="Y6" i="17"/>
  <c r="V6" i="17"/>
  <c r="S6" i="17"/>
  <c r="O6" i="17"/>
  <c r="N6" i="17"/>
  <c r="P6" i="17" s="1"/>
  <c r="M6" i="17"/>
  <c r="K6" i="17"/>
  <c r="L6" i="17" s="1"/>
  <c r="J6" i="17"/>
  <c r="Y5" i="17"/>
  <c r="V5" i="17"/>
  <c r="S5" i="17"/>
  <c r="O5" i="17"/>
  <c r="N5" i="17"/>
  <c r="P5" i="17" s="1"/>
  <c r="M5" i="17"/>
  <c r="K5" i="17"/>
  <c r="L5" i="17" s="1"/>
  <c r="J5" i="17"/>
  <c r="Y4" i="17"/>
  <c r="V4" i="17"/>
  <c r="S4" i="17"/>
  <c r="O4" i="17"/>
  <c r="N4" i="17"/>
  <c r="P4" i="17" s="1"/>
  <c r="M4" i="17"/>
  <c r="K4" i="17"/>
  <c r="L4" i="17" s="1"/>
  <c r="J4" i="17"/>
  <c r="Y14" i="16"/>
  <c r="V14" i="16"/>
  <c r="S14" i="16"/>
  <c r="O14" i="16"/>
  <c r="N14" i="16"/>
  <c r="P14" i="16" s="1"/>
  <c r="M14" i="16"/>
  <c r="K14" i="16"/>
  <c r="L14" i="16" s="1"/>
  <c r="J14" i="16"/>
  <c r="Y13" i="16"/>
  <c r="V13" i="16"/>
  <c r="S13" i="16"/>
  <c r="O13" i="16"/>
  <c r="N13" i="16"/>
  <c r="P13" i="16" s="1"/>
  <c r="M13" i="16"/>
  <c r="K13" i="16"/>
  <c r="L13" i="16" s="1"/>
  <c r="J13" i="16"/>
  <c r="Y12" i="16"/>
  <c r="V12" i="16"/>
  <c r="S12" i="16"/>
  <c r="O12" i="16"/>
  <c r="N12" i="16"/>
  <c r="P12" i="16" s="1"/>
  <c r="M12" i="16"/>
  <c r="K12" i="16"/>
  <c r="L12" i="16" s="1"/>
  <c r="J12" i="16"/>
  <c r="Y11" i="16"/>
  <c r="V11" i="16"/>
  <c r="S11" i="16"/>
  <c r="O11" i="16"/>
  <c r="N11" i="16"/>
  <c r="P11" i="16" s="1"/>
  <c r="M11" i="16"/>
  <c r="K11" i="16"/>
  <c r="L11" i="16" s="1"/>
  <c r="J11" i="16"/>
  <c r="Y10" i="16"/>
  <c r="V10" i="16"/>
  <c r="S10" i="16"/>
  <c r="O10" i="16"/>
  <c r="N10" i="16"/>
  <c r="P10" i="16" s="1"/>
  <c r="M10" i="16"/>
  <c r="K10" i="16"/>
  <c r="L10" i="16" s="1"/>
  <c r="J10" i="16"/>
  <c r="Y9" i="16"/>
  <c r="V9" i="16"/>
  <c r="S9" i="16"/>
  <c r="O9" i="16"/>
  <c r="N9" i="16"/>
  <c r="P9" i="16" s="1"/>
  <c r="M9" i="16"/>
  <c r="K9" i="16"/>
  <c r="L9" i="16" s="1"/>
  <c r="J9" i="16"/>
  <c r="Y8" i="16"/>
  <c r="V8" i="16"/>
  <c r="S8" i="16"/>
  <c r="O8" i="16"/>
  <c r="N8" i="16"/>
  <c r="P8" i="16" s="1"/>
  <c r="M8" i="16"/>
  <c r="K8" i="16"/>
  <c r="L8" i="16" s="1"/>
  <c r="J8" i="16"/>
  <c r="Y7" i="16"/>
  <c r="V7" i="16"/>
  <c r="S7" i="16"/>
  <c r="O7" i="16"/>
  <c r="N7" i="16"/>
  <c r="P7" i="16" s="1"/>
  <c r="M7" i="16"/>
  <c r="K7" i="16"/>
  <c r="L7" i="16" s="1"/>
  <c r="J7" i="16"/>
  <c r="Y6" i="16"/>
  <c r="V6" i="16"/>
  <c r="S6" i="16"/>
  <c r="O6" i="16"/>
  <c r="N6" i="16"/>
  <c r="P6" i="16" s="1"/>
  <c r="M6" i="16"/>
  <c r="K6" i="16"/>
  <c r="L6" i="16" s="1"/>
  <c r="J6" i="16"/>
  <c r="Y5" i="16"/>
  <c r="V5" i="16"/>
  <c r="S5" i="16"/>
  <c r="O5" i="16"/>
  <c r="N5" i="16"/>
  <c r="P5" i="16" s="1"/>
  <c r="M5" i="16"/>
  <c r="K5" i="16"/>
  <c r="L5" i="16" s="1"/>
  <c r="J5" i="16"/>
  <c r="Y4" i="16"/>
  <c r="V4" i="16"/>
  <c r="S4" i="16"/>
  <c r="O4" i="16"/>
  <c r="N4" i="16"/>
  <c r="P4" i="16" s="1"/>
  <c r="M4" i="16"/>
  <c r="K4" i="16"/>
  <c r="L4" i="16" s="1"/>
  <c r="J4" i="16"/>
  <c r="Y14" i="15"/>
  <c r="V14" i="15"/>
  <c r="S14" i="15"/>
  <c r="O14" i="15"/>
  <c r="N14" i="15"/>
  <c r="P14" i="15" s="1"/>
  <c r="M14" i="15"/>
  <c r="K14" i="15"/>
  <c r="L14" i="15" s="1"/>
  <c r="J14" i="15"/>
  <c r="Y13" i="15"/>
  <c r="V13" i="15"/>
  <c r="W13" i="15" s="1"/>
  <c r="X13" i="15" s="1"/>
  <c r="Z13" i="15" s="1"/>
  <c r="AA13" i="15" s="1"/>
  <c r="AD13" i="15" s="1"/>
  <c r="S13" i="15"/>
  <c r="O13" i="15"/>
  <c r="N13" i="15"/>
  <c r="P13" i="15" s="1"/>
  <c r="M13" i="15"/>
  <c r="K13" i="15"/>
  <c r="L13" i="15" s="1"/>
  <c r="J13" i="15"/>
  <c r="Y12" i="15"/>
  <c r="V12" i="15"/>
  <c r="W12" i="15" s="1"/>
  <c r="X12" i="15" s="1"/>
  <c r="Z12" i="15" s="1"/>
  <c r="AA12" i="15" s="1"/>
  <c r="AD12" i="15" s="1"/>
  <c r="S12" i="15"/>
  <c r="O12" i="15"/>
  <c r="N12" i="15"/>
  <c r="P12" i="15" s="1"/>
  <c r="M12" i="15"/>
  <c r="K12" i="15"/>
  <c r="L12" i="15" s="1"/>
  <c r="J12" i="15"/>
  <c r="Y11" i="15"/>
  <c r="V11" i="15"/>
  <c r="S11" i="15"/>
  <c r="O11" i="15"/>
  <c r="N11" i="15"/>
  <c r="P11" i="15" s="1"/>
  <c r="M11" i="15"/>
  <c r="K11" i="15"/>
  <c r="L11" i="15" s="1"/>
  <c r="J11" i="15"/>
  <c r="Y10" i="15"/>
  <c r="V10" i="15"/>
  <c r="S10" i="15"/>
  <c r="O10" i="15"/>
  <c r="N10" i="15"/>
  <c r="P10" i="15" s="1"/>
  <c r="M10" i="15"/>
  <c r="K10" i="15"/>
  <c r="L10" i="15" s="1"/>
  <c r="J10" i="15"/>
  <c r="Y9" i="15"/>
  <c r="V9" i="15"/>
  <c r="W9" i="15" s="1"/>
  <c r="X9" i="15" s="1"/>
  <c r="Z9" i="15" s="1"/>
  <c r="AA9" i="15" s="1"/>
  <c r="AD9" i="15" s="1"/>
  <c r="S9" i="15"/>
  <c r="O9" i="15"/>
  <c r="N9" i="15"/>
  <c r="P9" i="15" s="1"/>
  <c r="M9" i="15"/>
  <c r="K9" i="15"/>
  <c r="L9" i="15" s="1"/>
  <c r="J9" i="15"/>
  <c r="Y8" i="15"/>
  <c r="V8" i="15"/>
  <c r="W8" i="15" s="1"/>
  <c r="X8" i="15" s="1"/>
  <c r="Z8" i="15" s="1"/>
  <c r="AA8" i="15" s="1"/>
  <c r="AD8" i="15" s="1"/>
  <c r="S8" i="15"/>
  <c r="O8" i="15"/>
  <c r="N8" i="15"/>
  <c r="P8" i="15" s="1"/>
  <c r="M8" i="15"/>
  <c r="K8" i="15"/>
  <c r="L8" i="15" s="1"/>
  <c r="J8" i="15"/>
  <c r="Y7" i="15"/>
  <c r="V7" i="15"/>
  <c r="S7" i="15"/>
  <c r="O7" i="15"/>
  <c r="N7" i="15"/>
  <c r="P7" i="15" s="1"/>
  <c r="M7" i="15"/>
  <c r="K7" i="15"/>
  <c r="L7" i="15" s="1"/>
  <c r="J7" i="15"/>
  <c r="Y6" i="15"/>
  <c r="V6" i="15"/>
  <c r="S6" i="15"/>
  <c r="O6" i="15"/>
  <c r="N6" i="15"/>
  <c r="P6" i="15" s="1"/>
  <c r="M6" i="15"/>
  <c r="K6" i="15"/>
  <c r="L6" i="15" s="1"/>
  <c r="J6" i="15"/>
  <c r="Y5" i="15"/>
  <c r="V5" i="15"/>
  <c r="W5" i="15" s="1"/>
  <c r="X5" i="15" s="1"/>
  <c r="Z5" i="15" s="1"/>
  <c r="AA5" i="15" s="1"/>
  <c r="AD5" i="15" s="1"/>
  <c r="S5" i="15"/>
  <c r="O5" i="15"/>
  <c r="N5" i="15"/>
  <c r="P5" i="15" s="1"/>
  <c r="M5" i="15"/>
  <c r="K5" i="15"/>
  <c r="L5" i="15" s="1"/>
  <c r="J5" i="15"/>
  <c r="Y4" i="15"/>
  <c r="V4" i="15"/>
  <c r="W4" i="15" s="1"/>
  <c r="S4" i="15"/>
  <c r="O4" i="15"/>
  <c r="N4" i="15"/>
  <c r="P4" i="15" s="1"/>
  <c r="M4" i="15"/>
  <c r="K4" i="15"/>
  <c r="L4" i="15" s="1"/>
  <c r="J4" i="15"/>
  <c r="Y14" i="14"/>
  <c r="V14" i="14"/>
  <c r="S14" i="14"/>
  <c r="O14" i="14"/>
  <c r="N14" i="14"/>
  <c r="P14" i="14" s="1"/>
  <c r="M14" i="14"/>
  <c r="K14" i="14"/>
  <c r="L14" i="14" s="1"/>
  <c r="J14" i="14"/>
  <c r="Y13" i="14"/>
  <c r="V13" i="14"/>
  <c r="S13" i="14"/>
  <c r="P13" i="14"/>
  <c r="O13" i="14"/>
  <c r="Q13" i="14" s="1"/>
  <c r="R13" i="14" s="1"/>
  <c r="U13" i="14" s="1"/>
  <c r="AC13" i="14" s="1"/>
  <c r="N13" i="14"/>
  <c r="M13" i="14"/>
  <c r="K13" i="14"/>
  <c r="L13" i="14" s="1"/>
  <c r="J13" i="14"/>
  <c r="Y12" i="14"/>
  <c r="V12" i="14"/>
  <c r="S12" i="14"/>
  <c r="O12" i="14"/>
  <c r="N12" i="14"/>
  <c r="P12" i="14" s="1"/>
  <c r="M12" i="14"/>
  <c r="K12" i="14"/>
  <c r="L12" i="14" s="1"/>
  <c r="J12" i="14"/>
  <c r="Y11" i="14"/>
  <c r="V11" i="14"/>
  <c r="S11" i="14"/>
  <c r="O11" i="14"/>
  <c r="N11" i="14"/>
  <c r="P11" i="14" s="1"/>
  <c r="W11" i="14" s="1"/>
  <c r="X11" i="14" s="1"/>
  <c r="Z11" i="14" s="1"/>
  <c r="AA11" i="14" s="1"/>
  <c r="AD11" i="14" s="1"/>
  <c r="M11" i="14"/>
  <c r="K11" i="14"/>
  <c r="L11" i="14" s="1"/>
  <c r="J11" i="14"/>
  <c r="Y10" i="14"/>
  <c r="V10" i="14"/>
  <c r="W10" i="14" s="1"/>
  <c r="S10" i="14"/>
  <c r="O10" i="14"/>
  <c r="Q10" i="14" s="1"/>
  <c r="N10" i="14"/>
  <c r="P10" i="14" s="1"/>
  <c r="M10" i="14"/>
  <c r="K10" i="14"/>
  <c r="L10" i="14" s="1"/>
  <c r="J10" i="14"/>
  <c r="Y9" i="14"/>
  <c r="V9" i="14"/>
  <c r="S9" i="14"/>
  <c r="P9" i="14"/>
  <c r="O9" i="14"/>
  <c r="Q9" i="14" s="1"/>
  <c r="R9" i="14" s="1"/>
  <c r="U9" i="14" s="1"/>
  <c r="AC9" i="14" s="1"/>
  <c r="N9" i="14"/>
  <c r="M9" i="14"/>
  <c r="K9" i="14"/>
  <c r="L9" i="14" s="1"/>
  <c r="J9" i="14"/>
  <c r="Y8" i="14"/>
  <c r="V8" i="14"/>
  <c r="S8" i="14"/>
  <c r="O8" i="14"/>
  <c r="N8" i="14"/>
  <c r="P8" i="14" s="1"/>
  <c r="M8" i="14"/>
  <c r="K8" i="14"/>
  <c r="L8" i="14" s="1"/>
  <c r="J8" i="14"/>
  <c r="Y7" i="14"/>
  <c r="W7" i="14"/>
  <c r="X7" i="14" s="1"/>
  <c r="Z7" i="14" s="1"/>
  <c r="AA7" i="14" s="1"/>
  <c r="AD7" i="14" s="1"/>
  <c r="V7" i="14"/>
  <c r="S7" i="14"/>
  <c r="O7" i="14"/>
  <c r="N7" i="14"/>
  <c r="P7" i="14" s="1"/>
  <c r="M7" i="14"/>
  <c r="K7" i="14"/>
  <c r="L7" i="14" s="1"/>
  <c r="J7" i="14"/>
  <c r="Y6" i="14"/>
  <c r="V6" i="14"/>
  <c r="S6" i="14"/>
  <c r="O6" i="14"/>
  <c r="N6" i="14"/>
  <c r="P6" i="14" s="1"/>
  <c r="M6" i="14"/>
  <c r="L6" i="14"/>
  <c r="K6" i="14"/>
  <c r="J6" i="14"/>
  <c r="Y5" i="14"/>
  <c r="V5" i="14"/>
  <c r="S5" i="14"/>
  <c r="P5" i="14"/>
  <c r="O5" i="14"/>
  <c r="Q5" i="14" s="1"/>
  <c r="R5" i="14" s="1"/>
  <c r="U5" i="14" s="1"/>
  <c r="AC5" i="14" s="1"/>
  <c r="N5" i="14"/>
  <c r="M5" i="14"/>
  <c r="K5" i="14"/>
  <c r="L5" i="14" s="1"/>
  <c r="J5" i="14"/>
  <c r="Y4" i="14"/>
  <c r="V4" i="14"/>
  <c r="W4" i="14" s="1"/>
  <c r="X4" i="14" s="1"/>
  <c r="Z4" i="14" s="1"/>
  <c r="AA4" i="14" s="1"/>
  <c r="AD4" i="14" s="1"/>
  <c r="S4" i="14"/>
  <c r="O4" i="14"/>
  <c r="N4" i="14"/>
  <c r="P4" i="14" s="1"/>
  <c r="M4" i="14"/>
  <c r="K4" i="14"/>
  <c r="L4" i="14" s="1"/>
  <c r="J4" i="14"/>
  <c r="Y14" i="11"/>
  <c r="V14" i="11"/>
  <c r="S14" i="11"/>
  <c r="O14" i="11"/>
  <c r="N14" i="11"/>
  <c r="P14" i="11" s="1"/>
  <c r="M14" i="11"/>
  <c r="K14" i="11"/>
  <c r="L14" i="11" s="1"/>
  <c r="J14" i="11"/>
  <c r="Y13" i="11"/>
  <c r="V13" i="11"/>
  <c r="W13" i="11" s="1"/>
  <c r="S13" i="11"/>
  <c r="P13" i="11"/>
  <c r="O13" i="11"/>
  <c r="Q13" i="11" s="1"/>
  <c r="N13" i="11"/>
  <c r="M13" i="11"/>
  <c r="K13" i="11"/>
  <c r="L13" i="11" s="1"/>
  <c r="J13" i="11"/>
  <c r="Y12" i="11"/>
  <c r="V12" i="11"/>
  <c r="S12" i="11"/>
  <c r="O12" i="11"/>
  <c r="N12" i="11"/>
  <c r="P12" i="11" s="1"/>
  <c r="M12" i="11"/>
  <c r="K12" i="11"/>
  <c r="L12" i="11" s="1"/>
  <c r="J12" i="11"/>
  <c r="Y11" i="11"/>
  <c r="V11" i="11"/>
  <c r="S11" i="11"/>
  <c r="O11" i="11"/>
  <c r="N11" i="11"/>
  <c r="P11" i="11" s="1"/>
  <c r="W11" i="11" s="1"/>
  <c r="M11" i="11"/>
  <c r="K11" i="11"/>
  <c r="L11" i="11" s="1"/>
  <c r="J11" i="11"/>
  <c r="Y10" i="11"/>
  <c r="V10" i="11"/>
  <c r="S10" i="11"/>
  <c r="O10" i="11"/>
  <c r="N10" i="11"/>
  <c r="P10" i="11" s="1"/>
  <c r="M10" i="11"/>
  <c r="K10" i="11"/>
  <c r="L10" i="11" s="1"/>
  <c r="J10" i="11"/>
  <c r="Y9" i="11"/>
  <c r="V9" i="11"/>
  <c r="W9" i="11" s="1"/>
  <c r="X9" i="11" s="1"/>
  <c r="Z9" i="11" s="1"/>
  <c r="AA9" i="11" s="1"/>
  <c r="AD9" i="11" s="1"/>
  <c r="S9" i="11"/>
  <c r="P9" i="11"/>
  <c r="O9" i="11"/>
  <c r="Q9" i="11" s="1"/>
  <c r="R9" i="11" s="1"/>
  <c r="U9" i="11" s="1"/>
  <c r="AC9" i="11" s="1"/>
  <c r="N9" i="11"/>
  <c r="M9" i="11"/>
  <c r="K9" i="11"/>
  <c r="L9" i="11" s="1"/>
  <c r="J9" i="11"/>
  <c r="Y8" i="11"/>
  <c r="V8" i="11"/>
  <c r="S8" i="11"/>
  <c r="O8" i="11"/>
  <c r="N8" i="11"/>
  <c r="P8" i="11" s="1"/>
  <c r="M8" i="11"/>
  <c r="K8" i="11"/>
  <c r="L8" i="11" s="1"/>
  <c r="J8" i="11"/>
  <c r="Y7" i="11"/>
  <c r="V7" i="11"/>
  <c r="S7" i="11"/>
  <c r="O7" i="11"/>
  <c r="N7" i="11"/>
  <c r="P7" i="11" s="1"/>
  <c r="W7" i="11" s="1"/>
  <c r="X7" i="11" s="1"/>
  <c r="Z7" i="11" s="1"/>
  <c r="AA7" i="11" s="1"/>
  <c r="AD7" i="11" s="1"/>
  <c r="M7" i="11"/>
  <c r="K7" i="11"/>
  <c r="L7" i="11" s="1"/>
  <c r="J7" i="11"/>
  <c r="Y6" i="11"/>
  <c r="V6" i="11"/>
  <c r="S6" i="11"/>
  <c r="O6" i="11"/>
  <c r="N6" i="11"/>
  <c r="P6" i="11" s="1"/>
  <c r="M6" i="11"/>
  <c r="K6" i="11"/>
  <c r="L6" i="11" s="1"/>
  <c r="J6" i="11"/>
  <c r="Y5" i="11"/>
  <c r="V5" i="11"/>
  <c r="W5" i="11" s="1"/>
  <c r="X5" i="11" s="1"/>
  <c r="Z5" i="11" s="1"/>
  <c r="AA5" i="11" s="1"/>
  <c r="AD5" i="11" s="1"/>
  <c r="S5" i="11"/>
  <c r="P5" i="11"/>
  <c r="O5" i="11"/>
  <c r="Q5" i="11" s="1"/>
  <c r="R5" i="11" s="1"/>
  <c r="U5" i="11" s="1"/>
  <c r="AC5" i="11" s="1"/>
  <c r="N5" i="11"/>
  <c r="M5" i="11"/>
  <c r="K5" i="11"/>
  <c r="L5" i="11" s="1"/>
  <c r="J5" i="11"/>
  <c r="Y4" i="11"/>
  <c r="V4" i="11"/>
  <c r="S4" i="11"/>
  <c r="O4" i="11"/>
  <c r="N4" i="11"/>
  <c r="P4" i="11" s="1"/>
  <c r="M4" i="11"/>
  <c r="K4" i="11"/>
  <c r="L4" i="11" s="1"/>
  <c r="J4" i="11"/>
  <c r="Y14" i="10"/>
  <c r="V14" i="10"/>
  <c r="S14" i="10"/>
  <c r="O14" i="10"/>
  <c r="N14" i="10"/>
  <c r="P14" i="10" s="1"/>
  <c r="M14" i="10"/>
  <c r="K14" i="10"/>
  <c r="L14" i="10" s="1"/>
  <c r="J14" i="10"/>
  <c r="Y13" i="10"/>
  <c r="V13" i="10"/>
  <c r="W13" i="10" s="1"/>
  <c r="S13" i="10"/>
  <c r="P13" i="10"/>
  <c r="O13" i="10"/>
  <c r="Q13" i="10" s="1"/>
  <c r="N13" i="10"/>
  <c r="M13" i="10"/>
  <c r="K13" i="10"/>
  <c r="L13" i="10" s="1"/>
  <c r="J13" i="10"/>
  <c r="Y12" i="10"/>
  <c r="V12" i="10"/>
  <c r="S12" i="10"/>
  <c r="O12" i="10"/>
  <c r="N12" i="10"/>
  <c r="P12" i="10" s="1"/>
  <c r="M12" i="10"/>
  <c r="K12" i="10"/>
  <c r="L12" i="10" s="1"/>
  <c r="J12" i="10"/>
  <c r="Y11" i="10"/>
  <c r="V11" i="10"/>
  <c r="S11" i="10"/>
  <c r="O11" i="10"/>
  <c r="N11" i="10"/>
  <c r="P11" i="10" s="1"/>
  <c r="W11" i="10" s="1"/>
  <c r="M11" i="10"/>
  <c r="K11" i="10"/>
  <c r="L11" i="10" s="1"/>
  <c r="J11" i="10"/>
  <c r="Y10" i="10"/>
  <c r="V10" i="10"/>
  <c r="S10" i="10"/>
  <c r="O10" i="10"/>
  <c r="N10" i="10"/>
  <c r="P10" i="10" s="1"/>
  <c r="M10" i="10"/>
  <c r="K10" i="10"/>
  <c r="L10" i="10" s="1"/>
  <c r="J10" i="10"/>
  <c r="Y9" i="10"/>
  <c r="V9" i="10"/>
  <c r="W9" i="10" s="1"/>
  <c r="X9" i="10" s="1"/>
  <c r="Z9" i="10" s="1"/>
  <c r="AA9" i="10" s="1"/>
  <c r="AD9" i="10" s="1"/>
  <c r="S9" i="10"/>
  <c r="P9" i="10"/>
  <c r="O9" i="10"/>
  <c r="Q9" i="10" s="1"/>
  <c r="R9" i="10" s="1"/>
  <c r="U9" i="10" s="1"/>
  <c r="AC9" i="10" s="1"/>
  <c r="N9" i="10"/>
  <c r="M9" i="10"/>
  <c r="K9" i="10"/>
  <c r="L9" i="10" s="1"/>
  <c r="J9" i="10"/>
  <c r="Y8" i="10"/>
  <c r="V8" i="10"/>
  <c r="S8" i="10"/>
  <c r="O8" i="10"/>
  <c r="N8" i="10"/>
  <c r="P8" i="10" s="1"/>
  <c r="M8" i="10"/>
  <c r="K8" i="10"/>
  <c r="L8" i="10" s="1"/>
  <c r="J8" i="10"/>
  <c r="Y7" i="10"/>
  <c r="V7" i="10"/>
  <c r="S7" i="10"/>
  <c r="O7" i="10"/>
  <c r="N7" i="10"/>
  <c r="P7" i="10" s="1"/>
  <c r="W7" i="10" s="1"/>
  <c r="X7" i="10" s="1"/>
  <c r="Z7" i="10" s="1"/>
  <c r="AA7" i="10" s="1"/>
  <c r="AD7" i="10" s="1"/>
  <c r="M7" i="10"/>
  <c r="K7" i="10"/>
  <c r="L7" i="10" s="1"/>
  <c r="J7" i="10"/>
  <c r="Y6" i="10"/>
  <c r="V6" i="10"/>
  <c r="S6" i="10"/>
  <c r="O6" i="10"/>
  <c r="N6" i="10"/>
  <c r="P6" i="10" s="1"/>
  <c r="M6" i="10"/>
  <c r="K6" i="10"/>
  <c r="L6" i="10" s="1"/>
  <c r="J6" i="10"/>
  <c r="Y5" i="10"/>
  <c r="V5" i="10"/>
  <c r="W5" i="10" s="1"/>
  <c r="X5" i="10" s="1"/>
  <c r="Z5" i="10" s="1"/>
  <c r="AA5" i="10" s="1"/>
  <c r="AD5" i="10" s="1"/>
  <c r="S5" i="10"/>
  <c r="P5" i="10"/>
  <c r="O5" i="10"/>
  <c r="Q5" i="10" s="1"/>
  <c r="R5" i="10" s="1"/>
  <c r="N5" i="10"/>
  <c r="M5" i="10"/>
  <c r="K5" i="10"/>
  <c r="L5" i="10" s="1"/>
  <c r="J5" i="10"/>
  <c r="Y4" i="10"/>
  <c r="V4" i="10"/>
  <c r="S4" i="10"/>
  <c r="O4" i="10"/>
  <c r="N4" i="10"/>
  <c r="P4" i="10" s="1"/>
  <c r="M4" i="10"/>
  <c r="K4" i="10"/>
  <c r="L4" i="10" s="1"/>
  <c r="J4" i="10"/>
  <c r="Y14" i="9"/>
  <c r="V14" i="9"/>
  <c r="S14" i="9"/>
  <c r="O14" i="9"/>
  <c r="N14" i="9"/>
  <c r="P14" i="9" s="1"/>
  <c r="M14" i="9"/>
  <c r="K14" i="9"/>
  <c r="L14" i="9" s="1"/>
  <c r="J14" i="9"/>
  <c r="Y13" i="9"/>
  <c r="V13" i="9"/>
  <c r="W13" i="9" s="1"/>
  <c r="S13" i="9"/>
  <c r="P13" i="9"/>
  <c r="O13" i="9"/>
  <c r="Q13" i="9" s="1"/>
  <c r="N13" i="9"/>
  <c r="M13" i="9"/>
  <c r="K13" i="9"/>
  <c r="L13" i="9" s="1"/>
  <c r="J13" i="9"/>
  <c r="Y12" i="9"/>
  <c r="V12" i="9"/>
  <c r="S12" i="9"/>
  <c r="O12" i="9"/>
  <c r="N12" i="9"/>
  <c r="P12" i="9" s="1"/>
  <c r="M12" i="9"/>
  <c r="K12" i="9"/>
  <c r="L12" i="9" s="1"/>
  <c r="J12" i="9"/>
  <c r="Y11" i="9"/>
  <c r="V11" i="9"/>
  <c r="S11" i="9"/>
  <c r="O11" i="9"/>
  <c r="N11" i="9"/>
  <c r="P11" i="9" s="1"/>
  <c r="W11" i="9" s="1"/>
  <c r="M11" i="9"/>
  <c r="K11" i="9"/>
  <c r="L11" i="9" s="1"/>
  <c r="J11" i="9"/>
  <c r="Y10" i="9"/>
  <c r="V10" i="9"/>
  <c r="S10" i="9"/>
  <c r="O10" i="9"/>
  <c r="N10" i="9"/>
  <c r="P10" i="9" s="1"/>
  <c r="M10" i="9"/>
  <c r="K10" i="9"/>
  <c r="L10" i="9" s="1"/>
  <c r="J10" i="9"/>
  <c r="Y9" i="9"/>
  <c r="V9" i="9"/>
  <c r="W9" i="9" s="1"/>
  <c r="X9" i="9" s="1"/>
  <c r="Z9" i="9" s="1"/>
  <c r="AA9" i="9" s="1"/>
  <c r="AD9" i="9" s="1"/>
  <c r="S9" i="9"/>
  <c r="P9" i="9"/>
  <c r="O9" i="9"/>
  <c r="Q9" i="9" s="1"/>
  <c r="R9" i="9" s="1"/>
  <c r="U9" i="9" s="1"/>
  <c r="AC9" i="9" s="1"/>
  <c r="N9" i="9"/>
  <c r="M9" i="9"/>
  <c r="K9" i="9"/>
  <c r="L9" i="9" s="1"/>
  <c r="J9" i="9"/>
  <c r="Y8" i="9"/>
  <c r="V8" i="9"/>
  <c r="S8" i="9"/>
  <c r="O8" i="9"/>
  <c r="N8" i="9"/>
  <c r="P8" i="9" s="1"/>
  <c r="M8" i="9"/>
  <c r="K8" i="9"/>
  <c r="L8" i="9" s="1"/>
  <c r="J8" i="9"/>
  <c r="Y7" i="9"/>
  <c r="V7" i="9"/>
  <c r="S7" i="9"/>
  <c r="O7" i="9"/>
  <c r="N7" i="9"/>
  <c r="P7" i="9" s="1"/>
  <c r="W7" i="9" s="1"/>
  <c r="X7" i="9" s="1"/>
  <c r="Z7" i="9" s="1"/>
  <c r="AA7" i="9" s="1"/>
  <c r="AD7" i="9" s="1"/>
  <c r="M7" i="9"/>
  <c r="K7" i="9"/>
  <c r="L7" i="9" s="1"/>
  <c r="J7" i="9"/>
  <c r="Y6" i="9"/>
  <c r="V6" i="9"/>
  <c r="S6" i="9"/>
  <c r="O6" i="9"/>
  <c r="N6" i="9"/>
  <c r="P6" i="9" s="1"/>
  <c r="M6" i="9"/>
  <c r="K6" i="9"/>
  <c r="L6" i="9" s="1"/>
  <c r="J6" i="9"/>
  <c r="Y5" i="9"/>
  <c r="V5" i="9"/>
  <c r="W5" i="9" s="1"/>
  <c r="X5" i="9" s="1"/>
  <c r="Z5" i="9" s="1"/>
  <c r="AA5" i="9" s="1"/>
  <c r="AD5" i="9" s="1"/>
  <c r="S5" i="9"/>
  <c r="P5" i="9"/>
  <c r="O5" i="9"/>
  <c r="Q5" i="9" s="1"/>
  <c r="R5" i="9" s="1"/>
  <c r="U5" i="9" s="1"/>
  <c r="AC5" i="9" s="1"/>
  <c r="N5" i="9"/>
  <c r="M5" i="9"/>
  <c r="K5" i="9"/>
  <c r="L5" i="9" s="1"/>
  <c r="J5" i="9"/>
  <c r="Y4" i="9"/>
  <c r="V4" i="9"/>
  <c r="S4" i="9"/>
  <c r="O4" i="9"/>
  <c r="N4" i="9"/>
  <c r="P4" i="9" s="1"/>
  <c r="M4" i="9"/>
  <c r="K4" i="9"/>
  <c r="L4" i="9" s="1"/>
  <c r="J4" i="9"/>
  <c r="Y14" i="8"/>
  <c r="V14" i="8"/>
  <c r="S14" i="8"/>
  <c r="O14" i="8"/>
  <c r="N14" i="8"/>
  <c r="P14" i="8" s="1"/>
  <c r="M14" i="8"/>
  <c r="K14" i="8"/>
  <c r="L14" i="8" s="1"/>
  <c r="J14" i="8"/>
  <c r="Y13" i="8"/>
  <c r="V13" i="8"/>
  <c r="W13" i="8" s="1"/>
  <c r="S13" i="8"/>
  <c r="P13" i="8"/>
  <c r="O13" i="8"/>
  <c r="Q13" i="8" s="1"/>
  <c r="N13" i="8"/>
  <c r="M13" i="8"/>
  <c r="K13" i="8"/>
  <c r="L13" i="8" s="1"/>
  <c r="J13" i="8"/>
  <c r="Y12" i="8"/>
  <c r="V12" i="8"/>
  <c r="S12" i="8"/>
  <c r="O12" i="8"/>
  <c r="N12" i="8"/>
  <c r="P12" i="8" s="1"/>
  <c r="M12" i="8"/>
  <c r="K12" i="8"/>
  <c r="L12" i="8" s="1"/>
  <c r="J12" i="8"/>
  <c r="Y11" i="8"/>
  <c r="V11" i="8"/>
  <c r="S11" i="8"/>
  <c r="O11" i="8"/>
  <c r="N11" i="8"/>
  <c r="P11" i="8" s="1"/>
  <c r="W11" i="8" s="1"/>
  <c r="M11" i="8"/>
  <c r="K11" i="8"/>
  <c r="L11" i="8" s="1"/>
  <c r="J11" i="8"/>
  <c r="Y10" i="8"/>
  <c r="V10" i="8"/>
  <c r="S10" i="8"/>
  <c r="O10" i="8"/>
  <c r="N10" i="8"/>
  <c r="P10" i="8" s="1"/>
  <c r="M10" i="8"/>
  <c r="K10" i="8"/>
  <c r="L10" i="8" s="1"/>
  <c r="J10" i="8"/>
  <c r="Y9" i="8"/>
  <c r="V9" i="8"/>
  <c r="W9" i="8" s="1"/>
  <c r="X9" i="8" s="1"/>
  <c r="Z9" i="8" s="1"/>
  <c r="AA9" i="8" s="1"/>
  <c r="AD9" i="8" s="1"/>
  <c r="S9" i="8"/>
  <c r="P9" i="8"/>
  <c r="O9" i="8"/>
  <c r="Q9" i="8" s="1"/>
  <c r="R9" i="8" s="1"/>
  <c r="U9" i="8" s="1"/>
  <c r="AC9" i="8" s="1"/>
  <c r="N9" i="8"/>
  <c r="M9" i="8"/>
  <c r="K9" i="8"/>
  <c r="L9" i="8" s="1"/>
  <c r="J9" i="8"/>
  <c r="Y8" i="8"/>
  <c r="V8" i="8"/>
  <c r="S8" i="8"/>
  <c r="O8" i="8"/>
  <c r="N8" i="8"/>
  <c r="P8" i="8" s="1"/>
  <c r="M8" i="8"/>
  <c r="K8" i="8"/>
  <c r="L8" i="8" s="1"/>
  <c r="J8" i="8"/>
  <c r="Y7" i="8"/>
  <c r="V7" i="8"/>
  <c r="S7" i="8"/>
  <c r="O7" i="8"/>
  <c r="N7" i="8"/>
  <c r="P7" i="8" s="1"/>
  <c r="W7" i="8" s="1"/>
  <c r="X7" i="8" s="1"/>
  <c r="Z7" i="8" s="1"/>
  <c r="AA7" i="8" s="1"/>
  <c r="AD7" i="8" s="1"/>
  <c r="M7" i="8"/>
  <c r="K7" i="8"/>
  <c r="L7" i="8" s="1"/>
  <c r="J7" i="8"/>
  <c r="Y6" i="8"/>
  <c r="V6" i="8"/>
  <c r="S6" i="8"/>
  <c r="O6" i="8"/>
  <c r="N6" i="8"/>
  <c r="P6" i="8" s="1"/>
  <c r="M6" i="8"/>
  <c r="K6" i="8"/>
  <c r="L6" i="8" s="1"/>
  <c r="J6" i="8"/>
  <c r="Y5" i="8"/>
  <c r="V5" i="8"/>
  <c r="W5" i="8" s="1"/>
  <c r="X5" i="8" s="1"/>
  <c r="Z5" i="8" s="1"/>
  <c r="AA5" i="8" s="1"/>
  <c r="AD5" i="8" s="1"/>
  <c r="S5" i="8"/>
  <c r="P5" i="8"/>
  <c r="O5" i="8"/>
  <c r="Q5" i="8" s="1"/>
  <c r="R5" i="8" s="1"/>
  <c r="U5" i="8" s="1"/>
  <c r="AC5" i="8" s="1"/>
  <c r="N5" i="8"/>
  <c r="M5" i="8"/>
  <c r="K5" i="8"/>
  <c r="L5" i="8" s="1"/>
  <c r="J5" i="8"/>
  <c r="Y4" i="8"/>
  <c r="V4" i="8"/>
  <c r="S4" i="8"/>
  <c r="O4" i="8"/>
  <c r="N4" i="8"/>
  <c r="P4" i="8" s="1"/>
  <c r="M4" i="8"/>
  <c r="K4" i="8"/>
  <c r="L4" i="8" s="1"/>
  <c r="J4" i="8"/>
  <c r="Y14" i="7"/>
  <c r="V14" i="7"/>
  <c r="W14" i="7" s="1"/>
  <c r="S14" i="7"/>
  <c r="O14" i="7"/>
  <c r="Q14" i="7" s="1"/>
  <c r="R14" i="7" s="1"/>
  <c r="U14" i="7" s="1"/>
  <c r="AC14" i="7" s="1"/>
  <c r="N14" i="7"/>
  <c r="P14" i="7" s="1"/>
  <c r="M14" i="7"/>
  <c r="K14" i="7"/>
  <c r="L14" i="7" s="1"/>
  <c r="J14" i="7"/>
  <c r="Y13" i="7"/>
  <c r="V13" i="7"/>
  <c r="S13" i="7"/>
  <c r="O13" i="7"/>
  <c r="N13" i="7"/>
  <c r="P13" i="7" s="1"/>
  <c r="M13" i="7"/>
  <c r="K13" i="7"/>
  <c r="L13" i="7" s="1"/>
  <c r="J13" i="7"/>
  <c r="Y12" i="7"/>
  <c r="V12" i="7"/>
  <c r="W12" i="7" s="1"/>
  <c r="S12" i="7"/>
  <c r="O12" i="7"/>
  <c r="Q12" i="7" s="1"/>
  <c r="R12" i="7" s="1"/>
  <c r="U12" i="7" s="1"/>
  <c r="AC12" i="7" s="1"/>
  <c r="N12" i="7"/>
  <c r="P12" i="7" s="1"/>
  <c r="M12" i="7"/>
  <c r="K12" i="7"/>
  <c r="L12" i="7" s="1"/>
  <c r="J12" i="7"/>
  <c r="Y11" i="7"/>
  <c r="V11" i="7"/>
  <c r="S11" i="7"/>
  <c r="O11" i="7"/>
  <c r="N11" i="7"/>
  <c r="P11" i="7" s="1"/>
  <c r="M11" i="7"/>
  <c r="K11" i="7"/>
  <c r="L11" i="7" s="1"/>
  <c r="J11" i="7"/>
  <c r="Y10" i="7"/>
  <c r="V10" i="7"/>
  <c r="W10" i="7" s="1"/>
  <c r="S10" i="7"/>
  <c r="O10" i="7"/>
  <c r="Q10" i="7" s="1"/>
  <c r="R10" i="7" s="1"/>
  <c r="U10" i="7" s="1"/>
  <c r="AC10" i="7" s="1"/>
  <c r="N10" i="7"/>
  <c r="P10" i="7" s="1"/>
  <c r="M10" i="7"/>
  <c r="K10" i="7"/>
  <c r="L10" i="7" s="1"/>
  <c r="J10" i="7"/>
  <c r="Y9" i="7"/>
  <c r="V9" i="7"/>
  <c r="S9" i="7"/>
  <c r="O9" i="7"/>
  <c r="N9" i="7"/>
  <c r="P9" i="7" s="1"/>
  <c r="M9" i="7"/>
  <c r="K9" i="7"/>
  <c r="L9" i="7" s="1"/>
  <c r="J9" i="7"/>
  <c r="Y8" i="7"/>
  <c r="V8" i="7"/>
  <c r="W8" i="7" s="1"/>
  <c r="S8" i="7"/>
  <c r="O8" i="7"/>
  <c r="Q8" i="7" s="1"/>
  <c r="R8" i="7" s="1"/>
  <c r="U8" i="7" s="1"/>
  <c r="AC8" i="7" s="1"/>
  <c r="N8" i="7"/>
  <c r="P8" i="7" s="1"/>
  <c r="M8" i="7"/>
  <c r="K8" i="7"/>
  <c r="L8" i="7" s="1"/>
  <c r="J8" i="7"/>
  <c r="Y7" i="7"/>
  <c r="V7" i="7"/>
  <c r="S7" i="7"/>
  <c r="O7" i="7"/>
  <c r="N7" i="7"/>
  <c r="P7" i="7" s="1"/>
  <c r="M7" i="7"/>
  <c r="K7" i="7"/>
  <c r="L7" i="7" s="1"/>
  <c r="J7" i="7"/>
  <c r="Y6" i="7"/>
  <c r="V6" i="7"/>
  <c r="W6" i="7" s="1"/>
  <c r="S6" i="7"/>
  <c r="O6" i="7"/>
  <c r="Q6" i="7" s="1"/>
  <c r="R6" i="7" s="1"/>
  <c r="U6" i="7" s="1"/>
  <c r="AC6" i="7" s="1"/>
  <c r="N6" i="7"/>
  <c r="P6" i="7" s="1"/>
  <c r="M6" i="7"/>
  <c r="K6" i="7"/>
  <c r="L6" i="7" s="1"/>
  <c r="J6" i="7"/>
  <c r="Y5" i="7"/>
  <c r="V5" i="7"/>
  <c r="S5" i="7"/>
  <c r="O5" i="7"/>
  <c r="N5" i="7"/>
  <c r="P5" i="7" s="1"/>
  <c r="M5" i="7"/>
  <c r="K5" i="7"/>
  <c r="L5" i="7" s="1"/>
  <c r="J5" i="7"/>
  <c r="Y4" i="7"/>
  <c r="V4" i="7"/>
  <c r="W4" i="7" s="1"/>
  <c r="S4" i="7"/>
  <c r="O4" i="7"/>
  <c r="Q4" i="7" s="1"/>
  <c r="R4" i="7" s="1"/>
  <c r="T4" i="7" s="1"/>
  <c r="U4" i="7" s="1"/>
  <c r="AC4" i="7" s="1"/>
  <c r="N4" i="7"/>
  <c r="P4" i="7" s="1"/>
  <c r="M4" i="7"/>
  <c r="K4" i="7"/>
  <c r="L4" i="7" s="1"/>
  <c r="J4" i="7"/>
  <c r="Y14" i="6"/>
  <c r="V14" i="6"/>
  <c r="S14" i="6"/>
  <c r="O14" i="6"/>
  <c r="N14" i="6"/>
  <c r="P14" i="6" s="1"/>
  <c r="M14" i="6"/>
  <c r="K14" i="6"/>
  <c r="L14" i="6" s="1"/>
  <c r="Y13" i="6"/>
  <c r="V13" i="6"/>
  <c r="S13" i="6"/>
  <c r="O13" i="6"/>
  <c r="N13" i="6"/>
  <c r="P13" i="6" s="1"/>
  <c r="M13" i="6"/>
  <c r="K13" i="6"/>
  <c r="L13" i="6" s="1"/>
  <c r="Y12" i="6"/>
  <c r="V12" i="6"/>
  <c r="S12" i="6"/>
  <c r="O12" i="6"/>
  <c r="N12" i="6"/>
  <c r="P12" i="6" s="1"/>
  <c r="M12" i="6"/>
  <c r="K12" i="6"/>
  <c r="L12" i="6" s="1"/>
  <c r="Y11" i="6"/>
  <c r="V11" i="6"/>
  <c r="S11" i="6"/>
  <c r="O11" i="6"/>
  <c r="N11" i="6"/>
  <c r="P11" i="6" s="1"/>
  <c r="M11" i="6"/>
  <c r="K11" i="6"/>
  <c r="L11" i="6" s="1"/>
  <c r="Y10" i="6"/>
  <c r="V10" i="6"/>
  <c r="S10" i="6"/>
  <c r="O10" i="6"/>
  <c r="N10" i="6"/>
  <c r="P10" i="6" s="1"/>
  <c r="M10" i="6"/>
  <c r="K10" i="6"/>
  <c r="L10" i="6" s="1"/>
  <c r="Y9" i="6"/>
  <c r="V9" i="6"/>
  <c r="S9" i="6"/>
  <c r="O9" i="6"/>
  <c r="N9" i="6"/>
  <c r="P9" i="6" s="1"/>
  <c r="M9" i="6"/>
  <c r="K9" i="6"/>
  <c r="L9" i="6" s="1"/>
  <c r="Y8" i="6"/>
  <c r="V8" i="6"/>
  <c r="S8" i="6"/>
  <c r="O8" i="6"/>
  <c r="N8" i="6"/>
  <c r="P8" i="6" s="1"/>
  <c r="M8" i="6"/>
  <c r="K8" i="6"/>
  <c r="L8" i="6" s="1"/>
  <c r="Y7" i="6"/>
  <c r="V7" i="6"/>
  <c r="S7" i="6"/>
  <c r="O7" i="6"/>
  <c r="N7" i="6"/>
  <c r="P7" i="6" s="1"/>
  <c r="M7" i="6"/>
  <c r="K7" i="6"/>
  <c r="L7" i="6" s="1"/>
  <c r="Y6" i="6"/>
  <c r="V6" i="6"/>
  <c r="S6" i="6"/>
  <c r="O6" i="6"/>
  <c r="N6" i="6"/>
  <c r="P6" i="6" s="1"/>
  <c r="M6" i="6"/>
  <c r="K6" i="6"/>
  <c r="L6" i="6" s="1"/>
  <c r="Y5" i="6"/>
  <c r="V5" i="6"/>
  <c r="W5" i="6" s="1"/>
  <c r="S5" i="6"/>
  <c r="O5" i="6"/>
  <c r="Q5" i="6" s="1"/>
  <c r="N5" i="6"/>
  <c r="P5" i="6" s="1"/>
  <c r="M5" i="6"/>
  <c r="K5" i="6"/>
  <c r="L5" i="6" s="1"/>
  <c r="Y4" i="6"/>
  <c r="V4" i="6"/>
  <c r="S4" i="6"/>
  <c r="O4" i="6"/>
  <c r="N4" i="6"/>
  <c r="P4" i="6" s="1"/>
  <c r="M4" i="6"/>
  <c r="K4" i="6"/>
  <c r="L4" i="6" s="1"/>
  <c r="Y14" i="5"/>
  <c r="V14" i="5"/>
  <c r="S14" i="5"/>
  <c r="O14" i="5"/>
  <c r="N14" i="5"/>
  <c r="P14" i="5" s="1"/>
  <c r="M14" i="5"/>
  <c r="K14" i="5"/>
  <c r="L14" i="5" s="1"/>
  <c r="J14" i="5"/>
  <c r="Y13" i="5"/>
  <c r="V13" i="5"/>
  <c r="S13" i="5"/>
  <c r="O13" i="5"/>
  <c r="N13" i="5"/>
  <c r="P13" i="5" s="1"/>
  <c r="M13" i="5"/>
  <c r="K13" i="5"/>
  <c r="L13" i="5" s="1"/>
  <c r="J13" i="5"/>
  <c r="Y12" i="5"/>
  <c r="V12" i="5"/>
  <c r="S12" i="5"/>
  <c r="O12" i="5"/>
  <c r="N12" i="5"/>
  <c r="P12" i="5" s="1"/>
  <c r="M12" i="5"/>
  <c r="K12" i="5"/>
  <c r="L12" i="5" s="1"/>
  <c r="J12" i="5"/>
  <c r="Y11" i="5"/>
  <c r="V11" i="5"/>
  <c r="S11" i="5"/>
  <c r="O11" i="5"/>
  <c r="N11" i="5"/>
  <c r="P11" i="5" s="1"/>
  <c r="M11" i="5"/>
  <c r="K11" i="5"/>
  <c r="L11" i="5" s="1"/>
  <c r="J11" i="5"/>
  <c r="Y10" i="5"/>
  <c r="V10" i="5"/>
  <c r="S10" i="5"/>
  <c r="O10" i="5"/>
  <c r="N10" i="5"/>
  <c r="P10" i="5" s="1"/>
  <c r="M10" i="5"/>
  <c r="K10" i="5"/>
  <c r="L10" i="5" s="1"/>
  <c r="J10" i="5"/>
  <c r="Y9" i="5"/>
  <c r="V9" i="5"/>
  <c r="S9" i="5"/>
  <c r="O9" i="5"/>
  <c r="N9" i="5"/>
  <c r="P9" i="5" s="1"/>
  <c r="M9" i="5"/>
  <c r="K9" i="5"/>
  <c r="L9" i="5" s="1"/>
  <c r="J9" i="5"/>
  <c r="Y8" i="5"/>
  <c r="V8" i="5"/>
  <c r="S8" i="5"/>
  <c r="O8" i="5"/>
  <c r="N8" i="5"/>
  <c r="P8" i="5" s="1"/>
  <c r="M8" i="5"/>
  <c r="K8" i="5"/>
  <c r="L8" i="5" s="1"/>
  <c r="J8" i="5"/>
  <c r="Y7" i="5"/>
  <c r="V7" i="5"/>
  <c r="S7" i="5"/>
  <c r="O7" i="5"/>
  <c r="N7" i="5"/>
  <c r="P7" i="5" s="1"/>
  <c r="M7" i="5"/>
  <c r="K7" i="5"/>
  <c r="L7" i="5" s="1"/>
  <c r="J7" i="5"/>
  <c r="Y6" i="5"/>
  <c r="V6" i="5"/>
  <c r="S6" i="5"/>
  <c r="O6" i="5"/>
  <c r="N6" i="5"/>
  <c r="P6" i="5" s="1"/>
  <c r="M6" i="5"/>
  <c r="K6" i="5"/>
  <c r="L6" i="5" s="1"/>
  <c r="J6" i="5"/>
  <c r="Y5" i="5"/>
  <c r="V5" i="5"/>
  <c r="S5" i="5"/>
  <c r="O5" i="5"/>
  <c r="N5" i="5"/>
  <c r="P5" i="5" s="1"/>
  <c r="M5" i="5"/>
  <c r="K5" i="5"/>
  <c r="L5" i="5" s="1"/>
  <c r="J5" i="5"/>
  <c r="Y4" i="5"/>
  <c r="V4" i="5"/>
  <c r="S4" i="5"/>
  <c r="O4" i="5"/>
  <c r="N4" i="5"/>
  <c r="P4" i="5" s="1"/>
  <c r="M4" i="5"/>
  <c r="K4" i="5"/>
  <c r="L4" i="5" s="1"/>
  <c r="J4" i="5"/>
  <c r="G5" i="4"/>
  <c r="W4" i="4"/>
  <c r="G4" i="2"/>
  <c r="H4" i="2" s="1"/>
  <c r="I4" i="2"/>
  <c r="G5" i="2"/>
  <c r="H5" i="2" s="1"/>
  <c r="I5" i="2"/>
  <c r="G6" i="2"/>
  <c r="H6" i="2"/>
  <c r="I6" i="2"/>
  <c r="G7" i="2"/>
  <c r="H7" i="2" s="1"/>
  <c r="I7" i="2"/>
  <c r="G8" i="2"/>
  <c r="H8" i="2"/>
  <c r="I8" i="2"/>
  <c r="G9" i="2"/>
  <c r="H9" i="2" s="1"/>
  <c r="I9" i="2"/>
  <c r="G10" i="2"/>
  <c r="H10" i="2" s="1"/>
  <c r="I10" i="2"/>
  <c r="G11" i="2"/>
  <c r="H11" i="2"/>
  <c r="I11" i="2"/>
  <c r="G12" i="2"/>
  <c r="H12" i="2"/>
  <c r="I12" i="2"/>
  <c r="G13" i="2"/>
  <c r="H13" i="2"/>
  <c r="I13" i="2"/>
  <c r="G14" i="2"/>
  <c r="H14" i="2"/>
  <c r="I14" i="2"/>
  <c r="O13" i="4"/>
  <c r="V13" i="4"/>
  <c r="Y14" i="4"/>
  <c r="Y13" i="4"/>
  <c r="Y12" i="4"/>
  <c r="Y11" i="4"/>
  <c r="Y10" i="4"/>
  <c r="Y9" i="4"/>
  <c r="Y8" i="4"/>
  <c r="Y7" i="4"/>
  <c r="Y6" i="4"/>
  <c r="Y5" i="4"/>
  <c r="Y4" i="4"/>
  <c r="V4" i="4"/>
  <c r="E34" i="46"/>
  <c r="E33" i="46"/>
  <c r="B33" i="46"/>
  <c r="E32" i="46"/>
  <c r="B31" i="46"/>
  <c r="E30" i="46"/>
  <c r="E35" i="46" s="1"/>
  <c r="E36" i="46" s="1"/>
  <c r="C26" i="46"/>
  <c r="I10" i="46" s="1"/>
  <c r="B26" i="46"/>
  <c r="I14" i="46"/>
  <c r="G14" i="46"/>
  <c r="H14" i="46" s="1"/>
  <c r="G13" i="46"/>
  <c r="H13" i="46" s="1"/>
  <c r="G12" i="46"/>
  <c r="H12" i="46" s="1"/>
  <c r="I11" i="46"/>
  <c r="G11" i="46"/>
  <c r="H11" i="46" s="1"/>
  <c r="G10" i="46"/>
  <c r="H10" i="46" s="1"/>
  <c r="G9" i="46"/>
  <c r="H9" i="46" s="1"/>
  <c r="I8" i="46"/>
  <c r="G8" i="46"/>
  <c r="H8" i="46" s="1"/>
  <c r="I7" i="46"/>
  <c r="G7" i="46"/>
  <c r="H7" i="46" s="1"/>
  <c r="G6" i="46"/>
  <c r="H6" i="46" s="1"/>
  <c r="I5" i="46"/>
  <c r="G5" i="46"/>
  <c r="H5" i="46" s="1"/>
  <c r="I4" i="46"/>
  <c r="H4" i="46"/>
  <c r="G4" i="46"/>
  <c r="E34" i="45"/>
  <c r="E33" i="45"/>
  <c r="B33" i="45"/>
  <c r="E32" i="45"/>
  <c r="B31" i="45"/>
  <c r="E30" i="45"/>
  <c r="E35" i="45" s="1"/>
  <c r="E36" i="45" s="1"/>
  <c r="C26" i="45"/>
  <c r="I10" i="45" s="1"/>
  <c r="B26" i="45"/>
  <c r="I14" i="45"/>
  <c r="G14" i="45"/>
  <c r="H14" i="45" s="1"/>
  <c r="G13" i="45"/>
  <c r="H13" i="45" s="1"/>
  <c r="G12" i="45"/>
  <c r="H12" i="45" s="1"/>
  <c r="I11" i="45"/>
  <c r="G11" i="45"/>
  <c r="H11" i="45" s="1"/>
  <c r="G10" i="45"/>
  <c r="H10" i="45" s="1"/>
  <c r="G9" i="45"/>
  <c r="H9" i="45" s="1"/>
  <c r="I8" i="45"/>
  <c r="G8" i="45"/>
  <c r="H8" i="45" s="1"/>
  <c r="I7" i="45"/>
  <c r="G7" i="45"/>
  <c r="H7" i="45" s="1"/>
  <c r="G6" i="45"/>
  <c r="H6" i="45" s="1"/>
  <c r="I5" i="45"/>
  <c r="G5" i="45"/>
  <c r="H5" i="45" s="1"/>
  <c r="I4" i="45"/>
  <c r="G4" i="45"/>
  <c r="H4" i="45" s="1"/>
  <c r="E34" i="44"/>
  <c r="B33" i="44"/>
  <c r="E33" i="44" s="1"/>
  <c r="E32" i="44"/>
  <c r="B31" i="44"/>
  <c r="E30" i="44"/>
  <c r="C26" i="44"/>
  <c r="I10" i="44" s="1"/>
  <c r="B26" i="44"/>
  <c r="I14" i="44"/>
  <c r="G14" i="44"/>
  <c r="H14" i="44" s="1"/>
  <c r="G13" i="44"/>
  <c r="H13" i="44" s="1"/>
  <c r="G12" i="44"/>
  <c r="H12" i="44" s="1"/>
  <c r="I11" i="44"/>
  <c r="G11" i="44"/>
  <c r="H11" i="44" s="1"/>
  <c r="G10" i="44"/>
  <c r="H10" i="44" s="1"/>
  <c r="G9" i="44"/>
  <c r="H9" i="44" s="1"/>
  <c r="I8" i="44"/>
  <c r="G8" i="44"/>
  <c r="H8" i="44" s="1"/>
  <c r="I7" i="44"/>
  <c r="G7" i="44"/>
  <c r="H7" i="44" s="1"/>
  <c r="G6" i="44"/>
  <c r="H6" i="44" s="1"/>
  <c r="I5" i="44"/>
  <c r="G5" i="44"/>
  <c r="H5" i="44" s="1"/>
  <c r="I4" i="44"/>
  <c r="G4" i="44"/>
  <c r="H4" i="44" s="1"/>
  <c r="E34" i="43"/>
  <c r="B33" i="43"/>
  <c r="E33" i="43" s="1"/>
  <c r="E32" i="43"/>
  <c r="B31" i="43"/>
  <c r="E30" i="43"/>
  <c r="C26" i="43"/>
  <c r="I10" i="43" s="1"/>
  <c r="B26" i="43"/>
  <c r="I14" i="43"/>
  <c r="G14" i="43"/>
  <c r="H14" i="43" s="1"/>
  <c r="G13" i="43"/>
  <c r="H13" i="43" s="1"/>
  <c r="G12" i="43"/>
  <c r="H12" i="43" s="1"/>
  <c r="I11" i="43"/>
  <c r="G11" i="43"/>
  <c r="H11" i="43" s="1"/>
  <c r="G10" i="43"/>
  <c r="H10" i="43" s="1"/>
  <c r="G9" i="43"/>
  <c r="H9" i="43" s="1"/>
  <c r="I8" i="43"/>
  <c r="G8" i="43"/>
  <c r="H8" i="43" s="1"/>
  <c r="I7" i="43"/>
  <c r="H7" i="43"/>
  <c r="G7" i="43"/>
  <c r="G6" i="43"/>
  <c r="H6" i="43" s="1"/>
  <c r="I5" i="43"/>
  <c r="G5" i="43"/>
  <c r="H5" i="43" s="1"/>
  <c r="I4" i="43"/>
  <c r="G4" i="43"/>
  <c r="H4" i="43" s="1"/>
  <c r="E34" i="42"/>
  <c r="B33" i="42"/>
  <c r="E33" i="42" s="1"/>
  <c r="E32" i="42"/>
  <c r="B31" i="42"/>
  <c r="E30" i="42"/>
  <c r="E35" i="42" s="1"/>
  <c r="E36" i="42" s="1"/>
  <c r="C26" i="42"/>
  <c r="I10" i="42" s="1"/>
  <c r="B26" i="42"/>
  <c r="I14" i="42"/>
  <c r="G14" i="42"/>
  <c r="H14" i="42" s="1"/>
  <c r="G13" i="42"/>
  <c r="H13" i="42" s="1"/>
  <c r="G12" i="42"/>
  <c r="H12" i="42" s="1"/>
  <c r="I11" i="42"/>
  <c r="G11" i="42"/>
  <c r="H11" i="42" s="1"/>
  <c r="G10" i="42"/>
  <c r="H10" i="42" s="1"/>
  <c r="G9" i="42"/>
  <c r="H9" i="42" s="1"/>
  <c r="I8" i="42"/>
  <c r="G8" i="42"/>
  <c r="H8" i="42" s="1"/>
  <c r="I7" i="42"/>
  <c r="G7" i="42"/>
  <c r="H7" i="42" s="1"/>
  <c r="G6" i="42"/>
  <c r="H6" i="42" s="1"/>
  <c r="I5" i="42"/>
  <c r="G5" i="42"/>
  <c r="H5" i="42" s="1"/>
  <c r="I4" i="42"/>
  <c r="G4" i="42"/>
  <c r="H4" i="42" s="1"/>
  <c r="E34" i="41"/>
  <c r="B33" i="41"/>
  <c r="E33" i="41" s="1"/>
  <c r="E32" i="41"/>
  <c r="B31" i="41"/>
  <c r="E30" i="41"/>
  <c r="C26" i="41"/>
  <c r="I10" i="41" s="1"/>
  <c r="B26" i="41"/>
  <c r="I14" i="41"/>
  <c r="G14" i="41"/>
  <c r="H14" i="41" s="1"/>
  <c r="G13" i="41"/>
  <c r="H13" i="41" s="1"/>
  <c r="G12" i="41"/>
  <c r="H12" i="41" s="1"/>
  <c r="I11" i="41"/>
  <c r="G11" i="41"/>
  <c r="H11" i="41" s="1"/>
  <c r="G10" i="41"/>
  <c r="H10" i="41" s="1"/>
  <c r="G9" i="41"/>
  <c r="H9" i="41" s="1"/>
  <c r="I8" i="41"/>
  <c r="G8" i="41"/>
  <c r="H8" i="41" s="1"/>
  <c r="I7" i="41"/>
  <c r="G7" i="41"/>
  <c r="H7" i="41" s="1"/>
  <c r="G6" i="41"/>
  <c r="H6" i="41" s="1"/>
  <c r="I5" i="41"/>
  <c r="G5" i="41"/>
  <c r="H5" i="41" s="1"/>
  <c r="I4" i="41"/>
  <c r="G4" i="41"/>
  <c r="H4" i="41" s="1"/>
  <c r="E34" i="40"/>
  <c r="E33" i="40"/>
  <c r="B33" i="40"/>
  <c r="E32" i="40"/>
  <c r="B31" i="40"/>
  <c r="E30" i="40"/>
  <c r="E35" i="40" s="1"/>
  <c r="E36" i="40" s="1"/>
  <c r="C26" i="40"/>
  <c r="I10" i="40" s="1"/>
  <c r="B26" i="40"/>
  <c r="I14" i="40"/>
  <c r="G14" i="40"/>
  <c r="H14" i="40" s="1"/>
  <c r="G13" i="40"/>
  <c r="H13" i="40" s="1"/>
  <c r="G12" i="40"/>
  <c r="H12" i="40" s="1"/>
  <c r="I11" i="40"/>
  <c r="G11" i="40"/>
  <c r="H11" i="40" s="1"/>
  <c r="G10" i="40"/>
  <c r="H10" i="40" s="1"/>
  <c r="G9" i="40"/>
  <c r="H9" i="40" s="1"/>
  <c r="I8" i="40"/>
  <c r="G8" i="40"/>
  <c r="H8" i="40" s="1"/>
  <c r="I7" i="40"/>
  <c r="G7" i="40"/>
  <c r="H7" i="40" s="1"/>
  <c r="G6" i="40"/>
  <c r="H6" i="40" s="1"/>
  <c r="I5" i="40"/>
  <c r="G5" i="40"/>
  <c r="H5" i="40" s="1"/>
  <c r="I4" i="40"/>
  <c r="G4" i="40"/>
  <c r="H4" i="40" s="1"/>
  <c r="E34" i="39"/>
  <c r="B33" i="39"/>
  <c r="E33" i="39" s="1"/>
  <c r="E32" i="39"/>
  <c r="B31" i="39"/>
  <c r="E30" i="39"/>
  <c r="E35" i="39" s="1"/>
  <c r="E36" i="39" s="1"/>
  <c r="C26" i="39"/>
  <c r="I10" i="39" s="1"/>
  <c r="B26" i="39"/>
  <c r="I14" i="39"/>
  <c r="G14" i="39"/>
  <c r="H14" i="39" s="1"/>
  <c r="G13" i="39"/>
  <c r="H13" i="39" s="1"/>
  <c r="G12" i="39"/>
  <c r="H12" i="39" s="1"/>
  <c r="I11" i="39"/>
  <c r="G11" i="39"/>
  <c r="H11" i="39" s="1"/>
  <c r="G10" i="39"/>
  <c r="H10" i="39" s="1"/>
  <c r="G9" i="39"/>
  <c r="H9" i="39" s="1"/>
  <c r="I8" i="39"/>
  <c r="G8" i="39"/>
  <c r="H8" i="39" s="1"/>
  <c r="I7" i="39"/>
  <c r="G7" i="39"/>
  <c r="H7" i="39" s="1"/>
  <c r="G6" i="39"/>
  <c r="H6" i="39" s="1"/>
  <c r="I5" i="39"/>
  <c r="G5" i="39"/>
  <c r="H5" i="39" s="1"/>
  <c r="I4" i="39"/>
  <c r="G4" i="39"/>
  <c r="H4" i="39" s="1"/>
  <c r="E34" i="38"/>
  <c r="B33" i="38"/>
  <c r="E33" i="38" s="1"/>
  <c r="E32" i="38"/>
  <c r="B31" i="38"/>
  <c r="E30" i="38"/>
  <c r="C26" i="38"/>
  <c r="I10" i="38" s="1"/>
  <c r="B26" i="38"/>
  <c r="I14" i="38"/>
  <c r="G14" i="38"/>
  <c r="H14" i="38" s="1"/>
  <c r="G13" i="38"/>
  <c r="H13" i="38" s="1"/>
  <c r="G12" i="38"/>
  <c r="H12" i="38" s="1"/>
  <c r="I11" i="38"/>
  <c r="G11" i="38"/>
  <c r="H11" i="38" s="1"/>
  <c r="G10" i="38"/>
  <c r="H10" i="38" s="1"/>
  <c r="G9" i="38"/>
  <c r="H9" i="38" s="1"/>
  <c r="I8" i="38"/>
  <c r="G8" i="38"/>
  <c r="H8" i="38" s="1"/>
  <c r="I7" i="38"/>
  <c r="G7" i="38"/>
  <c r="H7" i="38" s="1"/>
  <c r="G6" i="38"/>
  <c r="H6" i="38" s="1"/>
  <c r="I5" i="38"/>
  <c r="G5" i="38"/>
  <c r="H5" i="38" s="1"/>
  <c r="I4" i="38"/>
  <c r="G4" i="38"/>
  <c r="H4" i="38" s="1"/>
  <c r="E34" i="37"/>
  <c r="B33" i="37"/>
  <c r="E33" i="37" s="1"/>
  <c r="E32" i="37"/>
  <c r="B31" i="37"/>
  <c r="E30" i="37"/>
  <c r="C26" i="37"/>
  <c r="I6" i="37" s="1"/>
  <c r="B26" i="37"/>
  <c r="I14" i="37"/>
  <c r="G14" i="37"/>
  <c r="H14" i="37" s="1"/>
  <c r="E34" i="35"/>
  <c r="B33" i="35"/>
  <c r="E33" i="35" s="1"/>
  <c r="E32" i="35"/>
  <c r="B31" i="35"/>
  <c r="E30" i="35"/>
  <c r="C26" i="35"/>
  <c r="I7" i="35" s="1"/>
  <c r="B26" i="35"/>
  <c r="E34" i="34"/>
  <c r="E33" i="34"/>
  <c r="B33" i="34"/>
  <c r="E32" i="34"/>
  <c r="B31" i="34"/>
  <c r="E30" i="34"/>
  <c r="E35" i="34" s="1"/>
  <c r="E36" i="34" s="1"/>
  <c r="C26" i="34"/>
  <c r="I10" i="34" s="1"/>
  <c r="B26" i="34"/>
  <c r="I14" i="34"/>
  <c r="G14" i="34"/>
  <c r="H14" i="34" s="1"/>
  <c r="G13" i="34"/>
  <c r="H13" i="34" s="1"/>
  <c r="G12" i="34"/>
  <c r="H12" i="34" s="1"/>
  <c r="I11" i="34"/>
  <c r="G11" i="34"/>
  <c r="H11" i="34" s="1"/>
  <c r="G10" i="34"/>
  <c r="H10" i="34" s="1"/>
  <c r="G9" i="34"/>
  <c r="H9" i="34" s="1"/>
  <c r="I8" i="34"/>
  <c r="G8" i="34"/>
  <c r="H8" i="34" s="1"/>
  <c r="I7" i="34"/>
  <c r="G7" i="34"/>
  <c r="H7" i="34" s="1"/>
  <c r="G6" i="34"/>
  <c r="H6" i="34" s="1"/>
  <c r="I5" i="34"/>
  <c r="G5" i="34"/>
  <c r="H5" i="34" s="1"/>
  <c r="I4" i="34"/>
  <c r="H4" i="34"/>
  <c r="G4" i="34"/>
  <c r="E34" i="33"/>
  <c r="E33" i="33"/>
  <c r="B33" i="33"/>
  <c r="E32" i="33"/>
  <c r="B31" i="33"/>
  <c r="E30" i="33"/>
  <c r="E35" i="33" s="1"/>
  <c r="E36" i="33" s="1"/>
  <c r="C26" i="33"/>
  <c r="I10" i="33" s="1"/>
  <c r="B26" i="33"/>
  <c r="I14" i="33"/>
  <c r="G14" i="33"/>
  <c r="H14" i="33" s="1"/>
  <c r="G13" i="33"/>
  <c r="H13" i="33" s="1"/>
  <c r="G12" i="33"/>
  <c r="H12" i="33" s="1"/>
  <c r="I11" i="33"/>
  <c r="G11" i="33"/>
  <c r="H11" i="33" s="1"/>
  <c r="G10" i="33"/>
  <c r="H10" i="33" s="1"/>
  <c r="G9" i="33"/>
  <c r="H9" i="33" s="1"/>
  <c r="I8" i="33"/>
  <c r="G8" i="33"/>
  <c r="H8" i="33" s="1"/>
  <c r="I7" i="33"/>
  <c r="G7" i="33"/>
  <c r="H7" i="33" s="1"/>
  <c r="G6" i="33"/>
  <c r="H6" i="33" s="1"/>
  <c r="I5" i="33"/>
  <c r="G5" i="33"/>
  <c r="H5" i="33" s="1"/>
  <c r="I4" i="33"/>
  <c r="H4" i="33"/>
  <c r="G4" i="33"/>
  <c r="E34" i="32"/>
  <c r="E33" i="32"/>
  <c r="B33" i="32"/>
  <c r="E32" i="32"/>
  <c r="B31" i="32"/>
  <c r="E30" i="32"/>
  <c r="E35" i="32" s="1"/>
  <c r="E36" i="32" s="1"/>
  <c r="C26" i="32"/>
  <c r="I10" i="32" s="1"/>
  <c r="B26" i="32"/>
  <c r="I14" i="32"/>
  <c r="G14" i="32"/>
  <c r="H14" i="32" s="1"/>
  <c r="G13" i="32"/>
  <c r="H13" i="32" s="1"/>
  <c r="G12" i="32"/>
  <c r="H12" i="32" s="1"/>
  <c r="I11" i="32"/>
  <c r="G11" i="32"/>
  <c r="H11" i="32" s="1"/>
  <c r="G10" i="32"/>
  <c r="H10" i="32" s="1"/>
  <c r="G9" i="32"/>
  <c r="H9" i="32" s="1"/>
  <c r="I8" i="32"/>
  <c r="G8" i="32"/>
  <c r="H8" i="32" s="1"/>
  <c r="I7" i="32"/>
  <c r="G7" i="32"/>
  <c r="H7" i="32" s="1"/>
  <c r="G6" i="32"/>
  <c r="H6" i="32" s="1"/>
  <c r="I5" i="32"/>
  <c r="G5" i="32"/>
  <c r="H5" i="32" s="1"/>
  <c r="I4" i="32"/>
  <c r="G4" i="32"/>
  <c r="H4" i="32" s="1"/>
  <c r="E34" i="31"/>
  <c r="B33" i="31"/>
  <c r="E33" i="31" s="1"/>
  <c r="E32" i="31"/>
  <c r="B31" i="31"/>
  <c r="E30" i="31"/>
  <c r="C26" i="31"/>
  <c r="I10" i="31" s="1"/>
  <c r="B26" i="31"/>
  <c r="I14" i="31"/>
  <c r="G14" i="31"/>
  <c r="H14" i="31" s="1"/>
  <c r="G13" i="31"/>
  <c r="H13" i="31" s="1"/>
  <c r="G12" i="31"/>
  <c r="H12" i="31" s="1"/>
  <c r="I11" i="31"/>
  <c r="G11" i="31"/>
  <c r="H11" i="31" s="1"/>
  <c r="G10" i="31"/>
  <c r="H10" i="31" s="1"/>
  <c r="G9" i="31"/>
  <c r="H9" i="31" s="1"/>
  <c r="I8" i="31"/>
  <c r="G8" i="31"/>
  <c r="H8" i="31" s="1"/>
  <c r="I7" i="31"/>
  <c r="G7" i="31"/>
  <c r="H7" i="31" s="1"/>
  <c r="G6" i="31"/>
  <c r="H6" i="31" s="1"/>
  <c r="I5" i="31"/>
  <c r="G5" i="31"/>
  <c r="H5" i="31" s="1"/>
  <c r="I4" i="31"/>
  <c r="G4" i="31"/>
  <c r="H4" i="31" s="1"/>
  <c r="E34" i="30"/>
  <c r="E33" i="30"/>
  <c r="B33" i="30"/>
  <c r="E32" i="30"/>
  <c r="B31" i="30"/>
  <c r="E30" i="30"/>
  <c r="E35" i="30" s="1"/>
  <c r="E36" i="30" s="1"/>
  <c r="C26" i="30"/>
  <c r="I10" i="30" s="1"/>
  <c r="B26" i="30"/>
  <c r="I14" i="30"/>
  <c r="G14" i="30"/>
  <c r="H14" i="30" s="1"/>
  <c r="G13" i="30"/>
  <c r="H13" i="30" s="1"/>
  <c r="G12" i="30"/>
  <c r="H12" i="30" s="1"/>
  <c r="I11" i="30"/>
  <c r="G11" i="30"/>
  <c r="H11" i="30" s="1"/>
  <c r="G10" i="30"/>
  <c r="H10" i="30" s="1"/>
  <c r="G9" i="30"/>
  <c r="H9" i="30" s="1"/>
  <c r="I8" i="30"/>
  <c r="G8" i="30"/>
  <c r="H8" i="30" s="1"/>
  <c r="I7" i="30"/>
  <c r="G7" i="30"/>
  <c r="H7" i="30" s="1"/>
  <c r="G6" i="30"/>
  <c r="H6" i="30" s="1"/>
  <c r="I5" i="30"/>
  <c r="G5" i="30"/>
  <c r="H5" i="30" s="1"/>
  <c r="I4" i="30"/>
  <c r="G4" i="30"/>
  <c r="H4" i="30" s="1"/>
  <c r="E34" i="29"/>
  <c r="B33" i="29"/>
  <c r="E33" i="29" s="1"/>
  <c r="E32" i="29"/>
  <c r="B31" i="29"/>
  <c r="E30" i="29"/>
  <c r="E35" i="29" s="1"/>
  <c r="E36" i="29" s="1"/>
  <c r="C26" i="29"/>
  <c r="I10" i="29" s="1"/>
  <c r="B26" i="29"/>
  <c r="I14" i="29"/>
  <c r="G14" i="29"/>
  <c r="H14" i="29" s="1"/>
  <c r="G13" i="29"/>
  <c r="H13" i="29" s="1"/>
  <c r="G12" i="29"/>
  <c r="H12" i="29" s="1"/>
  <c r="I11" i="29"/>
  <c r="G11" i="29"/>
  <c r="H11" i="29" s="1"/>
  <c r="G10" i="29"/>
  <c r="H10" i="29" s="1"/>
  <c r="G9" i="29"/>
  <c r="H9" i="29" s="1"/>
  <c r="I8" i="29"/>
  <c r="G8" i="29"/>
  <c r="H8" i="29" s="1"/>
  <c r="I7" i="29"/>
  <c r="G7" i="29"/>
  <c r="H7" i="29" s="1"/>
  <c r="G6" i="29"/>
  <c r="H6" i="29" s="1"/>
  <c r="I5" i="29"/>
  <c r="G5" i="29"/>
  <c r="H5" i="29" s="1"/>
  <c r="I4" i="29"/>
  <c r="G4" i="29"/>
  <c r="H4" i="29" s="1"/>
  <c r="E34" i="28"/>
  <c r="B33" i="28"/>
  <c r="E33" i="28" s="1"/>
  <c r="E32" i="28"/>
  <c r="B31" i="28"/>
  <c r="E30" i="28"/>
  <c r="C26" i="28"/>
  <c r="I10" i="28" s="1"/>
  <c r="B26" i="28"/>
  <c r="I14" i="28"/>
  <c r="G14" i="28"/>
  <c r="H14" i="28" s="1"/>
  <c r="G13" i="28"/>
  <c r="H13" i="28" s="1"/>
  <c r="G12" i="28"/>
  <c r="H12" i="28" s="1"/>
  <c r="I11" i="28"/>
  <c r="G11" i="28"/>
  <c r="H11" i="28" s="1"/>
  <c r="G10" i="28"/>
  <c r="H10" i="28" s="1"/>
  <c r="G9" i="28"/>
  <c r="H9" i="28" s="1"/>
  <c r="I8" i="28"/>
  <c r="G8" i="28"/>
  <c r="H8" i="28" s="1"/>
  <c r="I7" i="28"/>
  <c r="G7" i="28"/>
  <c r="H7" i="28" s="1"/>
  <c r="G6" i="28"/>
  <c r="H6" i="28" s="1"/>
  <c r="I5" i="28"/>
  <c r="G5" i="28"/>
  <c r="H5" i="28" s="1"/>
  <c r="I4" i="28"/>
  <c r="G4" i="28"/>
  <c r="H4" i="28" s="1"/>
  <c r="E34" i="27"/>
  <c r="E33" i="27"/>
  <c r="B33" i="27"/>
  <c r="E32" i="27"/>
  <c r="B31" i="27"/>
  <c r="E30" i="27"/>
  <c r="E35" i="27" s="1"/>
  <c r="E36" i="27" s="1"/>
  <c r="C26" i="27"/>
  <c r="I10" i="27" s="1"/>
  <c r="B26" i="27"/>
  <c r="I14" i="27"/>
  <c r="G14" i="27"/>
  <c r="H14" i="27" s="1"/>
  <c r="G13" i="27"/>
  <c r="H13" i="27" s="1"/>
  <c r="G12" i="27"/>
  <c r="H12" i="27" s="1"/>
  <c r="I11" i="27"/>
  <c r="G11" i="27"/>
  <c r="H11" i="27" s="1"/>
  <c r="G10" i="27"/>
  <c r="H10" i="27" s="1"/>
  <c r="G9" i="27"/>
  <c r="H9" i="27" s="1"/>
  <c r="I8" i="27"/>
  <c r="G8" i="27"/>
  <c r="H8" i="27" s="1"/>
  <c r="I7" i="27"/>
  <c r="G7" i="27"/>
  <c r="H7" i="27" s="1"/>
  <c r="G6" i="27"/>
  <c r="H6" i="27" s="1"/>
  <c r="I5" i="27"/>
  <c r="G5" i="27"/>
  <c r="H5" i="27" s="1"/>
  <c r="I4" i="27"/>
  <c r="G4" i="27"/>
  <c r="H4" i="27" s="1"/>
  <c r="E34" i="26"/>
  <c r="B33" i="26"/>
  <c r="E33" i="26" s="1"/>
  <c r="E32" i="26"/>
  <c r="B31" i="26"/>
  <c r="E30" i="26"/>
  <c r="E35" i="26" s="1"/>
  <c r="E36" i="26" s="1"/>
  <c r="C26" i="26"/>
  <c r="I10" i="26" s="1"/>
  <c r="B26" i="26"/>
  <c r="G14" i="26"/>
  <c r="H14" i="26" s="1"/>
  <c r="G13" i="26"/>
  <c r="H13" i="26" s="1"/>
  <c r="G12" i="26"/>
  <c r="H12" i="26" s="1"/>
  <c r="G11" i="26"/>
  <c r="H11" i="26" s="1"/>
  <c r="G10" i="26"/>
  <c r="H10" i="26" s="1"/>
  <c r="G9" i="26"/>
  <c r="H9" i="26" s="1"/>
  <c r="G8" i="26"/>
  <c r="H8" i="26" s="1"/>
  <c r="G7" i="26"/>
  <c r="H7" i="26" s="1"/>
  <c r="G6" i="26"/>
  <c r="H6" i="26" s="1"/>
  <c r="I5" i="26"/>
  <c r="G5" i="26"/>
  <c r="H5" i="26" s="1"/>
  <c r="G4" i="26"/>
  <c r="H4" i="26" s="1"/>
  <c r="E34" i="36"/>
  <c r="B33" i="36"/>
  <c r="E33" i="36" s="1"/>
  <c r="E32" i="36"/>
  <c r="B31" i="36"/>
  <c r="E30" i="36"/>
  <c r="E35" i="36" s="1"/>
  <c r="E36" i="36" s="1"/>
  <c r="C26" i="36"/>
  <c r="I10" i="36" s="1"/>
  <c r="B26" i="36"/>
  <c r="G14" i="36"/>
  <c r="H14" i="36" s="1"/>
  <c r="G13" i="36"/>
  <c r="H13" i="36" s="1"/>
  <c r="G12" i="36"/>
  <c r="H12" i="36" s="1"/>
  <c r="G11" i="36"/>
  <c r="H11" i="36" s="1"/>
  <c r="G10" i="36"/>
  <c r="H10" i="36" s="1"/>
  <c r="G9" i="36"/>
  <c r="H9" i="36" s="1"/>
  <c r="G8" i="36"/>
  <c r="H8" i="36" s="1"/>
  <c r="G7" i="36"/>
  <c r="H7" i="36" s="1"/>
  <c r="G6" i="36"/>
  <c r="H6" i="36" s="1"/>
  <c r="I5" i="36"/>
  <c r="G5" i="36"/>
  <c r="H5" i="36" s="1"/>
  <c r="G4" i="36"/>
  <c r="H4" i="36" s="1"/>
  <c r="E34" i="22"/>
  <c r="B33" i="22"/>
  <c r="E33" i="22" s="1"/>
  <c r="E32" i="22"/>
  <c r="B31" i="22"/>
  <c r="E30" i="22"/>
  <c r="E35" i="22" s="1"/>
  <c r="E36" i="22" s="1"/>
  <c r="C26" i="22"/>
  <c r="I10" i="22" s="1"/>
  <c r="B26" i="22"/>
  <c r="I14" i="22"/>
  <c r="G14" i="22"/>
  <c r="H14" i="22" s="1"/>
  <c r="G13" i="22"/>
  <c r="H13" i="22" s="1"/>
  <c r="G12" i="22"/>
  <c r="H12" i="22" s="1"/>
  <c r="I11" i="22"/>
  <c r="G11" i="22"/>
  <c r="H11" i="22" s="1"/>
  <c r="G10" i="22"/>
  <c r="H10" i="22" s="1"/>
  <c r="G9" i="22"/>
  <c r="H9" i="22" s="1"/>
  <c r="I8" i="22"/>
  <c r="G8" i="22"/>
  <c r="H8" i="22" s="1"/>
  <c r="I7" i="22"/>
  <c r="G7" i="22"/>
  <c r="H7" i="22" s="1"/>
  <c r="G6" i="22"/>
  <c r="H6" i="22" s="1"/>
  <c r="I5" i="22"/>
  <c r="G5" i="22"/>
  <c r="H5" i="22" s="1"/>
  <c r="I4" i="22"/>
  <c r="G4" i="22"/>
  <c r="H4" i="22" s="1"/>
  <c r="E34" i="24"/>
  <c r="B33" i="24"/>
  <c r="E33" i="24" s="1"/>
  <c r="E32" i="24"/>
  <c r="B31" i="24"/>
  <c r="E30" i="24"/>
  <c r="C26" i="24"/>
  <c r="I10" i="24" s="1"/>
  <c r="B26" i="24"/>
  <c r="I14" i="24"/>
  <c r="G14" i="24"/>
  <c r="H14" i="24" s="1"/>
  <c r="G13" i="24"/>
  <c r="H13" i="24" s="1"/>
  <c r="G12" i="24"/>
  <c r="H12" i="24" s="1"/>
  <c r="I11" i="24"/>
  <c r="G11" i="24"/>
  <c r="H11" i="24" s="1"/>
  <c r="G10" i="24"/>
  <c r="H10" i="24" s="1"/>
  <c r="G9" i="24"/>
  <c r="H9" i="24" s="1"/>
  <c r="I8" i="24"/>
  <c r="G8" i="24"/>
  <c r="H8" i="24" s="1"/>
  <c r="I7" i="24"/>
  <c r="G7" i="24"/>
  <c r="H7" i="24" s="1"/>
  <c r="G6" i="24"/>
  <c r="H6" i="24" s="1"/>
  <c r="I5" i="24"/>
  <c r="G5" i="24"/>
  <c r="H5" i="24" s="1"/>
  <c r="I4" i="24"/>
  <c r="G4" i="24"/>
  <c r="H4" i="24" s="1"/>
  <c r="E34" i="25"/>
  <c r="B33" i="25"/>
  <c r="E33" i="25" s="1"/>
  <c r="E35" i="25" s="1"/>
  <c r="E36" i="25" s="1"/>
  <c r="E32" i="25"/>
  <c r="B31" i="25"/>
  <c r="E30" i="25"/>
  <c r="C26" i="25"/>
  <c r="I11" i="25" s="1"/>
  <c r="B26" i="25"/>
  <c r="G14" i="25"/>
  <c r="H14" i="25" s="1"/>
  <c r="I13" i="25"/>
  <c r="G13" i="25"/>
  <c r="H13" i="25" s="1"/>
  <c r="I12" i="25"/>
  <c r="G12" i="25"/>
  <c r="H12" i="25" s="1"/>
  <c r="G11" i="25"/>
  <c r="H11" i="25" s="1"/>
  <c r="I10" i="25"/>
  <c r="G10" i="25"/>
  <c r="H10" i="25" s="1"/>
  <c r="I9" i="25"/>
  <c r="G9" i="25"/>
  <c r="H9" i="25" s="1"/>
  <c r="I8" i="25"/>
  <c r="G8" i="25"/>
  <c r="H8" i="25" s="1"/>
  <c r="I7" i="25"/>
  <c r="G7" i="25"/>
  <c r="H7" i="25" s="1"/>
  <c r="I6" i="25"/>
  <c r="G6" i="25"/>
  <c r="H6" i="25" s="1"/>
  <c r="I5" i="25"/>
  <c r="H5" i="25"/>
  <c r="G5" i="25"/>
  <c r="G4" i="25"/>
  <c r="H4" i="25" s="1"/>
  <c r="E34" i="21"/>
  <c r="B33" i="21"/>
  <c r="E33" i="21" s="1"/>
  <c r="E32" i="21"/>
  <c r="B31" i="21"/>
  <c r="E30" i="21"/>
  <c r="E35" i="21" s="1"/>
  <c r="E36" i="21" s="1"/>
  <c r="C26" i="21"/>
  <c r="I10" i="21" s="1"/>
  <c r="B26" i="21"/>
  <c r="G14" i="21"/>
  <c r="H14" i="21" s="1"/>
  <c r="G13" i="21"/>
  <c r="H13" i="21" s="1"/>
  <c r="G12" i="21"/>
  <c r="H12" i="21" s="1"/>
  <c r="G11" i="21"/>
  <c r="H11" i="21" s="1"/>
  <c r="G10" i="21"/>
  <c r="H10" i="21" s="1"/>
  <c r="G9" i="21"/>
  <c r="H9" i="21" s="1"/>
  <c r="G8" i="21"/>
  <c r="H8" i="21" s="1"/>
  <c r="G7" i="21"/>
  <c r="H7" i="21" s="1"/>
  <c r="G6" i="21"/>
  <c r="H6" i="21" s="1"/>
  <c r="I5" i="21"/>
  <c r="G5" i="21"/>
  <c r="H5" i="21" s="1"/>
  <c r="G4" i="21"/>
  <c r="H4" i="21" s="1"/>
  <c r="E34" i="20"/>
  <c r="B33" i="20"/>
  <c r="E33" i="20" s="1"/>
  <c r="E35" i="20" s="1"/>
  <c r="E36" i="20" s="1"/>
  <c r="E32" i="20"/>
  <c r="B31" i="20"/>
  <c r="E30" i="20"/>
  <c r="C26" i="20"/>
  <c r="I10" i="20" s="1"/>
  <c r="B26" i="20"/>
  <c r="I14" i="20"/>
  <c r="G14" i="20"/>
  <c r="H14" i="20" s="1"/>
  <c r="I13" i="20"/>
  <c r="G13" i="20"/>
  <c r="H13" i="20" s="1"/>
  <c r="G12" i="20"/>
  <c r="H12" i="20" s="1"/>
  <c r="I11" i="20"/>
  <c r="G11" i="20"/>
  <c r="H11" i="20" s="1"/>
  <c r="G10" i="20"/>
  <c r="H10" i="20" s="1"/>
  <c r="G9" i="20"/>
  <c r="H9" i="20" s="1"/>
  <c r="I8" i="20"/>
  <c r="G8" i="20"/>
  <c r="H8" i="20" s="1"/>
  <c r="I7" i="20"/>
  <c r="G7" i="20"/>
  <c r="H7" i="20" s="1"/>
  <c r="G6" i="20"/>
  <c r="H6" i="20" s="1"/>
  <c r="I5" i="20"/>
  <c r="G5" i="20"/>
  <c r="H5" i="20" s="1"/>
  <c r="I4" i="20"/>
  <c r="G4" i="20"/>
  <c r="H4" i="20" s="1"/>
  <c r="E34" i="19"/>
  <c r="E35" i="19" s="1"/>
  <c r="E36" i="19" s="1"/>
  <c r="B33" i="19"/>
  <c r="E33" i="19" s="1"/>
  <c r="E32" i="19"/>
  <c r="B31" i="19"/>
  <c r="E30" i="19"/>
  <c r="C26" i="19"/>
  <c r="I6" i="19" s="1"/>
  <c r="B26" i="19"/>
  <c r="I14" i="19"/>
  <c r="G14" i="19"/>
  <c r="H14" i="19" s="1"/>
  <c r="I13" i="19"/>
  <c r="G13" i="19"/>
  <c r="H13" i="19" s="1"/>
  <c r="G12" i="19"/>
  <c r="H12" i="19" s="1"/>
  <c r="I11" i="19"/>
  <c r="G11" i="19"/>
  <c r="H11" i="19" s="1"/>
  <c r="I10" i="19"/>
  <c r="G10" i="19"/>
  <c r="H10" i="19" s="1"/>
  <c r="G9" i="19"/>
  <c r="H9" i="19" s="1"/>
  <c r="I8" i="19"/>
  <c r="G8" i="19"/>
  <c r="H8" i="19" s="1"/>
  <c r="I7" i="19"/>
  <c r="G7" i="19"/>
  <c r="H7" i="19" s="1"/>
  <c r="G6" i="19"/>
  <c r="H6" i="19" s="1"/>
  <c r="I5" i="19"/>
  <c r="G5" i="19"/>
  <c r="H5" i="19" s="1"/>
  <c r="I4" i="19"/>
  <c r="G4" i="19"/>
  <c r="H4" i="19" s="1"/>
  <c r="E34" i="18"/>
  <c r="B33" i="18"/>
  <c r="E33" i="18" s="1"/>
  <c r="E32" i="18"/>
  <c r="B31" i="18"/>
  <c r="E30" i="18"/>
  <c r="E35" i="18" s="1"/>
  <c r="E36" i="18" s="1"/>
  <c r="C26" i="18"/>
  <c r="I10" i="18" s="1"/>
  <c r="B26" i="18"/>
  <c r="I14" i="18"/>
  <c r="G14" i="18"/>
  <c r="H14" i="18" s="1"/>
  <c r="G13" i="18"/>
  <c r="H13" i="18" s="1"/>
  <c r="G12" i="18"/>
  <c r="H12" i="18" s="1"/>
  <c r="I11" i="18"/>
  <c r="G11" i="18"/>
  <c r="H11" i="18" s="1"/>
  <c r="G10" i="18"/>
  <c r="H10" i="18" s="1"/>
  <c r="G9" i="18"/>
  <c r="H9" i="18" s="1"/>
  <c r="I8" i="18"/>
  <c r="G8" i="18"/>
  <c r="H8" i="18" s="1"/>
  <c r="I7" i="18"/>
  <c r="G7" i="18"/>
  <c r="H7" i="18" s="1"/>
  <c r="G6" i="18"/>
  <c r="H6" i="18" s="1"/>
  <c r="I5" i="18"/>
  <c r="G5" i="18"/>
  <c r="H5" i="18" s="1"/>
  <c r="I4" i="18"/>
  <c r="G4" i="18"/>
  <c r="H4" i="18" s="1"/>
  <c r="E34" i="17"/>
  <c r="B33" i="17"/>
  <c r="E33" i="17" s="1"/>
  <c r="E32" i="17"/>
  <c r="B31" i="17"/>
  <c r="E30" i="17"/>
  <c r="E35" i="17" s="1"/>
  <c r="E36" i="17" s="1"/>
  <c r="C26" i="17"/>
  <c r="I10" i="17" s="1"/>
  <c r="B26" i="17"/>
  <c r="I14" i="17"/>
  <c r="G14" i="17"/>
  <c r="H14" i="17" s="1"/>
  <c r="G13" i="17"/>
  <c r="H13" i="17" s="1"/>
  <c r="G12" i="17"/>
  <c r="H12" i="17" s="1"/>
  <c r="I11" i="17"/>
  <c r="G11" i="17"/>
  <c r="H11" i="17" s="1"/>
  <c r="G10" i="17"/>
  <c r="H10" i="17" s="1"/>
  <c r="G9" i="17"/>
  <c r="H9" i="17" s="1"/>
  <c r="I8" i="17"/>
  <c r="G8" i="17"/>
  <c r="H8" i="17" s="1"/>
  <c r="I7" i="17"/>
  <c r="G7" i="17"/>
  <c r="H7" i="17" s="1"/>
  <c r="G6" i="17"/>
  <c r="H6" i="17" s="1"/>
  <c r="I5" i="17"/>
  <c r="G5" i="17"/>
  <c r="H5" i="17" s="1"/>
  <c r="I4" i="17"/>
  <c r="G4" i="17"/>
  <c r="H4" i="17" s="1"/>
  <c r="E34" i="16"/>
  <c r="E33" i="16"/>
  <c r="B33" i="16"/>
  <c r="E32" i="16"/>
  <c r="B31" i="16"/>
  <c r="E30" i="16"/>
  <c r="E35" i="16" s="1"/>
  <c r="E36" i="16" s="1"/>
  <c r="C26" i="16"/>
  <c r="I10" i="16" s="1"/>
  <c r="B26" i="16"/>
  <c r="I14" i="16"/>
  <c r="G14" i="16"/>
  <c r="H14" i="16" s="1"/>
  <c r="G13" i="16"/>
  <c r="H13" i="16" s="1"/>
  <c r="G12" i="16"/>
  <c r="H12" i="16" s="1"/>
  <c r="I11" i="16"/>
  <c r="G11" i="16"/>
  <c r="H11" i="16" s="1"/>
  <c r="G10" i="16"/>
  <c r="H10" i="16" s="1"/>
  <c r="G9" i="16"/>
  <c r="H9" i="16" s="1"/>
  <c r="I8" i="16"/>
  <c r="G8" i="16"/>
  <c r="H8" i="16" s="1"/>
  <c r="I7" i="16"/>
  <c r="G7" i="16"/>
  <c r="H7" i="16" s="1"/>
  <c r="G6" i="16"/>
  <c r="H6" i="16" s="1"/>
  <c r="I5" i="16"/>
  <c r="G5" i="16"/>
  <c r="H5" i="16" s="1"/>
  <c r="I4" i="16"/>
  <c r="G4" i="16"/>
  <c r="H4" i="16" s="1"/>
  <c r="E34" i="15"/>
  <c r="B33" i="15"/>
  <c r="E33" i="15" s="1"/>
  <c r="E32" i="15"/>
  <c r="B31" i="15"/>
  <c r="E30" i="15"/>
  <c r="C26" i="15"/>
  <c r="I10" i="15" s="1"/>
  <c r="B26" i="15"/>
  <c r="I14" i="15"/>
  <c r="G14" i="15"/>
  <c r="H14" i="15" s="1"/>
  <c r="G13" i="15"/>
  <c r="H13" i="15" s="1"/>
  <c r="G12" i="15"/>
  <c r="H12" i="15" s="1"/>
  <c r="I11" i="15"/>
  <c r="G11" i="15"/>
  <c r="H11" i="15" s="1"/>
  <c r="G10" i="15"/>
  <c r="H10" i="15" s="1"/>
  <c r="G9" i="15"/>
  <c r="H9" i="15" s="1"/>
  <c r="I8" i="15"/>
  <c r="G8" i="15"/>
  <c r="H8" i="15" s="1"/>
  <c r="I7" i="15"/>
  <c r="G7" i="15"/>
  <c r="H7" i="15" s="1"/>
  <c r="G6" i="15"/>
  <c r="H6" i="15" s="1"/>
  <c r="I5" i="15"/>
  <c r="G5" i="15"/>
  <c r="H5" i="15" s="1"/>
  <c r="I4" i="15"/>
  <c r="G4" i="15"/>
  <c r="H4" i="15" s="1"/>
  <c r="E34" i="14"/>
  <c r="E35" i="14" s="1"/>
  <c r="E36" i="14" s="1"/>
  <c r="B33" i="14"/>
  <c r="E33" i="14" s="1"/>
  <c r="E32" i="14"/>
  <c r="B31" i="14"/>
  <c r="E30" i="14"/>
  <c r="C26" i="14"/>
  <c r="I6" i="14" s="1"/>
  <c r="B26" i="14"/>
  <c r="I14" i="14"/>
  <c r="G14" i="14"/>
  <c r="H14" i="14" s="1"/>
  <c r="I13" i="14"/>
  <c r="G13" i="14"/>
  <c r="H13" i="14" s="1"/>
  <c r="G12" i="14"/>
  <c r="H12" i="14" s="1"/>
  <c r="I11" i="14"/>
  <c r="G11" i="14"/>
  <c r="H11" i="14" s="1"/>
  <c r="I10" i="14"/>
  <c r="G10" i="14"/>
  <c r="H10" i="14" s="1"/>
  <c r="G9" i="14"/>
  <c r="H9" i="14" s="1"/>
  <c r="I8" i="14"/>
  <c r="G8" i="14"/>
  <c r="H8" i="14" s="1"/>
  <c r="I7" i="14"/>
  <c r="G7" i="14"/>
  <c r="H7" i="14" s="1"/>
  <c r="G6" i="14"/>
  <c r="H6" i="14" s="1"/>
  <c r="I5" i="14"/>
  <c r="G5" i="14"/>
  <c r="H5" i="14" s="1"/>
  <c r="I4" i="14"/>
  <c r="G4" i="14"/>
  <c r="H4" i="14" s="1"/>
  <c r="E34" i="11"/>
  <c r="B33" i="11"/>
  <c r="E33" i="11" s="1"/>
  <c r="E32" i="11"/>
  <c r="B31" i="11"/>
  <c r="E30" i="11"/>
  <c r="E35" i="11" s="1"/>
  <c r="E36" i="11" s="1"/>
  <c r="C26" i="11"/>
  <c r="I10" i="11" s="1"/>
  <c r="B26" i="11"/>
  <c r="I14" i="11"/>
  <c r="G14" i="11"/>
  <c r="H14" i="11" s="1"/>
  <c r="G13" i="11"/>
  <c r="H13" i="11" s="1"/>
  <c r="G12" i="11"/>
  <c r="H12" i="11" s="1"/>
  <c r="I11" i="11"/>
  <c r="G11" i="11"/>
  <c r="H11" i="11" s="1"/>
  <c r="G10" i="11"/>
  <c r="H10" i="11" s="1"/>
  <c r="G9" i="11"/>
  <c r="H9" i="11" s="1"/>
  <c r="I8" i="11"/>
  <c r="G8" i="11"/>
  <c r="H8" i="11" s="1"/>
  <c r="I7" i="11"/>
  <c r="G7" i="11"/>
  <c r="H7" i="11" s="1"/>
  <c r="G6" i="11"/>
  <c r="H6" i="11" s="1"/>
  <c r="I5" i="11"/>
  <c r="G5" i="11"/>
  <c r="H5" i="11" s="1"/>
  <c r="I4" i="11"/>
  <c r="H4" i="11"/>
  <c r="G4" i="11"/>
  <c r="E34" i="10"/>
  <c r="B33" i="10"/>
  <c r="E33" i="10" s="1"/>
  <c r="E35" i="10" s="1"/>
  <c r="E36" i="10" s="1"/>
  <c r="E32" i="10"/>
  <c r="B31" i="10"/>
  <c r="E30" i="10"/>
  <c r="C26" i="10"/>
  <c r="I6" i="10" s="1"/>
  <c r="B26" i="10"/>
  <c r="I14" i="10"/>
  <c r="G14" i="10"/>
  <c r="H14" i="10" s="1"/>
  <c r="I13" i="10"/>
  <c r="G13" i="10"/>
  <c r="H13" i="10" s="1"/>
  <c r="G12" i="10"/>
  <c r="H12" i="10" s="1"/>
  <c r="I11" i="10"/>
  <c r="G11" i="10"/>
  <c r="H11" i="10" s="1"/>
  <c r="I10" i="10"/>
  <c r="G10" i="10"/>
  <c r="H10" i="10" s="1"/>
  <c r="G9" i="10"/>
  <c r="H9" i="10" s="1"/>
  <c r="I8" i="10"/>
  <c r="G8" i="10"/>
  <c r="H8" i="10" s="1"/>
  <c r="I7" i="10"/>
  <c r="G7" i="10"/>
  <c r="H7" i="10" s="1"/>
  <c r="G6" i="10"/>
  <c r="H6" i="10" s="1"/>
  <c r="I5" i="10"/>
  <c r="G5" i="10"/>
  <c r="H5" i="10" s="1"/>
  <c r="I4" i="10"/>
  <c r="G4" i="10"/>
  <c r="H4" i="10" s="1"/>
  <c r="E34" i="9"/>
  <c r="B33" i="9"/>
  <c r="E33" i="9" s="1"/>
  <c r="E35" i="9" s="1"/>
  <c r="E36" i="9" s="1"/>
  <c r="E32" i="9"/>
  <c r="B31" i="9"/>
  <c r="E30" i="9"/>
  <c r="C26" i="9"/>
  <c r="I6" i="9" s="1"/>
  <c r="B26" i="9"/>
  <c r="I14" i="9"/>
  <c r="G14" i="9"/>
  <c r="H14" i="9" s="1"/>
  <c r="I13" i="9"/>
  <c r="G13" i="9"/>
  <c r="H13" i="9" s="1"/>
  <c r="G12" i="9"/>
  <c r="H12" i="9" s="1"/>
  <c r="I11" i="9"/>
  <c r="G11" i="9"/>
  <c r="H11" i="9" s="1"/>
  <c r="I10" i="9"/>
  <c r="G10" i="9"/>
  <c r="H10" i="9" s="1"/>
  <c r="G9" i="9"/>
  <c r="H9" i="9" s="1"/>
  <c r="I8" i="9"/>
  <c r="G8" i="9"/>
  <c r="H8" i="9" s="1"/>
  <c r="I7" i="9"/>
  <c r="H7" i="9"/>
  <c r="G7" i="9"/>
  <c r="G6" i="9"/>
  <c r="H6" i="9" s="1"/>
  <c r="I5" i="9"/>
  <c r="G5" i="9"/>
  <c r="H5" i="9" s="1"/>
  <c r="I4" i="9"/>
  <c r="G4" i="9"/>
  <c r="H4" i="9" s="1"/>
  <c r="E34" i="8"/>
  <c r="B33" i="8"/>
  <c r="E33" i="8" s="1"/>
  <c r="E32" i="8"/>
  <c r="B31" i="8"/>
  <c r="E30" i="8"/>
  <c r="C26" i="8"/>
  <c r="I11" i="8" s="1"/>
  <c r="B26" i="8"/>
  <c r="G14" i="8"/>
  <c r="H14" i="8" s="1"/>
  <c r="G13" i="8"/>
  <c r="H13" i="8" s="1"/>
  <c r="G12" i="8"/>
  <c r="H12" i="8" s="1"/>
  <c r="G11" i="8"/>
  <c r="H11" i="8" s="1"/>
  <c r="G10" i="8"/>
  <c r="H10" i="8" s="1"/>
  <c r="G9" i="8"/>
  <c r="H9" i="8" s="1"/>
  <c r="I8" i="8"/>
  <c r="G8" i="8"/>
  <c r="H8" i="8" s="1"/>
  <c r="G7" i="8"/>
  <c r="H7" i="8" s="1"/>
  <c r="G6" i="8"/>
  <c r="H6" i="8" s="1"/>
  <c r="I5" i="8"/>
  <c r="G5" i="8"/>
  <c r="H5" i="8" s="1"/>
  <c r="G4" i="8"/>
  <c r="H4" i="8" s="1"/>
  <c r="E34" i="7"/>
  <c r="B33" i="7"/>
  <c r="E33" i="7" s="1"/>
  <c r="E35" i="7" s="1"/>
  <c r="E36" i="7" s="1"/>
  <c r="E32" i="7"/>
  <c r="B31" i="7"/>
  <c r="E30" i="7"/>
  <c r="C26" i="7"/>
  <c r="I6" i="7" s="1"/>
  <c r="B26" i="7"/>
  <c r="I14" i="7"/>
  <c r="G14" i="7"/>
  <c r="H14" i="7" s="1"/>
  <c r="I13" i="7"/>
  <c r="G13" i="7"/>
  <c r="H13" i="7" s="1"/>
  <c r="G12" i="7"/>
  <c r="H12" i="7" s="1"/>
  <c r="I11" i="7"/>
  <c r="G11" i="7"/>
  <c r="H11" i="7" s="1"/>
  <c r="I10" i="7"/>
  <c r="G10" i="7"/>
  <c r="H10" i="7" s="1"/>
  <c r="G9" i="7"/>
  <c r="H9" i="7" s="1"/>
  <c r="I8" i="7"/>
  <c r="G8" i="7"/>
  <c r="H8" i="7" s="1"/>
  <c r="I7" i="7"/>
  <c r="H7" i="7"/>
  <c r="G7" i="7"/>
  <c r="G6" i="7"/>
  <c r="H6" i="7" s="1"/>
  <c r="I5" i="7"/>
  <c r="G5" i="7"/>
  <c r="H5" i="7" s="1"/>
  <c r="I4" i="7"/>
  <c r="G4" i="7"/>
  <c r="H4" i="7" s="1"/>
  <c r="E34" i="6"/>
  <c r="B33" i="6"/>
  <c r="E33" i="6" s="1"/>
  <c r="E32" i="6"/>
  <c r="B31" i="6"/>
  <c r="E30" i="6"/>
  <c r="E35" i="6" s="1"/>
  <c r="E36" i="6" s="1"/>
  <c r="C26" i="6"/>
  <c r="I10" i="6" s="1"/>
  <c r="B26" i="6"/>
  <c r="I14" i="6"/>
  <c r="G14" i="6"/>
  <c r="H14" i="6" s="1"/>
  <c r="J14" i="6" s="1"/>
  <c r="G13" i="6"/>
  <c r="H13" i="6" s="1"/>
  <c r="J13" i="6" s="1"/>
  <c r="G12" i="6"/>
  <c r="H12" i="6" s="1"/>
  <c r="J12" i="6" s="1"/>
  <c r="I11" i="6"/>
  <c r="G11" i="6"/>
  <c r="H11" i="6" s="1"/>
  <c r="J11" i="6" s="1"/>
  <c r="G10" i="6"/>
  <c r="H10" i="6" s="1"/>
  <c r="J10" i="6" s="1"/>
  <c r="G9" i="6"/>
  <c r="H9" i="6" s="1"/>
  <c r="J9" i="6" s="1"/>
  <c r="I8" i="6"/>
  <c r="G8" i="6"/>
  <c r="H8" i="6" s="1"/>
  <c r="J8" i="6" s="1"/>
  <c r="I7" i="6"/>
  <c r="G7" i="6"/>
  <c r="H7" i="6" s="1"/>
  <c r="J7" i="6" s="1"/>
  <c r="G6" i="6"/>
  <c r="H6" i="6" s="1"/>
  <c r="J6" i="6" s="1"/>
  <c r="I5" i="6"/>
  <c r="G5" i="6"/>
  <c r="H5" i="6" s="1"/>
  <c r="J5" i="6" s="1"/>
  <c r="I4" i="6"/>
  <c r="G4" i="6"/>
  <c r="H4" i="6" s="1"/>
  <c r="J4" i="6" s="1"/>
  <c r="E36" i="5"/>
  <c r="E34" i="5"/>
  <c r="B33" i="5"/>
  <c r="E33" i="5" s="1"/>
  <c r="E32" i="5"/>
  <c r="B31" i="5"/>
  <c r="E30" i="5"/>
  <c r="E35" i="5" s="1"/>
  <c r="C26" i="5"/>
  <c r="I13" i="5" s="1"/>
  <c r="B26" i="5"/>
  <c r="G14" i="5"/>
  <c r="H14" i="5" s="1"/>
  <c r="G13" i="5"/>
  <c r="H13" i="5" s="1"/>
  <c r="G12" i="5"/>
  <c r="H12" i="5" s="1"/>
  <c r="I11" i="5"/>
  <c r="G11" i="5"/>
  <c r="H11" i="5" s="1"/>
  <c r="I10" i="5"/>
  <c r="G10" i="5"/>
  <c r="H10" i="5" s="1"/>
  <c r="G9" i="5"/>
  <c r="H9" i="5" s="1"/>
  <c r="G8" i="5"/>
  <c r="H8" i="5" s="1"/>
  <c r="G7" i="5"/>
  <c r="H7" i="5" s="1"/>
  <c r="G6" i="5"/>
  <c r="H6" i="5" s="1"/>
  <c r="G5" i="5"/>
  <c r="H5" i="5" s="1"/>
  <c r="G4" i="5"/>
  <c r="H4" i="5" s="1"/>
  <c r="E34" i="4"/>
  <c r="B33" i="4"/>
  <c r="E33" i="4" s="1"/>
  <c r="E32" i="4"/>
  <c r="B31" i="4"/>
  <c r="E30" i="4"/>
  <c r="C26" i="4"/>
  <c r="I10" i="4" s="1"/>
  <c r="B26" i="4"/>
  <c r="V14" i="4"/>
  <c r="S14" i="4"/>
  <c r="O14" i="4"/>
  <c r="N14" i="4"/>
  <c r="P14" i="4" s="1"/>
  <c r="M14" i="4"/>
  <c r="G14" i="4"/>
  <c r="H14" i="4" s="1"/>
  <c r="S13" i="4"/>
  <c r="N13" i="4"/>
  <c r="P13" i="4" s="1"/>
  <c r="M13" i="4"/>
  <c r="G13" i="4"/>
  <c r="H13" i="4" s="1"/>
  <c r="V12" i="4"/>
  <c r="S12" i="4"/>
  <c r="O12" i="4"/>
  <c r="Q12" i="4" s="1"/>
  <c r="N12" i="4"/>
  <c r="P12" i="4" s="1"/>
  <c r="M12" i="4"/>
  <c r="G12" i="4"/>
  <c r="H12" i="4" s="1"/>
  <c r="V11" i="4"/>
  <c r="S11" i="4"/>
  <c r="O11" i="4"/>
  <c r="N11" i="4"/>
  <c r="P11" i="4" s="1"/>
  <c r="M11" i="4"/>
  <c r="G11" i="4"/>
  <c r="H11" i="4" s="1"/>
  <c r="V10" i="4"/>
  <c r="S10" i="4"/>
  <c r="O10" i="4"/>
  <c r="N10" i="4"/>
  <c r="P10" i="4" s="1"/>
  <c r="M10" i="4"/>
  <c r="G10" i="4"/>
  <c r="H10" i="4" s="1"/>
  <c r="V9" i="4"/>
  <c r="S9" i="4"/>
  <c r="O9" i="4"/>
  <c r="N9" i="4"/>
  <c r="P9" i="4" s="1"/>
  <c r="M9" i="4"/>
  <c r="G9" i="4"/>
  <c r="H9" i="4" s="1"/>
  <c r="V8" i="4"/>
  <c r="S8" i="4"/>
  <c r="O8" i="4"/>
  <c r="N8" i="4"/>
  <c r="P8" i="4" s="1"/>
  <c r="M8" i="4"/>
  <c r="G8" i="4"/>
  <c r="H8" i="4" s="1"/>
  <c r="V7" i="4"/>
  <c r="S7" i="4"/>
  <c r="O7" i="4"/>
  <c r="N7" i="4"/>
  <c r="P7" i="4" s="1"/>
  <c r="M7" i="4"/>
  <c r="G7" i="4"/>
  <c r="H7" i="4" s="1"/>
  <c r="V6" i="4"/>
  <c r="S6" i="4"/>
  <c r="O6" i="4"/>
  <c r="N6" i="4"/>
  <c r="P6" i="4" s="1"/>
  <c r="M6" i="4"/>
  <c r="G6" i="4"/>
  <c r="H6" i="4" s="1"/>
  <c r="V5" i="4"/>
  <c r="S5" i="4"/>
  <c r="O5" i="4"/>
  <c r="N5" i="4"/>
  <c r="P5" i="4" s="1"/>
  <c r="M5" i="4"/>
  <c r="H5" i="4"/>
  <c r="S4" i="4"/>
  <c r="O4" i="4"/>
  <c r="N4" i="4"/>
  <c r="P4" i="4" s="1"/>
  <c r="M4" i="4"/>
  <c r="G4" i="4"/>
  <c r="H4" i="4" s="1"/>
  <c r="E34" i="3"/>
  <c r="B33" i="3"/>
  <c r="E33" i="3" s="1"/>
  <c r="E32" i="3"/>
  <c r="B31" i="3"/>
  <c r="E30" i="3"/>
  <c r="E35" i="3" s="1"/>
  <c r="E36" i="3" s="1"/>
  <c r="C26" i="3"/>
  <c r="I13" i="3" s="1"/>
  <c r="B26" i="3"/>
  <c r="G14" i="3"/>
  <c r="H14" i="3" s="1"/>
  <c r="G13" i="3"/>
  <c r="H13" i="3" s="1"/>
  <c r="G12" i="3"/>
  <c r="H12" i="3" s="1"/>
  <c r="G11" i="3"/>
  <c r="H11" i="3" s="1"/>
  <c r="G10" i="3"/>
  <c r="H10" i="3" s="1"/>
  <c r="G9" i="3"/>
  <c r="H9" i="3" s="1"/>
  <c r="G8" i="3"/>
  <c r="H8" i="3" s="1"/>
  <c r="H7" i="3"/>
  <c r="G7" i="3"/>
  <c r="G6" i="3"/>
  <c r="H6" i="3" s="1"/>
  <c r="G5" i="3"/>
  <c r="H5" i="3" s="1"/>
  <c r="G4" i="3"/>
  <c r="H4" i="3" s="1"/>
  <c r="E34" i="13"/>
  <c r="B33" i="13"/>
  <c r="E33" i="13" s="1"/>
  <c r="E32" i="13"/>
  <c r="B31" i="13"/>
  <c r="E30" i="13"/>
  <c r="E35" i="13" s="1"/>
  <c r="E36" i="13" s="1"/>
  <c r="C26" i="13"/>
  <c r="I10" i="13" s="1"/>
  <c r="B26" i="13"/>
  <c r="G14" i="13"/>
  <c r="H14" i="13" s="1"/>
  <c r="G13" i="13"/>
  <c r="H13" i="13" s="1"/>
  <c r="G12" i="13"/>
  <c r="H12" i="13" s="1"/>
  <c r="G11" i="13"/>
  <c r="H11" i="13" s="1"/>
  <c r="G10" i="13"/>
  <c r="H10" i="13" s="1"/>
  <c r="G9" i="13"/>
  <c r="H9" i="13" s="1"/>
  <c r="G8" i="13"/>
  <c r="H8" i="13" s="1"/>
  <c r="G7" i="13"/>
  <c r="H7" i="13" s="1"/>
  <c r="G6" i="13"/>
  <c r="H6" i="13" s="1"/>
  <c r="G5" i="13"/>
  <c r="H5" i="13" s="1"/>
  <c r="H4" i="13"/>
  <c r="G4" i="13"/>
  <c r="E34" i="2"/>
  <c r="B33" i="2"/>
  <c r="E33" i="2" s="1"/>
  <c r="E32" i="2"/>
  <c r="B31" i="2"/>
  <c r="E30" i="2"/>
  <c r="E35" i="2" s="1"/>
  <c r="E36" i="2" s="1"/>
  <c r="C26" i="2"/>
  <c r="B26" i="2"/>
  <c r="E34" i="1"/>
  <c r="E32" i="1"/>
  <c r="E30" i="1"/>
  <c r="D63" i="12"/>
  <c r="D64" i="12"/>
  <c r="D55" i="12"/>
  <c r="D54" i="12"/>
  <c r="B33" i="1"/>
  <c r="E33" i="1" s="1"/>
  <c r="B31" i="1"/>
  <c r="C26" i="1"/>
  <c r="I7" i="1" s="1"/>
  <c r="B26" i="1"/>
  <c r="G14" i="1"/>
  <c r="H14" i="1" s="1"/>
  <c r="G13" i="1"/>
  <c r="H13" i="1" s="1"/>
  <c r="G12" i="1"/>
  <c r="H12" i="1" s="1"/>
  <c r="G11" i="1"/>
  <c r="H11" i="1" s="1"/>
  <c r="G10" i="1"/>
  <c r="H10" i="1" s="1"/>
  <c r="G9" i="1"/>
  <c r="H9" i="1" s="1"/>
  <c r="G8" i="1"/>
  <c r="H8" i="1" s="1"/>
  <c r="G7" i="1"/>
  <c r="H7" i="1" s="1"/>
  <c r="G6" i="1"/>
  <c r="H6" i="1" s="1"/>
  <c r="G5" i="1"/>
  <c r="H5" i="1" s="1"/>
  <c r="U5" i="46" l="1"/>
  <c r="AC5" i="46" s="1"/>
  <c r="U9" i="45"/>
  <c r="AC9" i="45" s="1"/>
  <c r="U8" i="31"/>
  <c r="AC8" i="31" s="1"/>
  <c r="U9" i="31"/>
  <c r="AC9" i="31" s="1"/>
  <c r="U9" i="28"/>
  <c r="AC9" i="28" s="1"/>
  <c r="U13" i="28"/>
  <c r="AC13" i="28" s="1"/>
  <c r="U11" i="24"/>
  <c r="AC11" i="24" s="1"/>
  <c r="U9" i="20"/>
  <c r="AC9" i="20" s="1"/>
  <c r="AA7" i="19"/>
  <c r="AD7" i="19" s="1"/>
  <c r="U5" i="10"/>
  <c r="AC5" i="10" s="1"/>
  <c r="U10" i="3"/>
  <c r="AC10" i="3" s="1"/>
  <c r="U14" i="3"/>
  <c r="AC14" i="3" s="1"/>
  <c r="U4" i="1"/>
  <c r="AC4" i="1" s="1"/>
  <c r="U6" i="1"/>
  <c r="AC6" i="1" s="1"/>
  <c r="U8" i="1"/>
  <c r="AC8" i="1" s="1"/>
  <c r="U10" i="1"/>
  <c r="AC10" i="1" s="1"/>
  <c r="U12" i="1"/>
  <c r="AC12" i="1" s="1"/>
  <c r="U14" i="1"/>
  <c r="AC14" i="1" s="1"/>
  <c r="AA5" i="46"/>
  <c r="AD5" i="46" s="1"/>
  <c r="AA9" i="46"/>
  <c r="AD9" i="46" s="1"/>
  <c r="AA5" i="22"/>
  <c r="AD5" i="22" s="1"/>
  <c r="AA5" i="21"/>
  <c r="AD5" i="21" s="1"/>
  <c r="AA4" i="20"/>
  <c r="AD4" i="20" s="1"/>
  <c r="AA8" i="20"/>
  <c r="AD8" i="20" s="1"/>
  <c r="AA9" i="20"/>
  <c r="AD9" i="20" s="1"/>
  <c r="W13" i="37"/>
  <c r="W8" i="37"/>
  <c r="W6" i="37"/>
  <c r="J9" i="35"/>
  <c r="Q6" i="35"/>
  <c r="Q9" i="35"/>
  <c r="I8" i="35"/>
  <c r="J8" i="35" s="1"/>
  <c r="W11" i="35"/>
  <c r="I9" i="35"/>
  <c r="I14" i="35"/>
  <c r="J14" i="35" s="1"/>
  <c r="J7" i="35"/>
  <c r="I10" i="35"/>
  <c r="J10" i="35" s="1"/>
  <c r="W5" i="35"/>
  <c r="I4" i="35"/>
  <c r="W14" i="35"/>
  <c r="I12" i="35"/>
  <c r="J12" i="35" s="1"/>
  <c r="Q14" i="35"/>
  <c r="I6" i="35"/>
  <c r="J6" i="35" s="1"/>
  <c r="W4" i="35"/>
  <c r="J4" i="35"/>
  <c r="I11" i="35"/>
  <c r="J11" i="35" s="1"/>
  <c r="W9" i="35"/>
  <c r="W7" i="35"/>
  <c r="I5" i="35"/>
  <c r="J5" i="35" s="1"/>
  <c r="I13" i="35"/>
  <c r="J13" i="35" s="1"/>
  <c r="Q10" i="35"/>
  <c r="Q12" i="35"/>
  <c r="W12" i="35"/>
  <c r="W5" i="37"/>
  <c r="I12" i="37"/>
  <c r="J12" i="37" s="1"/>
  <c r="J14" i="37"/>
  <c r="E35" i="35"/>
  <c r="E36" i="35" s="1"/>
  <c r="Q8" i="37"/>
  <c r="I5" i="37"/>
  <c r="J5" i="37" s="1"/>
  <c r="I8" i="37"/>
  <c r="J8" i="37" s="1"/>
  <c r="Q9" i="37"/>
  <c r="I9" i="37"/>
  <c r="J9" i="37" s="1"/>
  <c r="W11" i="37"/>
  <c r="I10" i="37"/>
  <c r="J10" i="37" s="1"/>
  <c r="W7" i="37"/>
  <c r="W9" i="37"/>
  <c r="I7" i="37"/>
  <c r="J7" i="37" s="1"/>
  <c r="I4" i="37"/>
  <c r="J4" i="37"/>
  <c r="Q12" i="37"/>
  <c r="W12" i="37"/>
  <c r="W10" i="37"/>
  <c r="Q10" i="37"/>
  <c r="J6" i="37"/>
  <c r="Q5" i="37"/>
  <c r="I11" i="37"/>
  <c r="J11" i="37" s="1"/>
  <c r="E35" i="37"/>
  <c r="E36" i="37" s="1"/>
  <c r="I13" i="37"/>
  <c r="J13" i="37" s="1"/>
  <c r="R5" i="6"/>
  <c r="U5" i="6" s="1"/>
  <c r="AC5" i="6" s="1"/>
  <c r="X5" i="6"/>
  <c r="Z5" i="6" s="1"/>
  <c r="AA5" i="6" s="1"/>
  <c r="AD5" i="6" s="1"/>
  <c r="R5" i="3"/>
  <c r="U5" i="3" s="1"/>
  <c r="AC5" i="3" s="1"/>
  <c r="R9" i="3"/>
  <c r="U9" i="3" s="1"/>
  <c r="AC9" i="3" s="1"/>
  <c r="R13" i="3"/>
  <c r="U13" i="3" s="1"/>
  <c r="AC13" i="3" s="1"/>
  <c r="Q7" i="3"/>
  <c r="R7" i="3" s="1"/>
  <c r="U7" i="3" s="1"/>
  <c r="AC7" i="3" s="1"/>
  <c r="W5" i="3"/>
  <c r="X5" i="3" s="1"/>
  <c r="Z5" i="3" s="1"/>
  <c r="AA5" i="3" s="1"/>
  <c r="AD5" i="3" s="1"/>
  <c r="W7" i="3"/>
  <c r="X7" i="3" s="1"/>
  <c r="Z7" i="3" s="1"/>
  <c r="AA7" i="3" s="1"/>
  <c r="AD7" i="3" s="1"/>
  <c r="W9" i="3"/>
  <c r="X9" i="3" s="1"/>
  <c r="Z9" i="3" s="1"/>
  <c r="AA9" i="3" s="1"/>
  <c r="AD9" i="3" s="1"/>
  <c r="W13" i="3"/>
  <c r="X13" i="3" s="1"/>
  <c r="Z13" i="3" s="1"/>
  <c r="AA13" i="3" s="1"/>
  <c r="AD13" i="3" s="1"/>
  <c r="Q11" i="3"/>
  <c r="R11" i="3" s="1"/>
  <c r="U11" i="3" s="1"/>
  <c r="AC11" i="3" s="1"/>
  <c r="W11" i="3"/>
  <c r="X11" i="3" s="1"/>
  <c r="Z11" i="3" s="1"/>
  <c r="AA11" i="3" s="1"/>
  <c r="AD11" i="3" s="1"/>
  <c r="X4" i="3"/>
  <c r="Z4" i="3" s="1"/>
  <c r="AA4" i="3" s="1"/>
  <c r="AD4" i="3" s="1"/>
  <c r="X6" i="3"/>
  <c r="Z6" i="3" s="1"/>
  <c r="AA6" i="3" s="1"/>
  <c r="AD6" i="3" s="1"/>
  <c r="X8" i="3"/>
  <c r="Z8" i="3" s="1"/>
  <c r="AA8" i="3" s="1"/>
  <c r="AD8" i="3" s="1"/>
  <c r="X10" i="3"/>
  <c r="Z10" i="3" s="1"/>
  <c r="AA10" i="3" s="1"/>
  <c r="AD10" i="3" s="1"/>
  <c r="X12" i="3"/>
  <c r="Z12" i="3" s="1"/>
  <c r="AA12" i="3" s="1"/>
  <c r="AD12" i="3" s="1"/>
  <c r="X14" i="3"/>
  <c r="Z14" i="3" s="1"/>
  <c r="AA14" i="3" s="1"/>
  <c r="AD14" i="3" s="1"/>
  <c r="Q6" i="13"/>
  <c r="R6" i="13" s="1"/>
  <c r="U6" i="13" s="1"/>
  <c r="AC6" i="13" s="1"/>
  <c r="Q10" i="13"/>
  <c r="R10" i="13" s="1"/>
  <c r="U10" i="13" s="1"/>
  <c r="AC10" i="13" s="1"/>
  <c r="Q14" i="13"/>
  <c r="R14" i="13" s="1"/>
  <c r="U14" i="13" s="1"/>
  <c r="AC14" i="13" s="1"/>
  <c r="X4" i="13"/>
  <c r="Z4" i="13" s="1"/>
  <c r="AA4" i="13" s="1"/>
  <c r="AD4" i="13" s="1"/>
  <c r="Q8" i="13"/>
  <c r="R8" i="13" s="1"/>
  <c r="U8" i="13" s="1"/>
  <c r="AC8" i="13" s="1"/>
  <c r="Q12" i="13"/>
  <c r="R12" i="13" s="1"/>
  <c r="U12" i="13" s="1"/>
  <c r="AC12" i="13" s="1"/>
  <c r="Q7" i="13"/>
  <c r="R7" i="13" s="1"/>
  <c r="U7" i="13" s="1"/>
  <c r="AC7" i="13" s="1"/>
  <c r="Q11" i="13"/>
  <c r="R11" i="13" s="1"/>
  <c r="U11" i="13" s="1"/>
  <c r="AC11" i="13" s="1"/>
  <c r="W7" i="13"/>
  <c r="X7" i="13" s="1"/>
  <c r="Z7" i="13" s="1"/>
  <c r="AA7" i="13" s="1"/>
  <c r="AD7" i="13" s="1"/>
  <c r="W11" i="13"/>
  <c r="X11" i="13" s="1"/>
  <c r="Z11" i="13" s="1"/>
  <c r="AA11" i="13" s="1"/>
  <c r="AD11" i="13" s="1"/>
  <c r="Q5" i="13"/>
  <c r="R5" i="13" s="1"/>
  <c r="U5" i="13" s="1"/>
  <c r="AC5" i="13" s="1"/>
  <c r="Q9" i="13"/>
  <c r="R9" i="13" s="1"/>
  <c r="U9" i="13" s="1"/>
  <c r="AC9" i="13" s="1"/>
  <c r="Q13" i="13"/>
  <c r="R13" i="13" s="1"/>
  <c r="U13" i="13" s="1"/>
  <c r="AC13" i="13" s="1"/>
  <c r="Q4" i="13"/>
  <c r="R4" i="13" s="1"/>
  <c r="T4" i="13" s="1"/>
  <c r="U4" i="13" s="1"/>
  <c r="AC4" i="13" s="1"/>
  <c r="W6" i="13"/>
  <c r="X6" i="13" s="1"/>
  <c r="Z6" i="13" s="1"/>
  <c r="AA6" i="13" s="1"/>
  <c r="AD6" i="13" s="1"/>
  <c r="W10" i="13"/>
  <c r="X10" i="13" s="1"/>
  <c r="Z10" i="13" s="1"/>
  <c r="AA10" i="13" s="1"/>
  <c r="AD10" i="13" s="1"/>
  <c r="W14" i="13"/>
  <c r="X14" i="13" s="1"/>
  <c r="Z14" i="13" s="1"/>
  <c r="AA14" i="13" s="1"/>
  <c r="AD14" i="13" s="1"/>
  <c r="Q10" i="2"/>
  <c r="R10" i="2" s="1"/>
  <c r="U10" i="2" s="1"/>
  <c r="AC10" i="2" s="1"/>
  <c r="W10" i="2"/>
  <c r="X10" i="2" s="1"/>
  <c r="Z10" i="2" s="1"/>
  <c r="AA10" i="2" s="1"/>
  <c r="AD10" i="2" s="1"/>
  <c r="Q12" i="2"/>
  <c r="R12" i="2" s="1"/>
  <c r="U12" i="2" s="1"/>
  <c r="AC12" i="2" s="1"/>
  <c r="Q5" i="2"/>
  <c r="R5" i="2" s="1"/>
  <c r="U5" i="2" s="1"/>
  <c r="AC5" i="2" s="1"/>
  <c r="Q4" i="2"/>
  <c r="R4" i="2" s="1"/>
  <c r="T4" i="2" s="1"/>
  <c r="U4" i="2" s="1"/>
  <c r="AC4" i="2" s="1"/>
  <c r="Q13" i="2"/>
  <c r="R13" i="2" s="1"/>
  <c r="U13" i="2" s="1"/>
  <c r="AC13" i="2" s="1"/>
  <c r="Q6" i="2"/>
  <c r="R6" i="2" s="1"/>
  <c r="U6" i="2" s="1"/>
  <c r="AC6" i="2" s="1"/>
  <c r="W6" i="2"/>
  <c r="X6" i="2" s="1"/>
  <c r="Z6" i="2" s="1"/>
  <c r="AA6" i="2" s="1"/>
  <c r="AD6" i="2" s="1"/>
  <c r="Q8" i="2"/>
  <c r="R8" i="2" s="1"/>
  <c r="U8" i="2" s="1"/>
  <c r="AC8" i="2" s="1"/>
  <c r="W13" i="2"/>
  <c r="X13" i="2" s="1"/>
  <c r="Z13" i="2" s="1"/>
  <c r="AA13" i="2" s="1"/>
  <c r="AD13" i="2" s="1"/>
  <c r="R7" i="2"/>
  <c r="U7" i="2" s="1"/>
  <c r="AC7" i="2" s="1"/>
  <c r="X5" i="2"/>
  <c r="Z5" i="2" s="1"/>
  <c r="AA5" i="2" s="1"/>
  <c r="AD5" i="2" s="1"/>
  <c r="X7" i="2"/>
  <c r="Z7" i="2" s="1"/>
  <c r="AA7" i="2" s="1"/>
  <c r="AD7" i="2" s="1"/>
  <c r="X14" i="2"/>
  <c r="Z14" i="2" s="1"/>
  <c r="AA14" i="2" s="1"/>
  <c r="AD14" i="2" s="1"/>
  <c r="Q9" i="2"/>
  <c r="R9" i="2" s="1"/>
  <c r="U9" i="2" s="1"/>
  <c r="AC9" i="2" s="1"/>
  <c r="Q5" i="1"/>
  <c r="R5" i="1" s="1"/>
  <c r="U5" i="1" s="1"/>
  <c r="AC5" i="1" s="1"/>
  <c r="Q7" i="1"/>
  <c r="R7" i="1" s="1"/>
  <c r="U7" i="1" s="1"/>
  <c r="AC7" i="1" s="1"/>
  <c r="Q9" i="1"/>
  <c r="R9" i="1" s="1"/>
  <c r="U9" i="1" s="1"/>
  <c r="AC9" i="1" s="1"/>
  <c r="Q13" i="1"/>
  <c r="R13" i="1" s="1"/>
  <c r="U13" i="1" s="1"/>
  <c r="AC13" i="1" s="1"/>
  <c r="W5" i="1"/>
  <c r="X5" i="1" s="1"/>
  <c r="AA5" i="1" s="1"/>
  <c r="AD5" i="1" s="1"/>
  <c r="W7" i="1"/>
  <c r="X7" i="1" s="1"/>
  <c r="Z7" i="1" s="1"/>
  <c r="AA7" i="1" s="1"/>
  <c r="AD7" i="1" s="1"/>
  <c r="W9" i="1"/>
  <c r="X9" i="1" s="1"/>
  <c r="Z9" i="1" s="1"/>
  <c r="AA9" i="1" s="1"/>
  <c r="AD9" i="1" s="1"/>
  <c r="W11" i="1"/>
  <c r="X11" i="1" s="1"/>
  <c r="Z11" i="1" s="1"/>
  <c r="AA11" i="1" s="1"/>
  <c r="AD11" i="1" s="1"/>
  <c r="W13" i="1"/>
  <c r="X13" i="1" s="1"/>
  <c r="Z13" i="1" s="1"/>
  <c r="AA13" i="1" s="1"/>
  <c r="AD13" i="1" s="1"/>
  <c r="Q11" i="1"/>
  <c r="R11" i="1" s="1"/>
  <c r="U11" i="1" s="1"/>
  <c r="AC11" i="1" s="1"/>
  <c r="Q11" i="46"/>
  <c r="R11" i="46" s="1"/>
  <c r="U11" i="46" s="1"/>
  <c r="AC11" i="46" s="1"/>
  <c r="X13" i="46"/>
  <c r="AA13" i="46" s="1"/>
  <c r="AD13" i="46" s="1"/>
  <c r="Q4" i="46"/>
  <c r="R4" i="46" s="1"/>
  <c r="U4" i="46" s="1"/>
  <c r="AC4" i="46" s="1"/>
  <c r="Q6" i="46"/>
  <c r="R6" i="46" s="1"/>
  <c r="U6" i="46" s="1"/>
  <c r="AC6" i="46" s="1"/>
  <c r="Q8" i="46"/>
  <c r="R8" i="46" s="1"/>
  <c r="U8" i="46" s="1"/>
  <c r="AC8" i="46" s="1"/>
  <c r="W4" i="46"/>
  <c r="X4" i="46" s="1"/>
  <c r="AA4" i="46" s="1"/>
  <c r="AD4" i="46" s="1"/>
  <c r="Q10" i="46"/>
  <c r="R10" i="46" s="1"/>
  <c r="U10" i="46" s="1"/>
  <c r="AC10" i="46" s="1"/>
  <c r="Q12" i="46"/>
  <c r="R12" i="46" s="1"/>
  <c r="U12" i="46" s="1"/>
  <c r="AC12" i="46" s="1"/>
  <c r="W6" i="46"/>
  <c r="X6" i="46" s="1"/>
  <c r="AA6" i="46" s="1"/>
  <c r="AD6" i="46" s="1"/>
  <c r="W8" i="46"/>
  <c r="X8" i="46" s="1"/>
  <c r="AA8" i="46" s="1"/>
  <c r="AD8" i="46" s="1"/>
  <c r="Q14" i="46"/>
  <c r="R14" i="46" s="1"/>
  <c r="U14" i="46" s="1"/>
  <c r="AC14" i="46" s="1"/>
  <c r="Q7" i="46"/>
  <c r="R7" i="46" s="1"/>
  <c r="U7" i="46" s="1"/>
  <c r="AC7" i="46" s="1"/>
  <c r="X11" i="46"/>
  <c r="AA11" i="46" s="1"/>
  <c r="AD11" i="46" s="1"/>
  <c r="R13" i="46"/>
  <c r="U13" i="46" s="1"/>
  <c r="AC13" i="46" s="1"/>
  <c r="W10" i="46"/>
  <c r="X10" i="46" s="1"/>
  <c r="AA10" i="46" s="1"/>
  <c r="AD10" i="46" s="1"/>
  <c r="W12" i="46"/>
  <c r="X12" i="46" s="1"/>
  <c r="AA12" i="46" s="1"/>
  <c r="AD12" i="46" s="1"/>
  <c r="W14" i="46"/>
  <c r="X14" i="46" s="1"/>
  <c r="AA14" i="46" s="1"/>
  <c r="AD14" i="46" s="1"/>
  <c r="Q10" i="45"/>
  <c r="R10" i="45" s="1"/>
  <c r="U10" i="45" s="1"/>
  <c r="AC10" i="45" s="1"/>
  <c r="W6" i="45"/>
  <c r="X6" i="45" s="1"/>
  <c r="Z6" i="45" s="1"/>
  <c r="AA6" i="45" s="1"/>
  <c r="AD6" i="45" s="1"/>
  <c r="W8" i="45"/>
  <c r="X8" i="45" s="1"/>
  <c r="Z8" i="45" s="1"/>
  <c r="AA8" i="45" s="1"/>
  <c r="AD8" i="45" s="1"/>
  <c r="Q14" i="45"/>
  <c r="R14" i="45" s="1"/>
  <c r="U14" i="45" s="1"/>
  <c r="AC14" i="45" s="1"/>
  <c r="X11" i="45"/>
  <c r="Z11" i="45" s="1"/>
  <c r="AA11" i="45" s="1"/>
  <c r="AD11" i="45" s="1"/>
  <c r="R13" i="45"/>
  <c r="U13" i="45" s="1"/>
  <c r="AC13" i="45" s="1"/>
  <c r="Q6" i="45"/>
  <c r="R6" i="45" s="1"/>
  <c r="U6" i="45" s="1"/>
  <c r="AC6" i="45" s="1"/>
  <c r="Q8" i="45"/>
  <c r="R8" i="45" s="1"/>
  <c r="U8" i="45" s="1"/>
  <c r="AC8" i="45" s="1"/>
  <c r="Q12" i="45"/>
  <c r="R12" i="45" s="1"/>
  <c r="U12" i="45" s="1"/>
  <c r="AC12" i="45" s="1"/>
  <c r="W10" i="45"/>
  <c r="X10" i="45" s="1"/>
  <c r="Z10" i="45" s="1"/>
  <c r="AA10" i="45" s="1"/>
  <c r="AD10" i="45" s="1"/>
  <c r="W14" i="45"/>
  <c r="X14" i="45" s="1"/>
  <c r="Z14" i="45" s="1"/>
  <c r="AA14" i="45" s="1"/>
  <c r="AD14" i="45" s="1"/>
  <c r="Q7" i="45"/>
  <c r="R7" i="45" s="1"/>
  <c r="U7" i="45" s="1"/>
  <c r="AC7" i="45" s="1"/>
  <c r="Q11" i="45"/>
  <c r="R11" i="45" s="1"/>
  <c r="U11" i="45" s="1"/>
  <c r="AC11" i="45" s="1"/>
  <c r="X13" i="45"/>
  <c r="Z13" i="45" s="1"/>
  <c r="AA13" i="45" s="1"/>
  <c r="AD13" i="45" s="1"/>
  <c r="Q4" i="45"/>
  <c r="R4" i="45" s="1"/>
  <c r="T4" i="45" s="1"/>
  <c r="U4" i="45" s="1"/>
  <c r="AC4" i="45" s="1"/>
  <c r="W4" i="45"/>
  <c r="X4" i="45" s="1"/>
  <c r="Z4" i="45" s="1"/>
  <c r="AA4" i="45" s="1"/>
  <c r="AD4" i="45" s="1"/>
  <c r="W12" i="45"/>
  <c r="X12" i="45" s="1"/>
  <c r="Z12" i="45" s="1"/>
  <c r="AA12" i="45" s="1"/>
  <c r="AD12" i="45" s="1"/>
  <c r="Q7" i="43"/>
  <c r="R7" i="43" s="1"/>
  <c r="U7" i="43" s="1"/>
  <c r="AC7" i="43" s="1"/>
  <c r="Q11" i="43"/>
  <c r="R11" i="43" s="1"/>
  <c r="U11" i="43" s="1"/>
  <c r="AC11" i="43" s="1"/>
  <c r="X13" i="43"/>
  <c r="Z13" i="43" s="1"/>
  <c r="AA13" i="43" s="1"/>
  <c r="AD13" i="43" s="1"/>
  <c r="Q4" i="43"/>
  <c r="R4" i="43" s="1"/>
  <c r="T4" i="43" s="1"/>
  <c r="U4" i="43" s="1"/>
  <c r="AC4" i="43" s="1"/>
  <c r="Q6" i="43"/>
  <c r="R6" i="43" s="1"/>
  <c r="U6" i="43" s="1"/>
  <c r="AC6" i="43" s="1"/>
  <c r="Q8" i="43"/>
  <c r="R8" i="43" s="1"/>
  <c r="U8" i="43" s="1"/>
  <c r="AC8" i="43" s="1"/>
  <c r="W4" i="43"/>
  <c r="X4" i="43" s="1"/>
  <c r="Z4" i="43" s="1"/>
  <c r="AA4" i="43" s="1"/>
  <c r="AD4" i="43" s="1"/>
  <c r="Q10" i="43"/>
  <c r="R10" i="43" s="1"/>
  <c r="U10" i="43" s="1"/>
  <c r="AC10" i="43" s="1"/>
  <c r="Q12" i="43"/>
  <c r="R12" i="43" s="1"/>
  <c r="U12" i="43" s="1"/>
  <c r="AC12" i="43" s="1"/>
  <c r="W6" i="43"/>
  <c r="X6" i="43" s="1"/>
  <c r="Z6" i="43" s="1"/>
  <c r="AA6" i="43" s="1"/>
  <c r="AD6" i="43" s="1"/>
  <c r="W8" i="43"/>
  <c r="X8" i="43" s="1"/>
  <c r="Z8" i="43" s="1"/>
  <c r="AA8" i="43" s="1"/>
  <c r="AD8" i="43" s="1"/>
  <c r="Q14" i="43"/>
  <c r="R14" i="43" s="1"/>
  <c r="U14" i="43" s="1"/>
  <c r="AC14" i="43" s="1"/>
  <c r="X11" i="43"/>
  <c r="Z11" i="43" s="1"/>
  <c r="AA11" i="43" s="1"/>
  <c r="AD11" i="43" s="1"/>
  <c r="R13" i="43"/>
  <c r="U13" i="43" s="1"/>
  <c r="AC13" i="43" s="1"/>
  <c r="X10" i="43"/>
  <c r="Z10" i="43" s="1"/>
  <c r="AA10" i="43" s="1"/>
  <c r="AD10" i="43" s="1"/>
  <c r="X12" i="43"/>
  <c r="Z12" i="43" s="1"/>
  <c r="AA12" i="43" s="1"/>
  <c r="AD12" i="43" s="1"/>
  <c r="X14" i="43"/>
  <c r="Z14" i="43" s="1"/>
  <c r="AA14" i="43" s="1"/>
  <c r="AD14" i="43" s="1"/>
  <c r="Q6" i="44"/>
  <c r="R6" i="44" s="1"/>
  <c r="U6" i="44" s="1"/>
  <c r="AC6" i="44" s="1"/>
  <c r="Q10" i="44"/>
  <c r="R10" i="44" s="1"/>
  <c r="U10" i="44" s="1"/>
  <c r="AC10" i="44" s="1"/>
  <c r="Q14" i="44"/>
  <c r="R14" i="44" s="1"/>
  <c r="U14" i="44" s="1"/>
  <c r="AC14" i="44" s="1"/>
  <c r="W6" i="44"/>
  <c r="X6" i="44" s="1"/>
  <c r="Z6" i="44" s="1"/>
  <c r="AA6" i="44" s="1"/>
  <c r="AD6" i="44" s="1"/>
  <c r="Q12" i="44"/>
  <c r="R12" i="44" s="1"/>
  <c r="U12" i="44" s="1"/>
  <c r="AC12" i="44" s="1"/>
  <c r="Q4" i="44"/>
  <c r="R4" i="44" s="1"/>
  <c r="T4" i="44" s="1"/>
  <c r="U4" i="44" s="1"/>
  <c r="AC4" i="44" s="1"/>
  <c r="Q8" i="44"/>
  <c r="R8" i="44" s="1"/>
  <c r="U8" i="44" s="1"/>
  <c r="AC8" i="44" s="1"/>
  <c r="X11" i="44"/>
  <c r="Z11" i="44" s="1"/>
  <c r="AA11" i="44" s="1"/>
  <c r="AD11" i="44" s="1"/>
  <c r="X7" i="44"/>
  <c r="Z7" i="44" s="1"/>
  <c r="AA7" i="44" s="1"/>
  <c r="AD7" i="44" s="1"/>
  <c r="Q11" i="44"/>
  <c r="R11" i="44" s="1"/>
  <c r="U11" i="44" s="1"/>
  <c r="AC11" i="44" s="1"/>
  <c r="Q7" i="44"/>
  <c r="R7" i="44" s="1"/>
  <c r="U7" i="44" s="1"/>
  <c r="AC7" i="44" s="1"/>
  <c r="W14" i="44"/>
  <c r="X14" i="44" s="1"/>
  <c r="Z14" i="44" s="1"/>
  <c r="AA14" i="44" s="1"/>
  <c r="AD14" i="44" s="1"/>
  <c r="W10" i="44"/>
  <c r="X10" i="44" s="1"/>
  <c r="Z10" i="44" s="1"/>
  <c r="AA10" i="44" s="1"/>
  <c r="AD10" i="44" s="1"/>
  <c r="Q7" i="42"/>
  <c r="R7" i="42" s="1"/>
  <c r="U7" i="42" s="1"/>
  <c r="AC7" i="42" s="1"/>
  <c r="Q11" i="42"/>
  <c r="R11" i="42" s="1"/>
  <c r="U11" i="42" s="1"/>
  <c r="AC11" i="42" s="1"/>
  <c r="X11" i="42"/>
  <c r="Z11" i="42" s="1"/>
  <c r="AA11" i="42" s="1"/>
  <c r="AD11" i="42" s="1"/>
  <c r="R13" i="42"/>
  <c r="U13" i="42" s="1"/>
  <c r="AC13" i="42" s="1"/>
  <c r="Q4" i="42"/>
  <c r="R4" i="42" s="1"/>
  <c r="T4" i="42" s="1"/>
  <c r="U4" i="42" s="1"/>
  <c r="AC4" i="42" s="1"/>
  <c r="Q6" i="42"/>
  <c r="R6" i="42" s="1"/>
  <c r="U6" i="42" s="1"/>
  <c r="AC6" i="42" s="1"/>
  <c r="Q8" i="42"/>
  <c r="R8" i="42" s="1"/>
  <c r="U8" i="42" s="1"/>
  <c r="AC8" i="42" s="1"/>
  <c r="W4" i="42"/>
  <c r="X4" i="42" s="1"/>
  <c r="Z4" i="42" s="1"/>
  <c r="AA4" i="42" s="1"/>
  <c r="AD4" i="42" s="1"/>
  <c r="Q10" i="42"/>
  <c r="R10" i="42" s="1"/>
  <c r="U10" i="42" s="1"/>
  <c r="AC10" i="42" s="1"/>
  <c r="W6" i="42"/>
  <c r="X6" i="42" s="1"/>
  <c r="Z6" i="42" s="1"/>
  <c r="AA6" i="42" s="1"/>
  <c r="AD6" i="42" s="1"/>
  <c r="W8" i="42"/>
  <c r="X8" i="42" s="1"/>
  <c r="Z8" i="42" s="1"/>
  <c r="AA8" i="42" s="1"/>
  <c r="AD8" i="42" s="1"/>
  <c r="Q14" i="42"/>
  <c r="R14" i="42" s="1"/>
  <c r="U14" i="42" s="1"/>
  <c r="AC14" i="42" s="1"/>
  <c r="W10" i="42"/>
  <c r="X10" i="42" s="1"/>
  <c r="Z10" i="42" s="1"/>
  <c r="AA10" i="42" s="1"/>
  <c r="AD10" i="42" s="1"/>
  <c r="W12" i="42"/>
  <c r="X12" i="42" s="1"/>
  <c r="Z12" i="42" s="1"/>
  <c r="AA12" i="42" s="1"/>
  <c r="AD12" i="42" s="1"/>
  <c r="W14" i="42"/>
  <c r="X14" i="42" s="1"/>
  <c r="Z14" i="42" s="1"/>
  <c r="AA14" i="42" s="1"/>
  <c r="AD14" i="42" s="1"/>
  <c r="Q12" i="42"/>
  <c r="R12" i="42" s="1"/>
  <c r="U12" i="42" s="1"/>
  <c r="AC12" i="42" s="1"/>
  <c r="Q6" i="41"/>
  <c r="R6" i="41" s="1"/>
  <c r="U6" i="41" s="1"/>
  <c r="AC6" i="41" s="1"/>
  <c r="Q10" i="41"/>
  <c r="R10" i="41" s="1"/>
  <c r="U10" i="41" s="1"/>
  <c r="AC10" i="41" s="1"/>
  <c r="Q14" i="41"/>
  <c r="R14" i="41" s="1"/>
  <c r="U14" i="41" s="1"/>
  <c r="AC14" i="41" s="1"/>
  <c r="X4" i="41"/>
  <c r="Z4" i="41" s="1"/>
  <c r="AA4" i="41" s="1"/>
  <c r="AD4" i="41" s="1"/>
  <c r="Q8" i="41"/>
  <c r="R8" i="41" s="1"/>
  <c r="U8" i="41" s="1"/>
  <c r="AC8" i="41" s="1"/>
  <c r="Q12" i="41"/>
  <c r="R12" i="41" s="1"/>
  <c r="U12" i="41" s="1"/>
  <c r="AC12" i="41" s="1"/>
  <c r="Q7" i="41"/>
  <c r="R7" i="41" s="1"/>
  <c r="U7" i="41" s="1"/>
  <c r="AC7" i="41" s="1"/>
  <c r="Q11" i="41"/>
  <c r="R11" i="41" s="1"/>
  <c r="U11" i="41" s="1"/>
  <c r="AC11" i="41" s="1"/>
  <c r="W7" i="41"/>
  <c r="X7" i="41" s="1"/>
  <c r="Z7" i="41" s="1"/>
  <c r="AA7" i="41" s="1"/>
  <c r="AD7" i="41" s="1"/>
  <c r="W11" i="41"/>
  <c r="X11" i="41" s="1"/>
  <c r="Z11" i="41" s="1"/>
  <c r="AA11" i="41" s="1"/>
  <c r="AD11" i="41" s="1"/>
  <c r="Q5" i="41"/>
  <c r="R5" i="41" s="1"/>
  <c r="U5" i="41" s="1"/>
  <c r="AC5" i="41" s="1"/>
  <c r="Q9" i="41"/>
  <c r="R9" i="41" s="1"/>
  <c r="U9" i="41" s="1"/>
  <c r="AC9" i="41" s="1"/>
  <c r="Q13" i="41"/>
  <c r="R13" i="41" s="1"/>
  <c r="U13" i="41" s="1"/>
  <c r="AC13" i="41" s="1"/>
  <c r="Q4" i="41"/>
  <c r="R4" i="41" s="1"/>
  <c r="T4" i="41" s="1"/>
  <c r="U4" i="41" s="1"/>
  <c r="AC4" i="41" s="1"/>
  <c r="W6" i="41"/>
  <c r="X6" i="41" s="1"/>
  <c r="Z6" i="41" s="1"/>
  <c r="AA6" i="41" s="1"/>
  <c r="AD6" i="41" s="1"/>
  <c r="W10" i="41"/>
  <c r="X10" i="41" s="1"/>
  <c r="Z10" i="41" s="1"/>
  <c r="AA10" i="41" s="1"/>
  <c r="AD10" i="41" s="1"/>
  <c r="W14" i="41"/>
  <c r="X14" i="41" s="1"/>
  <c r="Z14" i="41" s="1"/>
  <c r="AA14" i="41" s="1"/>
  <c r="AD14" i="41" s="1"/>
  <c r="Q5" i="40"/>
  <c r="R5" i="40" s="1"/>
  <c r="U5" i="40" s="1"/>
  <c r="AC5" i="40" s="1"/>
  <c r="Q7" i="40"/>
  <c r="R7" i="40" s="1"/>
  <c r="U7" i="40" s="1"/>
  <c r="AC7" i="40" s="1"/>
  <c r="Q9" i="40"/>
  <c r="R9" i="40" s="1"/>
  <c r="U9" i="40" s="1"/>
  <c r="AC9" i="40" s="1"/>
  <c r="Q11" i="40"/>
  <c r="R11" i="40" s="1"/>
  <c r="U11" i="40" s="1"/>
  <c r="AC11" i="40" s="1"/>
  <c r="Q13" i="40"/>
  <c r="R13" i="40" s="1"/>
  <c r="U13" i="40" s="1"/>
  <c r="AC13" i="40" s="1"/>
  <c r="W5" i="40"/>
  <c r="X5" i="40" s="1"/>
  <c r="Z5" i="40" s="1"/>
  <c r="AA5" i="40" s="1"/>
  <c r="AD5" i="40" s="1"/>
  <c r="W7" i="40"/>
  <c r="X7" i="40" s="1"/>
  <c r="Z7" i="40" s="1"/>
  <c r="AA7" i="40" s="1"/>
  <c r="AD7" i="40" s="1"/>
  <c r="W9" i="40"/>
  <c r="X9" i="40" s="1"/>
  <c r="Z9" i="40" s="1"/>
  <c r="AA9" i="40" s="1"/>
  <c r="AD9" i="40" s="1"/>
  <c r="W11" i="40"/>
  <c r="X11" i="40" s="1"/>
  <c r="Z11" i="40" s="1"/>
  <c r="AA11" i="40" s="1"/>
  <c r="AD11" i="40" s="1"/>
  <c r="W13" i="40"/>
  <c r="X13" i="40" s="1"/>
  <c r="Z13" i="40" s="1"/>
  <c r="AA13" i="40" s="1"/>
  <c r="AD13" i="40" s="1"/>
  <c r="Q4" i="40"/>
  <c r="R4" i="40" s="1"/>
  <c r="T4" i="40" s="1"/>
  <c r="U4" i="40" s="1"/>
  <c r="AC4" i="40" s="1"/>
  <c r="Q6" i="40"/>
  <c r="R6" i="40" s="1"/>
  <c r="U6" i="40" s="1"/>
  <c r="AC6" i="40" s="1"/>
  <c r="Q8" i="40"/>
  <c r="R8" i="40" s="1"/>
  <c r="U8" i="40" s="1"/>
  <c r="AC8" i="40" s="1"/>
  <c r="Q10" i="40"/>
  <c r="R10" i="40" s="1"/>
  <c r="U10" i="40" s="1"/>
  <c r="AC10" i="40" s="1"/>
  <c r="Q12" i="40"/>
  <c r="R12" i="40" s="1"/>
  <c r="U12" i="40" s="1"/>
  <c r="AC12" i="40" s="1"/>
  <c r="Q14" i="40"/>
  <c r="R14" i="40" s="1"/>
  <c r="U14" i="40" s="1"/>
  <c r="AC14" i="40" s="1"/>
  <c r="W4" i="40"/>
  <c r="X4" i="40" s="1"/>
  <c r="Z4" i="40" s="1"/>
  <c r="AA4" i="40" s="1"/>
  <c r="AD4" i="40" s="1"/>
  <c r="W6" i="40"/>
  <c r="X6" i="40" s="1"/>
  <c r="Z6" i="40" s="1"/>
  <c r="AA6" i="40" s="1"/>
  <c r="AD6" i="40" s="1"/>
  <c r="W8" i="40"/>
  <c r="X8" i="40" s="1"/>
  <c r="Z8" i="40" s="1"/>
  <c r="AA8" i="40" s="1"/>
  <c r="AD8" i="40" s="1"/>
  <c r="W10" i="40"/>
  <c r="X10" i="40" s="1"/>
  <c r="Z10" i="40" s="1"/>
  <c r="AA10" i="40" s="1"/>
  <c r="AD10" i="40" s="1"/>
  <c r="W12" i="40"/>
  <c r="X12" i="40" s="1"/>
  <c r="Z12" i="40" s="1"/>
  <c r="AA12" i="40" s="1"/>
  <c r="AD12" i="40" s="1"/>
  <c r="W14" i="40"/>
  <c r="X14" i="40" s="1"/>
  <c r="Z14" i="40" s="1"/>
  <c r="AA14" i="40" s="1"/>
  <c r="AD14" i="40" s="1"/>
  <c r="X11" i="39"/>
  <c r="Z11" i="39" s="1"/>
  <c r="AA11" i="39" s="1"/>
  <c r="AD11" i="39" s="1"/>
  <c r="W12" i="39"/>
  <c r="X12" i="39" s="1"/>
  <c r="Z12" i="39" s="1"/>
  <c r="AA12" i="39" s="1"/>
  <c r="AD12" i="39" s="1"/>
  <c r="W14" i="39"/>
  <c r="X14" i="39" s="1"/>
  <c r="Z14" i="39" s="1"/>
  <c r="AA14" i="39" s="1"/>
  <c r="AD14" i="39" s="1"/>
  <c r="Q7" i="39"/>
  <c r="R7" i="39" s="1"/>
  <c r="U7" i="39" s="1"/>
  <c r="AC7" i="39" s="1"/>
  <c r="Q11" i="39"/>
  <c r="R11" i="39" s="1"/>
  <c r="U11" i="39" s="1"/>
  <c r="AC11" i="39" s="1"/>
  <c r="R13" i="39"/>
  <c r="U13" i="39" s="1"/>
  <c r="AC13" i="39" s="1"/>
  <c r="X13" i="39"/>
  <c r="Z13" i="39" s="1"/>
  <c r="AA13" i="39" s="1"/>
  <c r="AD13" i="39" s="1"/>
  <c r="Q4" i="39"/>
  <c r="R4" i="39" s="1"/>
  <c r="T4" i="39" s="1"/>
  <c r="U4" i="39" s="1"/>
  <c r="AC4" i="39" s="1"/>
  <c r="Q6" i="39"/>
  <c r="R6" i="39" s="1"/>
  <c r="U6" i="39" s="1"/>
  <c r="AC6" i="39" s="1"/>
  <c r="Q8" i="39"/>
  <c r="R8" i="39" s="1"/>
  <c r="U8" i="39" s="1"/>
  <c r="AC8" i="39" s="1"/>
  <c r="W4" i="39"/>
  <c r="X4" i="39" s="1"/>
  <c r="Z4" i="39" s="1"/>
  <c r="AA4" i="39" s="1"/>
  <c r="AD4" i="39" s="1"/>
  <c r="Q10" i="39"/>
  <c r="R10" i="39" s="1"/>
  <c r="U10" i="39" s="1"/>
  <c r="AC10" i="39" s="1"/>
  <c r="Q12" i="39"/>
  <c r="R12" i="39" s="1"/>
  <c r="U12" i="39" s="1"/>
  <c r="AC12" i="39" s="1"/>
  <c r="W6" i="39"/>
  <c r="X6" i="39" s="1"/>
  <c r="Z6" i="39" s="1"/>
  <c r="AA6" i="39" s="1"/>
  <c r="AD6" i="39" s="1"/>
  <c r="W8" i="39"/>
  <c r="X8" i="39" s="1"/>
  <c r="Z8" i="39" s="1"/>
  <c r="AA8" i="39" s="1"/>
  <c r="AD8" i="39" s="1"/>
  <c r="Q14" i="39"/>
  <c r="R14" i="39" s="1"/>
  <c r="U14" i="39" s="1"/>
  <c r="AC14" i="39" s="1"/>
  <c r="W10" i="39"/>
  <c r="X10" i="39" s="1"/>
  <c r="Z10" i="39" s="1"/>
  <c r="AA10" i="39" s="1"/>
  <c r="AD10" i="39" s="1"/>
  <c r="Q11" i="38"/>
  <c r="R11" i="38" s="1"/>
  <c r="U11" i="38" s="1"/>
  <c r="AC11" i="38" s="1"/>
  <c r="Q4" i="38"/>
  <c r="R4" i="38" s="1"/>
  <c r="T4" i="38" s="1"/>
  <c r="U4" i="38" s="1"/>
  <c r="AC4" i="38" s="1"/>
  <c r="Q6" i="38"/>
  <c r="R6" i="38" s="1"/>
  <c r="U6" i="38" s="1"/>
  <c r="AC6" i="38" s="1"/>
  <c r="Q8" i="38"/>
  <c r="R8" i="38" s="1"/>
  <c r="U8" i="38" s="1"/>
  <c r="AC8" i="38" s="1"/>
  <c r="Q10" i="38"/>
  <c r="R10" i="38" s="1"/>
  <c r="U10" i="38" s="1"/>
  <c r="AC10" i="38" s="1"/>
  <c r="Q12" i="38"/>
  <c r="R12" i="38" s="1"/>
  <c r="U12" i="38" s="1"/>
  <c r="AC12" i="38" s="1"/>
  <c r="Q14" i="38"/>
  <c r="R14" i="38" s="1"/>
  <c r="U14" i="38" s="1"/>
  <c r="AC14" i="38" s="1"/>
  <c r="Q5" i="38"/>
  <c r="R5" i="38" s="1"/>
  <c r="U5" i="38" s="1"/>
  <c r="AC5" i="38" s="1"/>
  <c r="Q7" i="38"/>
  <c r="R7" i="38" s="1"/>
  <c r="U7" i="38" s="1"/>
  <c r="AC7" i="38" s="1"/>
  <c r="Q9" i="38"/>
  <c r="R9" i="38" s="1"/>
  <c r="U9" i="38" s="1"/>
  <c r="AC9" i="38" s="1"/>
  <c r="Q13" i="38"/>
  <c r="R13" i="38" s="1"/>
  <c r="U13" i="38" s="1"/>
  <c r="AC13" i="38" s="1"/>
  <c r="W5" i="38"/>
  <c r="X5" i="38" s="1"/>
  <c r="Z5" i="38" s="1"/>
  <c r="AA5" i="38" s="1"/>
  <c r="AD5" i="38" s="1"/>
  <c r="W7" i="38"/>
  <c r="X7" i="38" s="1"/>
  <c r="Z7" i="38" s="1"/>
  <c r="AA7" i="38" s="1"/>
  <c r="AD7" i="38" s="1"/>
  <c r="W9" i="38"/>
  <c r="X9" i="38" s="1"/>
  <c r="Z9" i="38" s="1"/>
  <c r="AA9" i="38" s="1"/>
  <c r="AD9" i="38" s="1"/>
  <c r="W11" i="38"/>
  <c r="X11" i="38" s="1"/>
  <c r="Z11" i="38" s="1"/>
  <c r="AA11" i="38" s="1"/>
  <c r="AD11" i="38" s="1"/>
  <c r="W13" i="38"/>
  <c r="X13" i="38" s="1"/>
  <c r="Z13" i="38" s="1"/>
  <c r="AA13" i="38" s="1"/>
  <c r="AD13" i="38" s="1"/>
  <c r="W4" i="38"/>
  <c r="X4" i="38" s="1"/>
  <c r="Z4" i="38" s="1"/>
  <c r="AA4" i="38" s="1"/>
  <c r="AD4" i="38" s="1"/>
  <c r="W6" i="38"/>
  <c r="X6" i="38" s="1"/>
  <c r="Z6" i="38" s="1"/>
  <c r="AA6" i="38" s="1"/>
  <c r="AD6" i="38" s="1"/>
  <c r="W8" i="38"/>
  <c r="X8" i="38" s="1"/>
  <c r="Z8" i="38" s="1"/>
  <c r="AA8" i="38" s="1"/>
  <c r="AD8" i="38" s="1"/>
  <c r="W10" i="38"/>
  <c r="X10" i="38" s="1"/>
  <c r="Z10" i="38" s="1"/>
  <c r="AA10" i="38" s="1"/>
  <c r="AD10" i="38" s="1"/>
  <c r="W12" i="38"/>
  <c r="X12" i="38" s="1"/>
  <c r="Z12" i="38" s="1"/>
  <c r="AA12" i="38" s="1"/>
  <c r="AD12" i="38" s="1"/>
  <c r="W14" i="38"/>
  <c r="X14" i="38" s="1"/>
  <c r="Z14" i="38" s="1"/>
  <c r="AA14" i="38" s="1"/>
  <c r="AD14" i="38" s="1"/>
  <c r="W14" i="37"/>
  <c r="Q14" i="37"/>
  <c r="Q13" i="34"/>
  <c r="R13" i="34" s="1"/>
  <c r="U13" i="34" s="1"/>
  <c r="AC13" i="34" s="1"/>
  <c r="W6" i="34"/>
  <c r="X6" i="34" s="1"/>
  <c r="Z6" i="34" s="1"/>
  <c r="AA6" i="34" s="1"/>
  <c r="AD6" i="34" s="1"/>
  <c r="Q8" i="34"/>
  <c r="R8" i="34" s="1"/>
  <c r="U8" i="34" s="1"/>
  <c r="AC8" i="34" s="1"/>
  <c r="W13" i="34"/>
  <c r="X13" i="34" s="1"/>
  <c r="Z13" i="34" s="1"/>
  <c r="AA13" i="34" s="1"/>
  <c r="AD13" i="34" s="1"/>
  <c r="Q10" i="34"/>
  <c r="R10" i="34" s="1"/>
  <c r="U10" i="34" s="1"/>
  <c r="AC10" i="34" s="1"/>
  <c r="Q5" i="34"/>
  <c r="R5" i="34" s="1"/>
  <c r="U5" i="34" s="1"/>
  <c r="AC5" i="34" s="1"/>
  <c r="W10" i="34"/>
  <c r="X10" i="34" s="1"/>
  <c r="Z10" i="34" s="1"/>
  <c r="AA10" i="34" s="1"/>
  <c r="AD10" i="34" s="1"/>
  <c r="Q12" i="34"/>
  <c r="R12" i="34" s="1"/>
  <c r="U12" i="34" s="1"/>
  <c r="AC12" i="34" s="1"/>
  <c r="Q7" i="34"/>
  <c r="R7" i="34" s="1"/>
  <c r="U7" i="34" s="1"/>
  <c r="AC7" i="34" s="1"/>
  <c r="W5" i="34"/>
  <c r="X5" i="34" s="1"/>
  <c r="Z5" i="34" s="1"/>
  <c r="AA5" i="34" s="1"/>
  <c r="AD5" i="34" s="1"/>
  <c r="Q14" i="34"/>
  <c r="R14" i="34" s="1"/>
  <c r="U14" i="34" s="1"/>
  <c r="AC14" i="34" s="1"/>
  <c r="Q6" i="34"/>
  <c r="R6" i="34" s="1"/>
  <c r="U6" i="34" s="1"/>
  <c r="AC6" i="34" s="1"/>
  <c r="X7" i="34"/>
  <c r="Z7" i="34" s="1"/>
  <c r="AA7" i="34" s="1"/>
  <c r="AD7" i="34" s="1"/>
  <c r="Q4" i="34"/>
  <c r="R4" i="34" s="1"/>
  <c r="T4" i="34" s="1"/>
  <c r="U4" i="34" s="1"/>
  <c r="AC4" i="34" s="1"/>
  <c r="Q9" i="34"/>
  <c r="R9" i="34" s="1"/>
  <c r="U9" i="34" s="1"/>
  <c r="AC9" i="34" s="1"/>
  <c r="X14" i="34"/>
  <c r="Z14" i="34" s="1"/>
  <c r="AA14" i="34" s="1"/>
  <c r="AD14" i="34" s="1"/>
  <c r="Q11" i="34"/>
  <c r="R11" i="34" s="1"/>
  <c r="U11" i="34" s="1"/>
  <c r="AC11" i="34" s="1"/>
  <c r="Q6" i="33"/>
  <c r="R6" i="33" s="1"/>
  <c r="U6" i="33" s="1"/>
  <c r="AC6" i="33" s="1"/>
  <c r="Q10" i="33"/>
  <c r="R10" i="33" s="1"/>
  <c r="U10" i="33" s="1"/>
  <c r="AC10" i="33" s="1"/>
  <c r="Q14" i="33"/>
  <c r="R14" i="33" s="1"/>
  <c r="U14" i="33" s="1"/>
  <c r="AC14" i="33" s="1"/>
  <c r="X4" i="33"/>
  <c r="Z4" i="33" s="1"/>
  <c r="AA4" i="33" s="1"/>
  <c r="AD4" i="33" s="1"/>
  <c r="Q8" i="33"/>
  <c r="R8" i="33" s="1"/>
  <c r="U8" i="33" s="1"/>
  <c r="AC8" i="33" s="1"/>
  <c r="Q12" i="33"/>
  <c r="R12" i="33" s="1"/>
  <c r="U12" i="33" s="1"/>
  <c r="AC12" i="33" s="1"/>
  <c r="Q7" i="33"/>
  <c r="R7" i="33" s="1"/>
  <c r="U7" i="33" s="1"/>
  <c r="AC7" i="33" s="1"/>
  <c r="Q11" i="33"/>
  <c r="R11" i="33" s="1"/>
  <c r="U11" i="33" s="1"/>
  <c r="AC11" i="33" s="1"/>
  <c r="W7" i="33"/>
  <c r="X7" i="33" s="1"/>
  <c r="Z7" i="33" s="1"/>
  <c r="AA7" i="33" s="1"/>
  <c r="AD7" i="33" s="1"/>
  <c r="W11" i="33"/>
  <c r="X11" i="33" s="1"/>
  <c r="Z11" i="33" s="1"/>
  <c r="AA11" i="33" s="1"/>
  <c r="AD11" i="33" s="1"/>
  <c r="Q5" i="33"/>
  <c r="R5" i="33" s="1"/>
  <c r="U5" i="33" s="1"/>
  <c r="AC5" i="33" s="1"/>
  <c r="Q9" i="33"/>
  <c r="R9" i="33" s="1"/>
  <c r="U9" i="33" s="1"/>
  <c r="AC9" i="33" s="1"/>
  <c r="Q13" i="33"/>
  <c r="R13" i="33" s="1"/>
  <c r="U13" i="33" s="1"/>
  <c r="AC13" i="33" s="1"/>
  <c r="Q4" i="33"/>
  <c r="R4" i="33" s="1"/>
  <c r="T4" i="33" s="1"/>
  <c r="U4" i="33" s="1"/>
  <c r="AC4" i="33" s="1"/>
  <c r="W6" i="33"/>
  <c r="X6" i="33" s="1"/>
  <c r="Z6" i="33" s="1"/>
  <c r="AA6" i="33" s="1"/>
  <c r="AD6" i="33" s="1"/>
  <c r="W10" i="33"/>
  <c r="X10" i="33" s="1"/>
  <c r="Z10" i="33" s="1"/>
  <c r="AA10" i="33" s="1"/>
  <c r="AD10" i="33" s="1"/>
  <c r="W14" i="33"/>
  <c r="X14" i="33" s="1"/>
  <c r="Z14" i="33" s="1"/>
  <c r="AA14" i="33" s="1"/>
  <c r="AD14" i="33" s="1"/>
  <c r="X11" i="32"/>
  <c r="Z11" i="32" s="1"/>
  <c r="AA11" i="32" s="1"/>
  <c r="AD11" i="32" s="1"/>
  <c r="Q8" i="32"/>
  <c r="R8" i="32" s="1"/>
  <c r="U8" i="32" s="1"/>
  <c r="AC8" i="32" s="1"/>
  <c r="W9" i="32"/>
  <c r="X9" i="32" s="1"/>
  <c r="Z9" i="32" s="1"/>
  <c r="AA9" i="32" s="1"/>
  <c r="AD9" i="32" s="1"/>
  <c r="Q12" i="32"/>
  <c r="R12" i="32" s="1"/>
  <c r="U12" i="32" s="1"/>
  <c r="AC12" i="32" s="1"/>
  <c r="W13" i="32"/>
  <c r="X13" i="32" s="1"/>
  <c r="Z13" i="32" s="1"/>
  <c r="AA13" i="32" s="1"/>
  <c r="AD13" i="32" s="1"/>
  <c r="Q7" i="32"/>
  <c r="R7" i="32" s="1"/>
  <c r="U7" i="32" s="1"/>
  <c r="AC7" i="32" s="1"/>
  <c r="Q6" i="32"/>
  <c r="R6" i="32" s="1"/>
  <c r="U6" i="32" s="1"/>
  <c r="AC6" i="32" s="1"/>
  <c r="Q11" i="32"/>
  <c r="R11" i="32" s="1"/>
  <c r="U11" i="32" s="1"/>
  <c r="AC11" i="32" s="1"/>
  <c r="W6" i="32"/>
  <c r="X6" i="32" s="1"/>
  <c r="Z6" i="32" s="1"/>
  <c r="AA6" i="32" s="1"/>
  <c r="AD6" i="32" s="1"/>
  <c r="Q10" i="32"/>
  <c r="R10" i="32" s="1"/>
  <c r="U10" i="32" s="1"/>
  <c r="AC10" i="32" s="1"/>
  <c r="Q14" i="32"/>
  <c r="R14" i="32" s="1"/>
  <c r="U14" i="32" s="1"/>
  <c r="AC14" i="32" s="1"/>
  <c r="W14" i="32"/>
  <c r="X14" i="32" s="1"/>
  <c r="Z14" i="32" s="1"/>
  <c r="AA14" i="32" s="1"/>
  <c r="AD14" i="32" s="1"/>
  <c r="W10" i="32"/>
  <c r="X10" i="32" s="1"/>
  <c r="Z10" i="32" s="1"/>
  <c r="AA10" i="32" s="1"/>
  <c r="AD10" i="32" s="1"/>
  <c r="X11" i="31"/>
  <c r="Z11" i="31" s="1"/>
  <c r="AA11" i="31" s="1"/>
  <c r="AD11" i="31" s="1"/>
  <c r="W10" i="31"/>
  <c r="X10" i="31" s="1"/>
  <c r="Z10" i="31" s="1"/>
  <c r="AA10" i="31" s="1"/>
  <c r="AD10" i="31" s="1"/>
  <c r="Q12" i="31"/>
  <c r="R12" i="31" s="1"/>
  <c r="U12" i="31" s="1"/>
  <c r="AC12" i="31" s="1"/>
  <c r="Q7" i="31"/>
  <c r="R7" i="31" s="1"/>
  <c r="U7" i="31" s="1"/>
  <c r="AC7" i="31" s="1"/>
  <c r="Q6" i="31"/>
  <c r="R6" i="31" s="1"/>
  <c r="U6" i="31" s="1"/>
  <c r="AC6" i="31" s="1"/>
  <c r="Q11" i="31"/>
  <c r="R11" i="31" s="1"/>
  <c r="U11" i="31" s="1"/>
  <c r="AC11" i="31" s="1"/>
  <c r="W6" i="31"/>
  <c r="X6" i="31" s="1"/>
  <c r="Z6" i="31" s="1"/>
  <c r="AA6" i="31" s="1"/>
  <c r="AD6" i="31" s="1"/>
  <c r="Q10" i="31"/>
  <c r="R10" i="31" s="1"/>
  <c r="U10" i="31" s="1"/>
  <c r="AC10" i="31" s="1"/>
  <c r="Q14" i="31"/>
  <c r="R14" i="31" s="1"/>
  <c r="U14" i="31" s="1"/>
  <c r="AC14" i="31" s="1"/>
  <c r="W14" i="31"/>
  <c r="X14" i="31" s="1"/>
  <c r="Z14" i="31" s="1"/>
  <c r="AA14" i="31" s="1"/>
  <c r="AD14" i="31" s="1"/>
  <c r="R4" i="31"/>
  <c r="T4" i="31" s="1"/>
  <c r="U4" i="31" s="1"/>
  <c r="AC4" i="31" s="1"/>
  <c r="W5" i="31"/>
  <c r="X5" i="31" s="1"/>
  <c r="Z5" i="31" s="1"/>
  <c r="AA5" i="31" s="1"/>
  <c r="AD5" i="31" s="1"/>
  <c r="Q6" i="30"/>
  <c r="R6" i="30" s="1"/>
  <c r="U6" i="30" s="1"/>
  <c r="AC6" i="30" s="1"/>
  <c r="Q10" i="30"/>
  <c r="R10" i="30" s="1"/>
  <c r="U10" i="30" s="1"/>
  <c r="AC10" i="30" s="1"/>
  <c r="Q14" i="30"/>
  <c r="R14" i="30" s="1"/>
  <c r="U14" i="30" s="1"/>
  <c r="AC14" i="30" s="1"/>
  <c r="X4" i="30"/>
  <c r="Z4" i="30" s="1"/>
  <c r="AA4" i="30" s="1"/>
  <c r="AD4" i="30" s="1"/>
  <c r="Q8" i="30"/>
  <c r="R8" i="30" s="1"/>
  <c r="U8" i="30" s="1"/>
  <c r="AC8" i="30" s="1"/>
  <c r="Q12" i="30"/>
  <c r="R12" i="30" s="1"/>
  <c r="U12" i="30" s="1"/>
  <c r="AC12" i="30" s="1"/>
  <c r="Q7" i="30"/>
  <c r="R7" i="30" s="1"/>
  <c r="U7" i="30" s="1"/>
  <c r="AC7" i="30" s="1"/>
  <c r="Q11" i="30"/>
  <c r="R11" i="30" s="1"/>
  <c r="U11" i="30" s="1"/>
  <c r="AC11" i="30" s="1"/>
  <c r="W7" i="30"/>
  <c r="X7" i="30" s="1"/>
  <c r="Z7" i="30" s="1"/>
  <c r="AA7" i="30" s="1"/>
  <c r="AD7" i="30" s="1"/>
  <c r="W11" i="30"/>
  <c r="X11" i="30" s="1"/>
  <c r="Z11" i="30" s="1"/>
  <c r="AA11" i="30" s="1"/>
  <c r="AD11" i="30" s="1"/>
  <c r="Q5" i="30"/>
  <c r="R5" i="30" s="1"/>
  <c r="U5" i="30" s="1"/>
  <c r="AC5" i="30" s="1"/>
  <c r="Q9" i="30"/>
  <c r="R9" i="30" s="1"/>
  <c r="U9" i="30" s="1"/>
  <c r="AC9" i="30" s="1"/>
  <c r="Q13" i="30"/>
  <c r="R13" i="30" s="1"/>
  <c r="U13" i="30" s="1"/>
  <c r="AC13" i="30" s="1"/>
  <c r="Q4" i="30"/>
  <c r="R4" i="30" s="1"/>
  <c r="T4" i="30" s="1"/>
  <c r="U4" i="30" s="1"/>
  <c r="AC4" i="30" s="1"/>
  <c r="W6" i="30"/>
  <c r="X6" i="30" s="1"/>
  <c r="Z6" i="30" s="1"/>
  <c r="AA6" i="30" s="1"/>
  <c r="AD6" i="30" s="1"/>
  <c r="W10" i="30"/>
  <c r="X10" i="30" s="1"/>
  <c r="Z10" i="30" s="1"/>
  <c r="AA10" i="30" s="1"/>
  <c r="AD10" i="30" s="1"/>
  <c r="W14" i="30"/>
  <c r="X14" i="30" s="1"/>
  <c r="Z14" i="30" s="1"/>
  <c r="AA14" i="30" s="1"/>
  <c r="AD14" i="30" s="1"/>
  <c r="Q6" i="29"/>
  <c r="R6" i="29" s="1"/>
  <c r="U6" i="29" s="1"/>
  <c r="AC6" i="29" s="1"/>
  <c r="Q10" i="29"/>
  <c r="R10" i="29" s="1"/>
  <c r="U10" i="29" s="1"/>
  <c r="AC10" i="29" s="1"/>
  <c r="Q14" i="29"/>
  <c r="R14" i="29" s="1"/>
  <c r="U14" i="29" s="1"/>
  <c r="AC14" i="29" s="1"/>
  <c r="Q8" i="29"/>
  <c r="R8" i="29" s="1"/>
  <c r="U8" i="29" s="1"/>
  <c r="AC8" i="29" s="1"/>
  <c r="Q12" i="29"/>
  <c r="R12" i="29" s="1"/>
  <c r="U12" i="29" s="1"/>
  <c r="AC12" i="29" s="1"/>
  <c r="Q7" i="29"/>
  <c r="R7" i="29" s="1"/>
  <c r="U7" i="29" s="1"/>
  <c r="AC7" i="29" s="1"/>
  <c r="Q11" i="29"/>
  <c r="R11" i="29" s="1"/>
  <c r="U11" i="29" s="1"/>
  <c r="AC11" i="29" s="1"/>
  <c r="W7" i="29"/>
  <c r="X7" i="29" s="1"/>
  <c r="Z7" i="29" s="1"/>
  <c r="AA7" i="29" s="1"/>
  <c r="AD7" i="29" s="1"/>
  <c r="W11" i="29"/>
  <c r="X11" i="29" s="1"/>
  <c r="Z11" i="29" s="1"/>
  <c r="AA11" i="29" s="1"/>
  <c r="AD11" i="29" s="1"/>
  <c r="Q5" i="29"/>
  <c r="R5" i="29" s="1"/>
  <c r="U5" i="29" s="1"/>
  <c r="AC5" i="29" s="1"/>
  <c r="Q9" i="29"/>
  <c r="R9" i="29" s="1"/>
  <c r="U9" i="29" s="1"/>
  <c r="AC9" i="29" s="1"/>
  <c r="Q13" i="29"/>
  <c r="R13" i="29" s="1"/>
  <c r="U13" i="29" s="1"/>
  <c r="AC13" i="29" s="1"/>
  <c r="Q4" i="29"/>
  <c r="R4" i="29" s="1"/>
  <c r="T4" i="29" s="1"/>
  <c r="U4" i="29" s="1"/>
  <c r="AC4" i="29" s="1"/>
  <c r="W6" i="29"/>
  <c r="X6" i="29" s="1"/>
  <c r="Z6" i="29" s="1"/>
  <c r="AA6" i="29" s="1"/>
  <c r="AD6" i="29" s="1"/>
  <c r="W10" i="29"/>
  <c r="X10" i="29" s="1"/>
  <c r="Z10" i="29" s="1"/>
  <c r="AA10" i="29" s="1"/>
  <c r="AD10" i="29" s="1"/>
  <c r="W14" i="29"/>
  <c r="X14" i="29" s="1"/>
  <c r="Z14" i="29" s="1"/>
  <c r="AA14" i="29" s="1"/>
  <c r="AD14" i="29" s="1"/>
  <c r="X11" i="28"/>
  <c r="Z11" i="28" s="1"/>
  <c r="AA11" i="28" s="1"/>
  <c r="AD11" i="28" s="1"/>
  <c r="Q12" i="28"/>
  <c r="R12" i="28" s="1"/>
  <c r="U12" i="28" s="1"/>
  <c r="AC12" i="28" s="1"/>
  <c r="Q7" i="28"/>
  <c r="R7" i="28" s="1"/>
  <c r="U7" i="28" s="1"/>
  <c r="AC7" i="28" s="1"/>
  <c r="Q6" i="28"/>
  <c r="R6" i="28" s="1"/>
  <c r="U6" i="28" s="1"/>
  <c r="AC6" i="28" s="1"/>
  <c r="Q11" i="28"/>
  <c r="R11" i="28" s="1"/>
  <c r="U11" i="28" s="1"/>
  <c r="AC11" i="28" s="1"/>
  <c r="W6" i="28"/>
  <c r="X6" i="28" s="1"/>
  <c r="Z6" i="28" s="1"/>
  <c r="AA6" i="28" s="1"/>
  <c r="AD6" i="28" s="1"/>
  <c r="Q10" i="28"/>
  <c r="R10" i="28" s="1"/>
  <c r="U10" i="28" s="1"/>
  <c r="AC10" i="28" s="1"/>
  <c r="Q14" i="28"/>
  <c r="R14" i="28" s="1"/>
  <c r="U14" i="28" s="1"/>
  <c r="AC14" i="28" s="1"/>
  <c r="W14" i="28"/>
  <c r="X14" i="28" s="1"/>
  <c r="Z14" i="28" s="1"/>
  <c r="AA14" i="28" s="1"/>
  <c r="AD14" i="28" s="1"/>
  <c r="W10" i="28"/>
  <c r="X10" i="28" s="1"/>
  <c r="Z10" i="28" s="1"/>
  <c r="AA10" i="28" s="1"/>
  <c r="AD10" i="28" s="1"/>
  <c r="Q4" i="28"/>
  <c r="R4" i="28" s="1"/>
  <c r="T4" i="28" s="1"/>
  <c r="U4" i="28" s="1"/>
  <c r="AC4" i="28" s="1"/>
  <c r="W5" i="28"/>
  <c r="X5" i="28" s="1"/>
  <c r="Z5" i="28" s="1"/>
  <c r="AA5" i="28" s="1"/>
  <c r="AD5" i="28" s="1"/>
  <c r="R13" i="27"/>
  <c r="U13" i="27" s="1"/>
  <c r="AC13" i="27" s="1"/>
  <c r="W5" i="27"/>
  <c r="X5" i="27" s="1"/>
  <c r="AA5" i="27" s="1"/>
  <c r="AD5" i="27" s="1"/>
  <c r="W7" i="27"/>
  <c r="X7" i="27" s="1"/>
  <c r="AA7" i="27" s="1"/>
  <c r="AD7" i="27" s="1"/>
  <c r="W13" i="27"/>
  <c r="X13" i="27" s="1"/>
  <c r="AA13" i="27" s="1"/>
  <c r="AD13" i="27" s="1"/>
  <c r="Q6" i="27"/>
  <c r="R6" i="27" s="1"/>
  <c r="U6" i="27" s="1"/>
  <c r="AC6" i="27" s="1"/>
  <c r="W4" i="27"/>
  <c r="X4" i="27" s="1"/>
  <c r="Z4" i="27" s="1"/>
  <c r="AA4" i="27" s="1"/>
  <c r="AD4" i="27" s="1"/>
  <c r="W6" i="27"/>
  <c r="X6" i="27" s="1"/>
  <c r="AA6" i="27" s="1"/>
  <c r="AD6" i="27" s="1"/>
  <c r="W8" i="27"/>
  <c r="X8" i="27" s="1"/>
  <c r="AA8" i="27" s="1"/>
  <c r="AD8" i="27" s="1"/>
  <c r="Q14" i="27"/>
  <c r="R14" i="27" s="1"/>
  <c r="U14" i="27" s="1"/>
  <c r="AC14" i="27" s="1"/>
  <c r="W10" i="27"/>
  <c r="X10" i="27" s="1"/>
  <c r="AA10" i="27" s="1"/>
  <c r="AD10" i="27" s="1"/>
  <c r="W12" i="27"/>
  <c r="X12" i="27" s="1"/>
  <c r="AA12" i="27" s="1"/>
  <c r="AD12" i="27" s="1"/>
  <c r="Q7" i="27"/>
  <c r="R7" i="27" s="1"/>
  <c r="U7" i="27" s="1"/>
  <c r="AC7" i="27" s="1"/>
  <c r="Q11" i="27"/>
  <c r="R11" i="27" s="1"/>
  <c r="U11" i="27" s="1"/>
  <c r="AC11" i="27" s="1"/>
  <c r="W11" i="27"/>
  <c r="X11" i="27" s="1"/>
  <c r="AA11" i="27" s="1"/>
  <c r="AD11" i="27" s="1"/>
  <c r="Q10" i="27"/>
  <c r="R10" i="27" s="1"/>
  <c r="U10" i="27" s="1"/>
  <c r="AC10" i="27" s="1"/>
  <c r="W14" i="27"/>
  <c r="X14" i="27" s="1"/>
  <c r="AA14" i="27" s="1"/>
  <c r="AD14" i="27" s="1"/>
  <c r="W9" i="27"/>
  <c r="X9" i="27" s="1"/>
  <c r="AA9" i="27" s="1"/>
  <c r="AD9" i="27" s="1"/>
  <c r="Q4" i="27"/>
  <c r="R4" i="27" s="1"/>
  <c r="T4" i="27" s="1"/>
  <c r="U4" i="27" s="1"/>
  <c r="AC4" i="27" s="1"/>
  <c r="Q8" i="27"/>
  <c r="R8" i="27" s="1"/>
  <c r="U8" i="27" s="1"/>
  <c r="AC8" i="27" s="1"/>
  <c r="Q12" i="27"/>
  <c r="R12" i="27" s="1"/>
  <c r="U12" i="27" s="1"/>
  <c r="AC12" i="27" s="1"/>
  <c r="Q10" i="26"/>
  <c r="R10" i="26" s="1"/>
  <c r="U10" i="26" s="1"/>
  <c r="AC10" i="26" s="1"/>
  <c r="Q14" i="26"/>
  <c r="R14" i="26" s="1"/>
  <c r="U14" i="26" s="1"/>
  <c r="AC14" i="26" s="1"/>
  <c r="Q9" i="26"/>
  <c r="R9" i="26" s="1"/>
  <c r="U9" i="26" s="1"/>
  <c r="AC9" i="26" s="1"/>
  <c r="W10" i="26"/>
  <c r="X10" i="26" s="1"/>
  <c r="Z10" i="26" s="1"/>
  <c r="AA10" i="26" s="1"/>
  <c r="AD10" i="26" s="1"/>
  <c r="Q5" i="26"/>
  <c r="R5" i="26" s="1"/>
  <c r="U5" i="26" s="1"/>
  <c r="AC5" i="26" s="1"/>
  <c r="W6" i="26"/>
  <c r="X6" i="26" s="1"/>
  <c r="Z6" i="26" s="1"/>
  <c r="AA6" i="26" s="1"/>
  <c r="AD6" i="26" s="1"/>
  <c r="Q12" i="26"/>
  <c r="R12" i="26" s="1"/>
  <c r="U12" i="26" s="1"/>
  <c r="AC12" i="26" s="1"/>
  <c r="Q7" i="26"/>
  <c r="R7" i="26" s="1"/>
  <c r="U7" i="26" s="1"/>
  <c r="AC7" i="26" s="1"/>
  <c r="W7" i="26"/>
  <c r="X7" i="26" s="1"/>
  <c r="Z7" i="26" s="1"/>
  <c r="AA7" i="26" s="1"/>
  <c r="AD7" i="26" s="1"/>
  <c r="W14" i="26"/>
  <c r="X14" i="26" s="1"/>
  <c r="Z14" i="26" s="1"/>
  <c r="AA14" i="26" s="1"/>
  <c r="AD14" i="26" s="1"/>
  <c r="Q8" i="26"/>
  <c r="R8" i="26" s="1"/>
  <c r="U8" i="26" s="1"/>
  <c r="AC8" i="26" s="1"/>
  <c r="W9" i="26"/>
  <c r="X9" i="26" s="1"/>
  <c r="Z9" i="26" s="1"/>
  <c r="AA9" i="26" s="1"/>
  <c r="AD9" i="26" s="1"/>
  <c r="Q4" i="26"/>
  <c r="R4" i="26" s="1"/>
  <c r="T4" i="26" s="1"/>
  <c r="U4" i="26" s="1"/>
  <c r="AC4" i="26" s="1"/>
  <c r="W5" i="26"/>
  <c r="X5" i="26" s="1"/>
  <c r="Z5" i="26" s="1"/>
  <c r="AA5" i="26" s="1"/>
  <c r="AD5" i="26" s="1"/>
  <c r="Q11" i="26"/>
  <c r="R11" i="26" s="1"/>
  <c r="U11" i="26" s="1"/>
  <c r="AC11" i="26" s="1"/>
  <c r="W11" i="26"/>
  <c r="X11" i="26" s="1"/>
  <c r="Z11" i="26" s="1"/>
  <c r="AA11" i="26" s="1"/>
  <c r="AD11" i="26" s="1"/>
  <c r="Q13" i="26"/>
  <c r="R13" i="26" s="1"/>
  <c r="U13" i="26" s="1"/>
  <c r="AC13" i="26" s="1"/>
  <c r="Q9" i="25"/>
  <c r="R9" i="25" s="1"/>
  <c r="U9" i="25" s="1"/>
  <c r="AC9" i="25" s="1"/>
  <c r="W9" i="25"/>
  <c r="X9" i="25" s="1"/>
  <c r="Z9" i="25" s="1"/>
  <c r="AA9" i="25" s="1"/>
  <c r="AD9" i="25" s="1"/>
  <c r="Q13" i="25"/>
  <c r="R13" i="25" s="1"/>
  <c r="U13" i="25" s="1"/>
  <c r="AC13" i="25" s="1"/>
  <c r="Q4" i="25"/>
  <c r="R4" i="25" s="1"/>
  <c r="T4" i="25" s="1"/>
  <c r="U4" i="25" s="1"/>
  <c r="AC4" i="25" s="1"/>
  <c r="Q6" i="25"/>
  <c r="R6" i="25" s="1"/>
  <c r="U6" i="25" s="1"/>
  <c r="AC6" i="25" s="1"/>
  <c r="W4" i="25"/>
  <c r="X4" i="25" s="1"/>
  <c r="Z4" i="25" s="1"/>
  <c r="AA4" i="25" s="1"/>
  <c r="AD4" i="25" s="1"/>
  <c r="W6" i="25"/>
  <c r="X6" i="25" s="1"/>
  <c r="Z6" i="25" s="1"/>
  <c r="AA6" i="25" s="1"/>
  <c r="AD6" i="25" s="1"/>
  <c r="Q8" i="25"/>
  <c r="R8" i="25" s="1"/>
  <c r="U8" i="25" s="1"/>
  <c r="AC8" i="25" s="1"/>
  <c r="Q10" i="25"/>
  <c r="R10" i="25" s="1"/>
  <c r="U10" i="25" s="1"/>
  <c r="AC10" i="25" s="1"/>
  <c r="W8" i="25"/>
  <c r="X8" i="25" s="1"/>
  <c r="Z8" i="25" s="1"/>
  <c r="AA8" i="25" s="1"/>
  <c r="AD8" i="25" s="1"/>
  <c r="W10" i="25"/>
  <c r="X10" i="25" s="1"/>
  <c r="Z10" i="25" s="1"/>
  <c r="AA10" i="25" s="1"/>
  <c r="AD10" i="25" s="1"/>
  <c r="Q12" i="25"/>
  <c r="R12" i="25" s="1"/>
  <c r="U12" i="25" s="1"/>
  <c r="AC12" i="25" s="1"/>
  <c r="Q14" i="25"/>
  <c r="R14" i="25" s="1"/>
  <c r="U14" i="25" s="1"/>
  <c r="AC14" i="25" s="1"/>
  <c r="W12" i="25"/>
  <c r="X12" i="25" s="1"/>
  <c r="Z12" i="25" s="1"/>
  <c r="AA12" i="25" s="1"/>
  <c r="AD12" i="25" s="1"/>
  <c r="W14" i="25"/>
  <c r="X14" i="25" s="1"/>
  <c r="Z14" i="25" s="1"/>
  <c r="AA14" i="25" s="1"/>
  <c r="AD14" i="25" s="1"/>
  <c r="Q4" i="24"/>
  <c r="R4" i="24" s="1"/>
  <c r="T4" i="24" s="1"/>
  <c r="U4" i="24" s="1"/>
  <c r="AC4" i="24" s="1"/>
  <c r="Q6" i="24"/>
  <c r="R6" i="24" s="1"/>
  <c r="U6" i="24" s="1"/>
  <c r="AC6" i="24" s="1"/>
  <c r="X5" i="24"/>
  <c r="AA5" i="24" s="1"/>
  <c r="AD5" i="24" s="1"/>
  <c r="Q9" i="24"/>
  <c r="R9" i="24" s="1"/>
  <c r="U9" i="24" s="1"/>
  <c r="AC9" i="24" s="1"/>
  <c r="X7" i="24"/>
  <c r="AA7" i="24" s="1"/>
  <c r="AD7" i="24" s="1"/>
  <c r="W9" i="24"/>
  <c r="X9" i="24" s="1"/>
  <c r="AA9" i="24" s="1"/>
  <c r="AD9" i="24" s="1"/>
  <c r="Q13" i="24"/>
  <c r="R13" i="24" s="1"/>
  <c r="U13" i="24" s="1"/>
  <c r="AC13" i="24" s="1"/>
  <c r="X11" i="24"/>
  <c r="AA11" i="24" s="1"/>
  <c r="AD11" i="24" s="1"/>
  <c r="W4" i="24"/>
  <c r="X4" i="24" s="1"/>
  <c r="Z4" i="24" s="1"/>
  <c r="AA4" i="24" s="1"/>
  <c r="AD4" i="24" s="1"/>
  <c r="W6" i="24"/>
  <c r="X6" i="24" s="1"/>
  <c r="AA6" i="24" s="1"/>
  <c r="AD6" i="24" s="1"/>
  <c r="Q8" i="24"/>
  <c r="R8" i="24" s="1"/>
  <c r="U8" i="24" s="1"/>
  <c r="AC8" i="24" s="1"/>
  <c r="Q10" i="24"/>
  <c r="R10" i="24" s="1"/>
  <c r="U10" i="24" s="1"/>
  <c r="AC10" i="24" s="1"/>
  <c r="W8" i="24"/>
  <c r="X8" i="24" s="1"/>
  <c r="AA8" i="24" s="1"/>
  <c r="AD8" i="24" s="1"/>
  <c r="W10" i="24"/>
  <c r="X10" i="24" s="1"/>
  <c r="AA10" i="24" s="1"/>
  <c r="AD10" i="24" s="1"/>
  <c r="Q12" i="24"/>
  <c r="R12" i="24" s="1"/>
  <c r="U12" i="24" s="1"/>
  <c r="AC12" i="24" s="1"/>
  <c r="Q14" i="24"/>
  <c r="R14" i="24" s="1"/>
  <c r="U14" i="24" s="1"/>
  <c r="AC14" i="24" s="1"/>
  <c r="W12" i="24"/>
  <c r="X12" i="24" s="1"/>
  <c r="AA12" i="24" s="1"/>
  <c r="AD12" i="24" s="1"/>
  <c r="W14" i="24"/>
  <c r="X14" i="24" s="1"/>
  <c r="AA14" i="24" s="1"/>
  <c r="AD14" i="24" s="1"/>
  <c r="Q11" i="36"/>
  <c r="R11" i="36" s="1"/>
  <c r="U11" i="36" s="1"/>
  <c r="AC11" i="36" s="1"/>
  <c r="W13" i="36"/>
  <c r="X13" i="36" s="1"/>
  <c r="Z13" i="36" s="1"/>
  <c r="AA13" i="36" s="1"/>
  <c r="AD13" i="36" s="1"/>
  <c r="Q5" i="36"/>
  <c r="R5" i="36" s="1"/>
  <c r="U5" i="36" s="1"/>
  <c r="AC5" i="36" s="1"/>
  <c r="Q7" i="36"/>
  <c r="R7" i="36" s="1"/>
  <c r="U7" i="36" s="1"/>
  <c r="AC7" i="36" s="1"/>
  <c r="Q13" i="36"/>
  <c r="R13" i="36" s="1"/>
  <c r="U13" i="36" s="1"/>
  <c r="AC13" i="36" s="1"/>
  <c r="W5" i="36"/>
  <c r="X5" i="36" s="1"/>
  <c r="Z5" i="36" s="1"/>
  <c r="AA5" i="36" s="1"/>
  <c r="AD5" i="36" s="1"/>
  <c r="W7" i="36"/>
  <c r="X7" i="36" s="1"/>
  <c r="Z7" i="36" s="1"/>
  <c r="AA7" i="36" s="1"/>
  <c r="AD7" i="36" s="1"/>
  <c r="W9" i="36"/>
  <c r="X9" i="36" s="1"/>
  <c r="Z9" i="36" s="1"/>
  <c r="AA9" i="36" s="1"/>
  <c r="AD9" i="36" s="1"/>
  <c r="W11" i="36"/>
  <c r="X11" i="36" s="1"/>
  <c r="Z11" i="36" s="1"/>
  <c r="AA11" i="36" s="1"/>
  <c r="AD11" i="36" s="1"/>
  <c r="Q4" i="36"/>
  <c r="R4" i="36" s="1"/>
  <c r="T4" i="36" s="1"/>
  <c r="U4" i="36" s="1"/>
  <c r="AC4" i="36" s="1"/>
  <c r="Q6" i="36"/>
  <c r="R6" i="36" s="1"/>
  <c r="U6" i="36" s="1"/>
  <c r="AC6" i="36" s="1"/>
  <c r="Q8" i="36"/>
  <c r="R8" i="36" s="1"/>
  <c r="U8" i="36" s="1"/>
  <c r="AC8" i="36" s="1"/>
  <c r="Q10" i="36"/>
  <c r="R10" i="36" s="1"/>
  <c r="U10" i="36" s="1"/>
  <c r="AC10" i="36" s="1"/>
  <c r="Q12" i="36"/>
  <c r="R12" i="36" s="1"/>
  <c r="U12" i="36" s="1"/>
  <c r="AC12" i="36" s="1"/>
  <c r="Q14" i="36"/>
  <c r="R14" i="36" s="1"/>
  <c r="U14" i="36" s="1"/>
  <c r="AC14" i="36" s="1"/>
  <c r="W4" i="36"/>
  <c r="X4" i="36" s="1"/>
  <c r="Z4" i="36" s="1"/>
  <c r="AA4" i="36" s="1"/>
  <c r="AD4" i="36" s="1"/>
  <c r="W6" i="36"/>
  <c r="X6" i="36" s="1"/>
  <c r="Z6" i="36" s="1"/>
  <c r="AA6" i="36" s="1"/>
  <c r="AD6" i="36" s="1"/>
  <c r="W8" i="36"/>
  <c r="X8" i="36" s="1"/>
  <c r="Z8" i="36" s="1"/>
  <c r="AA8" i="36" s="1"/>
  <c r="AD8" i="36" s="1"/>
  <c r="W10" i="36"/>
  <c r="X10" i="36" s="1"/>
  <c r="Z10" i="36" s="1"/>
  <c r="AA10" i="36" s="1"/>
  <c r="AD10" i="36" s="1"/>
  <c r="W12" i="36"/>
  <c r="X12" i="36" s="1"/>
  <c r="Z12" i="36" s="1"/>
  <c r="AA12" i="36" s="1"/>
  <c r="AD12" i="36" s="1"/>
  <c r="W14" i="36"/>
  <c r="X14" i="36" s="1"/>
  <c r="Z14" i="36" s="1"/>
  <c r="AA14" i="36" s="1"/>
  <c r="AD14" i="36" s="1"/>
  <c r="Q9" i="36"/>
  <c r="R9" i="36" s="1"/>
  <c r="U9" i="36" s="1"/>
  <c r="AC9" i="36" s="1"/>
  <c r="Q9" i="22"/>
  <c r="R9" i="22" s="1"/>
  <c r="U9" i="22" s="1"/>
  <c r="AC9" i="22" s="1"/>
  <c r="Q4" i="22"/>
  <c r="R4" i="22" s="1"/>
  <c r="T4" i="22" s="1"/>
  <c r="U4" i="22" s="1"/>
  <c r="AC4" i="22" s="1"/>
  <c r="W13" i="22"/>
  <c r="X13" i="22" s="1"/>
  <c r="AA13" i="22" s="1"/>
  <c r="AD13" i="22" s="1"/>
  <c r="Q6" i="22"/>
  <c r="R6" i="22" s="1"/>
  <c r="U6" i="22" s="1"/>
  <c r="AC6" i="22" s="1"/>
  <c r="W8" i="22"/>
  <c r="X8" i="22" s="1"/>
  <c r="AA8" i="22" s="1"/>
  <c r="AD8" i="22" s="1"/>
  <c r="Q12" i="22"/>
  <c r="R12" i="22" s="1"/>
  <c r="U12" i="22" s="1"/>
  <c r="AC12" i="22" s="1"/>
  <c r="W14" i="22"/>
  <c r="X14" i="22" s="1"/>
  <c r="AA14" i="22" s="1"/>
  <c r="AD14" i="22" s="1"/>
  <c r="Q11" i="22"/>
  <c r="R11" i="22" s="1"/>
  <c r="U11" i="22" s="1"/>
  <c r="AC11" i="22" s="1"/>
  <c r="Q13" i="22"/>
  <c r="R13" i="22" s="1"/>
  <c r="U13" i="22" s="1"/>
  <c r="AC13" i="22" s="1"/>
  <c r="W9" i="22"/>
  <c r="X9" i="22" s="1"/>
  <c r="AA9" i="22" s="1"/>
  <c r="AD9" i="22" s="1"/>
  <c r="W11" i="22"/>
  <c r="X11" i="22" s="1"/>
  <c r="AA11" i="22" s="1"/>
  <c r="AD11" i="22" s="1"/>
  <c r="Q8" i="22"/>
  <c r="R8" i="22" s="1"/>
  <c r="U8" i="22" s="1"/>
  <c r="AC8" i="22" s="1"/>
  <c r="W6" i="22"/>
  <c r="X6" i="22" s="1"/>
  <c r="AA6" i="22" s="1"/>
  <c r="AD6" i="22" s="1"/>
  <c r="Q10" i="22"/>
  <c r="R10" i="22" s="1"/>
  <c r="U10" i="22" s="1"/>
  <c r="AC10" i="22" s="1"/>
  <c r="W10" i="22"/>
  <c r="X10" i="22" s="1"/>
  <c r="AA10" i="22" s="1"/>
  <c r="AD10" i="22" s="1"/>
  <c r="Q14" i="22"/>
  <c r="R14" i="22" s="1"/>
  <c r="U14" i="22" s="1"/>
  <c r="AC14" i="22" s="1"/>
  <c r="W12" i="22"/>
  <c r="X12" i="22" s="1"/>
  <c r="AA12" i="22" s="1"/>
  <c r="AD12" i="22" s="1"/>
  <c r="Q5" i="22"/>
  <c r="R5" i="22" s="1"/>
  <c r="U5" i="22" s="1"/>
  <c r="AC5" i="22" s="1"/>
  <c r="X4" i="21"/>
  <c r="AA4" i="21" s="1"/>
  <c r="AD4" i="21" s="1"/>
  <c r="Q6" i="21"/>
  <c r="R6" i="21" s="1"/>
  <c r="U6" i="21" s="1"/>
  <c r="AC6" i="21" s="1"/>
  <c r="Q10" i="21"/>
  <c r="R10" i="21" s="1"/>
  <c r="U10" i="21" s="1"/>
  <c r="AC10" i="21" s="1"/>
  <c r="Q14" i="21"/>
  <c r="R14" i="21" s="1"/>
  <c r="U14" i="21" s="1"/>
  <c r="AC14" i="21" s="1"/>
  <c r="Q8" i="21"/>
  <c r="R8" i="21" s="1"/>
  <c r="U8" i="21" s="1"/>
  <c r="AC8" i="21" s="1"/>
  <c r="Q12" i="21"/>
  <c r="R12" i="21" s="1"/>
  <c r="U12" i="21" s="1"/>
  <c r="AC12" i="21" s="1"/>
  <c r="Q7" i="21"/>
  <c r="R7" i="21" s="1"/>
  <c r="U7" i="21" s="1"/>
  <c r="AC7" i="21" s="1"/>
  <c r="Q11" i="21"/>
  <c r="R11" i="21" s="1"/>
  <c r="U11" i="21" s="1"/>
  <c r="AC11" i="21" s="1"/>
  <c r="W7" i="21"/>
  <c r="X7" i="21" s="1"/>
  <c r="AA7" i="21" s="1"/>
  <c r="AD7" i="21" s="1"/>
  <c r="W11" i="21"/>
  <c r="X11" i="21" s="1"/>
  <c r="AA11" i="21" s="1"/>
  <c r="AD11" i="21" s="1"/>
  <c r="Q5" i="21"/>
  <c r="R5" i="21" s="1"/>
  <c r="U5" i="21" s="1"/>
  <c r="AC5" i="21" s="1"/>
  <c r="Q9" i="21"/>
  <c r="R9" i="21" s="1"/>
  <c r="U9" i="21" s="1"/>
  <c r="AC9" i="21" s="1"/>
  <c r="Q13" i="21"/>
  <c r="R13" i="21" s="1"/>
  <c r="U13" i="21" s="1"/>
  <c r="AC13" i="21" s="1"/>
  <c r="Q4" i="21"/>
  <c r="R4" i="21" s="1"/>
  <c r="T4" i="21" s="1"/>
  <c r="U4" i="21" s="1"/>
  <c r="AC4" i="21" s="1"/>
  <c r="W6" i="21"/>
  <c r="X6" i="21" s="1"/>
  <c r="AA6" i="21" s="1"/>
  <c r="AD6" i="21" s="1"/>
  <c r="W10" i="21"/>
  <c r="X10" i="21" s="1"/>
  <c r="AA10" i="21" s="1"/>
  <c r="AD10" i="21" s="1"/>
  <c r="W14" i="21"/>
  <c r="X14" i="21" s="1"/>
  <c r="AA14" i="21" s="1"/>
  <c r="AD14" i="21" s="1"/>
  <c r="Q13" i="20"/>
  <c r="R13" i="20" s="1"/>
  <c r="U13" i="20" s="1"/>
  <c r="AC13" i="20" s="1"/>
  <c r="W6" i="20"/>
  <c r="X6" i="20" s="1"/>
  <c r="AA6" i="20" s="1"/>
  <c r="AD6" i="20" s="1"/>
  <c r="Q10" i="20"/>
  <c r="R10" i="20" s="1"/>
  <c r="U10" i="20" s="1"/>
  <c r="AC10" i="20" s="1"/>
  <c r="W10" i="20"/>
  <c r="X10" i="20" s="1"/>
  <c r="AA10" i="20" s="1"/>
  <c r="AD10" i="20" s="1"/>
  <c r="Q5" i="20"/>
  <c r="R5" i="20" s="1"/>
  <c r="U5" i="20" s="1"/>
  <c r="AC5" i="20" s="1"/>
  <c r="Q14" i="20"/>
  <c r="R14" i="20" s="1"/>
  <c r="U14" i="20" s="1"/>
  <c r="AC14" i="20" s="1"/>
  <c r="Q7" i="20"/>
  <c r="R7" i="20" s="1"/>
  <c r="U7" i="20" s="1"/>
  <c r="AC7" i="20" s="1"/>
  <c r="W14" i="20"/>
  <c r="X14" i="20" s="1"/>
  <c r="AA14" i="20" s="1"/>
  <c r="AD14" i="20" s="1"/>
  <c r="Q11" i="20"/>
  <c r="R11" i="20" s="1"/>
  <c r="U11" i="20" s="1"/>
  <c r="AC11" i="20" s="1"/>
  <c r="Q4" i="20"/>
  <c r="R4" i="20" s="1"/>
  <c r="T4" i="20" s="1"/>
  <c r="U4" i="20" s="1"/>
  <c r="AC4" i="20" s="1"/>
  <c r="W11" i="20"/>
  <c r="X11" i="20" s="1"/>
  <c r="AA11" i="20" s="1"/>
  <c r="AD11" i="20" s="1"/>
  <c r="Q6" i="20"/>
  <c r="AC6" i="20" s="1"/>
  <c r="W13" i="20"/>
  <c r="X13" i="20" s="1"/>
  <c r="AA13" i="20" s="1"/>
  <c r="AD13" i="20" s="1"/>
  <c r="Q8" i="20"/>
  <c r="R8" i="20" s="1"/>
  <c r="U8" i="20" s="1"/>
  <c r="AC8" i="20" s="1"/>
  <c r="Q12" i="20"/>
  <c r="R12" i="20" s="1"/>
  <c r="U12" i="20" s="1"/>
  <c r="AC12" i="20" s="1"/>
  <c r="W12" i="20"/>
  <c r="X12" i="20" s="1"/>
  <c r="AA12" i="20" s="1"/>
  <c r="AD12" i="20" s="1"/>
  <c r="W5" i="20"/>
  <c r="X5" i="20" s="1"/>
  <c r="AA5" i="20" s="1"/>
  <c r="AD5" i="20" s="1"/>
  <c r="W7" i="20"/>
  <c r="X7" i="20" s="1"/>
  <c r="AA7" i="20" s="1"/>
  <c r="AD7" i="20" s="1"/>
  <c r="X11" i="19"/>
  <c r="AA11" i="19" s="1"/>
  <c r="AD11" i="19" s="1"/>
  <c r="Q11" i="19"/>
  <c r="R11" i="19" s="1"/>
  <c r="U11" i="19" s="1"/>
  <c r="AC11" i="19" s="1"/>
  <c r="Q4" i="19"/>
  <c r="R4" i="19" s="1"/>
  <c r="T4" i="19" s="1"/>
  <c r="U4" i="19" s="1"/>
  <c r="AC4" i="19" s="1"/>
  <c r="Q6" i="19"/>
  <c r="R6" i="19" s="1"/>
  <c r="U6" i="19" s="1"/>
  <c r="AC6" i="19" s="1"/>
  <c r="Q8" i="19"/>
  <c r="R8" i="19" s="1"/>
  <c r="U8" i="19" s="1"/>
  <c r="AC8" i="19" s="1"/>
  <c r="W4" i="19"/>
  <c r="X4" i="19" s="1"/>
  <c r="Z4" i="19" s="1"/>
  <c r="AA4" i="19" s="1"/>
  <c r="AD4" i="19" s="1"/>
  <c r="Q10" i="19"/>
  <c r="R10" i="19" s="1"/>
  <c r="U10" i="19" s="1"/>
  <c r="AC10" i="19" s="1"/>
  <c r="Q12" i="19"/>
  <c r="R12" i="19" s="1"/>
  <c r="U12" i="19" s="1"/>
  <c r="AC12" i="19" s="1"/>
  <c r="W6" i="19"/>
  <c r="X6" i="19" s="1"/>
  <c r="AA6" i="19" s="1"/>
  <c r="AD6" i="19" s="1"/>
  <c r="W8" i="19"/>
  <c r="X8" i="19" s="1"/>
  <c r="AA8" i="19" s="1"/>
  <c r="AD8" i="19" s="1"/>
  <c r="Q14" i="19"/>
  <c r="R14" i="19" s="1"/>
  <c r="U14" i="19" s="1"/>
  <c r="AC14" i="19" s="1"/>
  <c r="Q7" i="19"/>
  <c r="R7" i="19" s="1"/>
  <c r="U7" i="19" s="1"/>
  <c r="AC7" i="19" s="1"/>
  <c r="R13" i="19"/>
  <c r="U13" i="19" s="1"/>
  <c r="AC13" i="19" s="1"/>
  <c r="X13" i="19"/>
  <c r="AA13" i="19" s="1"/>
  <c r="AD13" i="19" s="1"/>
  <c r="X10" i="19"/>
  <c r="AA10" i="19" s="1"/>
  <c r="AD10" i="19" s="1"/>
  <c r="X12" i="19"/>
  <c r="AA12" i="19" s="1"/>
  <c r="AD12" i="19" s="1"/>
  <c r="X14" i="19"/>
  <c r="AA14" i="19" s="1"/>
  <c r="AD14" i="19" s="1"/>
  <c r="Q11" i="18"/>
  <c r="R11" i="18" s="1"/>
  <c r="U11" i="18" s="1"/>
  <c r="AC11" i="18" s="1"/>
  <c r="W7" i="18"/>
  <c r="X7" i="18" s="1"/>
  <c r="Z7" i="18" s="1"/>
  <c r="AA7" i="18" s="1"/>
  <c r="AD7" i="18" s="1"/>
  <c r="W11" i="18"/>
  <c r="X11" i="18" s="1"/>
  <c r="Z11" i="18" s="1"/>
  <c r="AA11" i="18" s="1"/>
  <c r="AD11" i="18" s="1"/>
  <c r="Q12" i="18"/>
  <c r="R12" i="18" s="1"/>
  <c r="U12" i="18" s="1"/>
  <c r="AC12" i="18" s="1"/>
  <c r="Q5" i="18"/>
  <c r="R5" i="18" s="1"/>
  <c r="U5" i="18" s="1"/>
  <c r="AC5" i="18" s="1"/>
  <c r="Q7" i="18"/>
  <c r="R7" i="18" s="1"/>
  <c r="U7" i="18" s="1"/>
  <c r="AC7" i="18" s="1"/>
  <c r="Q9" i="18"/>
  <c r="R9" i="18" s="1"/>
  <c r="U9" i="18" s="1"/>
  <c r="AC9" i="18" s="1"/>
  <c r="Q13" i="18"/>
  <c r="R13" i="18" s="1"/>
  <c r="U13" i="18" s="1"/>
  <c r="AC13" i="18" s="1"/>
  <c r="W5" i="18"/>
  <c r="X5" i="18" s="1"/>
  <c r="Z5" i="18" s="1"/>
  <c r="AA5" i="18" s="1"/>
  <c r="AD5" i="18" s="1"/>
  <c r="W9" i="18"/>
  <c r="X9" i="18" s="1"/>
  <c r="Z9" i="18" s="1"/>
  <c r="AA9" i="18" s="1"/>
  <c r="AD9" i="18" s="1"/>
  <c r="W13" i="18"/>
  <c r="X13" i="18" s="1"/>
  <c r="Z13" i="18" s="1"/>
  <c r="AA13" i="18" s="1"/>
  <c r="AD13" i="18" s="1"/>
  <c r="Q4" i="18"/>
  <c r="R4" i="18" s="1"/>
  <c r="T4" i="18" s="1"/>
  <c r="U4" i="18" s="1"/>
  <c r="AC4" i="18" s="1"/>
  <c r="Q6" i="18"/>
  <c r="R6" i="18" s="1"/>
  <c r="U6" i="18" s="1"/>
  <c r="AC6" i="18" s="1"/>
  <c r="Q8" i="18"/>
  <c r="R8" i="18" s="1"/>
  <c r="U8" i="18" s="1"/>
  <c r="AC8" i="18" s="1"/>
  <c r="Q10" i="18"/>
  <c r="R10" i="18" s="1"/>
  <c r="U10" i="18" s="1"/>
  <c r="AC10" i="18" s="1"/>
  <c r="Q14" i="18"/>
  <c r="R14" i="18" s="1"/>
  <c r="U14" i="18" s="1"/>
  <c r="AC14" i="18" s="1"/>
  <c r="W4" i="18"/>
  <c r="X4" i="18" s="1"/>
  <c r="Z4" i="18" s="1"/>
  <c r="AA4" i="18" s="1"/>
  <c r="AD4" i="18" s="1"/>
  <c r="W6" i="18"/>
  <c r="X6" i="18" s="1"/>
  <c r="Z6" i="18" s="1"/>
  <c r="AA6" i="18" s="1"/>
  <c r="AD6" i="18" s="1"/>
  <c r="W8" i="18"/>
  <c r="X8" i="18" s="1"/>
  <c r="Z8" i="18" s="1"/>
  <c r="AA8" i="18" s="1"/>
  <c r="AD8" i="18" s="1"/>
  <c r="W10" i="18"/>
  <c r="X10" i="18" s="1"/>
  <c r="Z10" i="18" s="1"/>
  <c r="AA10" i="18" s="1"/>
  <c r="AD10" i="18" s="1"/>
  <c r="W12" i="18"/>
  <c r="X12" i="18" s="1"/>
  <c r="Z12" i="18" s="1"/>
  <c r="AA12" i="18" s="1"/>
  <c r="AD12" i="18" s="1"/>
  <c r="W14" i="18"/>
  <c r="X14" i="18" s="1"/>
  <c r="Z14" i="18" s="1"/>
  <c r="AA14" i="18" s="1"/>
  <c r="AD14" i="18" s="1"/>
  <c r="Q11" i="17"/>
  <c r="R11" i="17" s="1"/>
  <c r="U11" i="17" s="1"/>
  <c r="AC11" i="17" s="1"/>
  <c r="W11" i="17"/>
  <c r="X11" i="17" s="1"/>
  <c r="Z11" i="17" s="1"/>
  <c r="AA11" i="17" s="1"/>
  <c r="AD11" i="17" s="1"/>
  <c r="Q4" i="17"/>
  <c r="R4" i="17" s="1"/>
  <c r="T4" i="17" s="1"/>
  <c r="U4" i="17" s="1"/>
  <c r="AC4" i="17" s="1"/>
  <c r="Q6" i="17"/>
  <c r="R6" i="17" s="1"/>
  <c r="U6" i="17" s="1"/>
  <c r="AC6" i="17" s="1"/>
  <c r="Q8" i="17"/>
  <c r="R8" i="17" s="1"/>
  <c r="U8" i="17" s="1"/>
  <c r="AC8" i="17" s="1"/>
  <c r="Q10" i="17"/>
  <c r="R10" i="17" s="1"/>
  <c r="U10" i="17" s="1"/>
  <c r="AC10" i="17" s="1"/>
  <c r="Q14" i="17"/>
  <c r="R14" i="17" s="1"/>
  <c r="U14" i="17" s="1"/>
  <c r="AC14" i="17" s="1"/>
  <c r="W4" i="17"/>
  <c r="X4" i="17" s="1"/>
  <c r="Z4" i="17" s="1"/>
  <c r="AA4" i="17" s="1"/>
  <c r="AD4" i="17" s="1"/>
  <c r="W6" i="17"/>
  <c r="X6" i="17" s="1"/>
  <c r="Z6" i="17" s="1"/>
  <c r="AA6" i="17" s="1"/>
  <c r="AD6" i="17" s="1"/>
  <c r="W8" i="17"/>
  <c r="X8" i="17" s="1"/>
  <c r="Z8" i="17" s="1"/>
  <c r="AA8" i="17" s="1"/>
  <c r="AD8" i="17" s="1"/>
  <c r="W10" i="17"/>
  <c r="X10" i="17" s="1"/>
  <c r="Z10" i="17" s="1"/>
  <c r="AA10" i="17" s="1"/>
  <c r="AD10" i="17" s="1"/>
  <c r="W12" i="17"/>
  <c r="X12" i="17" s="1"/>
  <c r="Z12" i="17" s="1"/>
  <c r="AA12" i="17" s="1"/>
  <c r="AD12" i="17" s="1"/>
  <c r="W14" i="17"/>
  <c r="X14" i="17" s="1"/>
  <c r="Z14" i="17" s="1"/>
  <c r="AA14" i="17" s="1"/>
  <c r="AD14" i="17" s="1"/>
  <c r="Q5" i="17"/>
  <c r="R5" i="17" s="1"/>
  <c r="U5" i="17" s="1"/>
  <c r="AC5" i="17" s="1"/>
  <c r="Q7" i="17"/>
  <c r="R7" i="17" s="1"/>
  <c r="U7" i="17" s="1"/>
  <c r="AC7" i="17" s="1"/>
  <c r="Q9" i="17"/>
  <c r="R9" i="17" s="1"/>
  <c r="U9" i="17" s="1"/>
  <c r="AC9" i="17" s="1"/>
  <c r="Q13" i="17"/>
  <c r="R13" i="17" s="1"/>
  <c r="U13" i="17" s="1"/>
  <c r="AC13" i="17" s="1"/>
  <c r="W5" i="17"/>
  <c r="X5" i="17" s="1"/>
  <c r="Z5" i="17" s="1"/>
  <c r="AA5" i="17" s="1"/>
  <c r="AD5" i="17" s="1"/>
  <c r="W7" i="17"/>
  <c r="X7" i="17" s="1"/>
  <c r="Z7" i="17" s="1"/>
  <c r="AA7" i="17" s="1"/>
  <c r="AD7" i="17" s="1"/>
  <c r="W9" i="17"/>
  <c r="X9" i="17" s="1"/>
  <c r="Z9" i="17" s="1"/>
  <c r="AA9" i="17" s="1"/>
  <c r="AD9" i="17" s="1"/>
  <c r="W13" i="17"/>
  <c r="X13" i="17" s="1"/>
  <c r="Z13" i="17" s="1"/>
  <c r="AA13" i="17" s="1"/>
  <c r="AD13" i="17" s="1"/>
  <c r="Q12" i="17"/>
  <c r="R12" i="17" s="1"/>
  <c r="U12" i="17" s="1"/>
  <c r="AC12" i="17" s="1"/>
  <c r="Q5" i="16"/>
  <c r="R5" i="16" s="1"/>
  <c r="U5" i="16" s="1"/>
  <c r="AC5" i="16" s="1"/>
  <c r="Q7" i="16"/>
  <c r="R7" i="16" s="1"/>
  <c r="U7" i="16" s="1"/>
  <c r="AC7" i="16" s="1"/>
  <c r="Q9" i="16"/>
  <c r="R9" i="16" s="1"/>
  <c r="U9" i="16" s="1"/>
  <c r="AC9" i="16" s="1"/>
  <c r="Q13" i="16"/>
  <c r="R13" i="16" s="1"/>
  <c r="U13" i="16" s="1"/>
  <c r="AC13" i="16" s="1"/>
  <c r="W13" i="16"/>
  <c r="X13" i="16" s="1"/>
  <c r="Z13" i="16" s="1"/>
  <c r="AA13" i="16" s="1"/>
  <c r="AD13" i="16" s="1"/>
  <c r="Q12" i="16"/>
  <c r="R12" i="16" s="1"/>
  <c r="U12" i="16" s="1"/>
  <c r="AC12" i="16" s="1"/>
  <c r="W4" i="16"/>
  <c r="X4" i="16" s="1"/>
  <c r="Z4" i="16" s="1"/>
  <c r="AA4" i="16" s="1"/>
  <c r="AD4" i="16" s="1"/>
  <c r="W6" i="16"/>
  <c r="X6" i="16" s="1"/>
  <c r="Z6" i="16" s="1"/>
  <c r="AA6" i="16" s="1"/>
  <c r="AD6" i="16" s="1"/>
  <c r="W8" i="16"/>
  <c r="X8" i="16" s="1"/>
  <c r="Z8" i="16" s="1"/>
  <c r="AA8" i="16" s="1"/>
  <c r="AD8" i="16" s="1"/>
  <c r="W10" i="16"/>
  <c r="X10" i="16" s="1"/>
  <c r="Z10" i="16" s="1"/>
  <c r="AA10" i="16" s="1"/>
  <c r="AD10" i="16" s="1"/>
  <c r="W12" i="16"/>
  <c r="X12" i="16" s="1"/>
  <c r="Z12" i="16" s="1"/>
  <c r="AA12" i="16" s="1"/>
  <c r="AD12" i="16" s="1"/>
  <c r="W14" i="16"/>
  <c r="X14" i="16" s="1"/>
  <c r="Z14" i="16" s="1"/>
  <c r="AA14" i="16" s="1"/>
  <c r="AD14" i="16" s="1"/>
  <c r="Q11" i="16"/>
  <c r="R11" i="16" s="1"/>
  <c r="U11" i="16" s="1"/>
  <c r="AC11" i="16" s="1"/>
  <c r="W5" i="16"/>
  <c r="X5" i="16" s="1"/>
  <c r="Z5" i="16" s="1"/>
  <c r="AA5" i="16" s="1"/>
  <c r="AD5" i="16" s="1"/>
  <c r="W7" i="16"/>
  <c r="X7" i="16" s="1"/>
  <c r="Z7" i="16" s="1"/>
  <c r="AA7" i="16" s="1"/>
  <c r="AD7" i="16" s="1"/>
  <c r="W9" i="16"/>
  <c r="X9" i="16" s="1"/>
  <c r="Z9" i="16" s="1"/>
  <c r="AA9" i="16" s="1"/>
  <c r="AD9" i="16" s="1"/>
  <c r="W11" i="16"/>
  <c r="X11" i="16" s="1"/>
  <c r="Z11" i="16" s="1"/>
  <c r="AA11" i="16" s="1"/>
  <c r="AD11" i="16" s="1"/>
  <c r="Q4" i="16"/>
  <c r="R4" i="16" s="1"/>
  <c r="T4" i="16" s="1"/>
  <c r="U4" i="16" s="1"/>
  <c r="AC4" i="16" s="1"/>
  <c r="Q6" i="16"/>
  <c r="R6" i="16" s="1"/>
  <c r="U6" i="16" s="1"/>
  <c r="AC6" i="16" s="1"/>
  <c r="Q8" i="16"/>
  <c r="R8" i="16" s="1"/>
  <c r="U8" i="16" s="1"/>
  <c r="AC8" i="16" s="1"/>
  <c r="Q10" i="16"/>
  <c r="R10" i="16" s="1"/>
  <c r="U10" i="16" s="1"/>
  <c r="AC10" i="16" s="1"/>
  <c r="Q14" i="16"/>
  <c r="R14" i="16" s="1"/>
  <c r="U14" i="16" s="1"/>
  <c r="AC14" i="16" s="1"/>
  <c r="Q6" i="15"/>
  <c r="R6" i="15" s="1"/>
  <c r="U6" i="15" s="1"/>
  <c r="AC6" i="15" s="1"/>
  <c r="Q10" i="15"/>
  <c r="R10" i="15" s="1"/>
  <c r="U10" i="15" s="1"/>
  <c r="AC10" i="15" s="1"/>
  <c r="Q14" i="15"/>
  <c r="R14" i="15" s="1"/>
  <c r="U14" i="15" s="1"/>
  <c r="AC14" i="15" s="1"/>
  <c r="X4" i="15"/>
  <c r="Z4" i="15" s="1"/>
  <c r="AA4" i="15" s="1"/>
  <c r="AD4" i="15" s="1"/>
  <c r="Q8" i="15"/>
  <c r="R8" i="15" s="1"/>
  <c r="U8" i="15" s="1"/>
  <c r="AC8" i="15" s="1"/>
  <c r="Q12" i="15"/>
  <c r="R12" i="15" s="1"/>
  <c r="U12" i="15" s="1"/>
  <c r="AC12" i="15" s="1"/>
  <c r="Q7" i="15"/>
  <c r="R7" i="15" s="1"/>
  <c r="U7" i="15" s="1"/>
  <c r="AC7" i="15" s="1"/>
  <c r="Q11" i="15"/>
  <c r="R11" i="15" s="1"/>
  <c r="U11" i="15" s="1"/>
  <c r="AC11" i="15" s="1"/>
  <c r="W7" i="15"/>
  <c r="X7" i="15" s="1"/>
  <c r="Z7" i="15" s="1"/>
  <c r="AA7" i="15" s="1"/>
  <c r="AD7" i="15" s="1"/>
  <c r="W11" i="15"/>
  <c r="X11" i="15" s="1"/>
  <c r="Z11" i="15" s="1"/>
  <c r="AA11" i="15" s="1"/>
  <c r="AD11" i="15" s="1"/>
  <c r="Q5" i="15"/>
  <c r="R5" i="15" s="1"/>
  <c r="U5" i="15" s="1"/>
  <c r="AC5" i="15" s="1"/>
  <c r="Q9" i="15"/>
  <c r="R9" i="15" s="1"/>
  <c r="U9" i="15" s="1"/>
  <c r="AC9" i="15" s="1"/>
  <c r="Q13" i="15"/>
  <c r="R13" i="15" s="1"/>
  <c r="U13" i="15" s="1"/>
  <c r="AC13" i="15" s="1"/>
  <c r="Q4" i="15"/>
  <c r="R4" i="15" s="1"/>
  <c r="T4" i="15" s="1"/>
  <c r="U4" i="15" s="1"/>
  <c r="AC4" i="15" s="1"/>
  <c r="W6" i="15"/>
  <c r="X6" i="15" s="1"/>
  <c r="Z6" i="15" s="1"/>
  <c r="AA6" i="15" s="1"/>
  <c r="AD6" i="15" s="1"/>
  <c r="W10" i="15"/>
  <c r="X10" i="15" s="1"/>
  <c r="Z10" i="15" s="1"/>
  <c r="AA10" i="15" s="1"/>
  <c r="AD10" i="15" s="1"/>
  <c r="W14" i="15"/>
  <c r="X14" i="15" s="1"/>
  <c r="Z14" i="15" s="1"/>
  <c r="AA14" i="15" s="1"/>
  <c r="AD14" i="15" s="1"/>
  <c r="R10" i="14"/>
  <c r="U10" i="14" s="1"/>
  <c r="AC10" i="14" s="1"/>
  <c r="X10" i="14"/>
  <c r="Z10" i="14" s="1"/>
  <c r="AA10" i="14" s="1"/>
  <c r="AD10" i="14" s="1"/>
  <c r="Q6" i="14"/>
  <c r="R6" i="14" s="1"/>
  <c r="U6" i="14" s="1"/>
  <c r="AC6" i="14" s="1"/>
  <c r="W6" i="14"/>
  <c r="X6" i="14" s="1"/>
  <c r="Z6" i="14" s="1"/>
  <c r="AA6" i="14" s="1"/>
  <c r="AD6" i="14" s="1"/>
  <c r="W13" i="14"/>
  <c r="X13" i="14" s="1"/>
  <c r="Z13" i="14" s="1"/>
  <c r="AA13" i="14" s="1"/>
  <c r="AD13" i="14" s="1"/>
  <c r="Q12" i="14"/>
  <c r="R12" i="14" s="1"/>
  <c r="U12" i="14" s="1"/>
  <c r="AC12" i="14" s="1"/>
  <c r="W9" i="14"/>
  <c r="X9" i="14" s="1"/>
  <c r="Z9" i="14" s="1"/>
  <c r="AA9" i="14" s="1"/>
  <c r="AD9" i="14" s="1"/>
  <c r="Q8" i="14"/>
  <c r="R8" i="14" s="1"/>
  <c r="U8" i="14" s="1"/>
  <c r="AC8" i="14" s="1"/>
  <c r="W12" i="14"/>
  <c r="X12" i="14" s="1"/>
  <c r="Z12" i="14" s="1"/>
  <c r="AA12" i="14" s="1"/>
  <c r="AD12" i="14" s="1"/>
  <c r="Q11" i="14"/>
  <c r="R11" i="14" s="1"/>
  <c r="U11" i="14" s="1"/>
  <c r="AC11" i="14" s="1"/>
  <c r="Q4" i="14"/>
  <c r="R4" i="14" s="1"/>
  <c r="T4" i="14" s="1"/>
  <c r="U4" i="14" s="1"/>
  <c r="AC4" i="14" s="1"/>
  <c r="W5" i="14"/>
  <c r="X5" i="14" s="1"/>
  <c r="Z5" i="14" s="1"/>
  <c r="AA5" i="14" s="1"/>
  <c r="AD5" i="14" s="1"/>
  <c r="Q7" i="14"/>
  <c r="R7" i="14" s="1"/>
  <c r="U7" i="14" s="1"/>
  <c r="AC7" i="14" s="1"/>
  <c r="W8" i="14"/>
  <c r="X8" i="14" s="1"/>
  <c r="Z8" i="14" s="1"/>
  <c r="AA8" i="14" s="1"/>
  <c r="AD8" i="14" s="1"/>
  <c r="W14" i="14"/>
  <c r="X14" i="14" s="1"/>
  <c r="Z14" i="14" s="1"/>
  <c r="AA14" i="14" s="1"/>
  <c r="AD14" i="14" s="1"/>
  <c r="Q14" i="14"/>
  <c r="R14" i="14" s="1"/>
  <c r="U14" i="14" s="1"/>
  <c r="AC14" i="14" s="1"/>
  <c r="Q11" i="11"/>
  <c r="R11" i="11" s="1"/>
  <c r="U11" i="11" s="1"/>
  <c r="AC11" i="11" s="1"/>
  <c r="X13" i="11"/>
  <c r="Z13" i="11" s="1"/>
  <c r="AA13" i="11" s="1"/>
  <c r="AD13" i="11" s="1"/>
  <c r="Q4" i="11"/>
  <c r="R4" i="11" s="1"/>
  <c r="T4" i="11" s="1"/>
  <c r="U4" i="11" s="1"/>
  <c r="AC4" i="11" s="1"/>
  <c r="Q6" i="11"/>
  <c r="R6" i="11" s="1"/>
  <c r="U6" i="11" s="1"/>
  <c r="AC6" i="11" s="1"/>
  <c r="Q8" i="11"/>
  <c r="R8" i="11" s="1"/>
  <c r="U8" i="11" s="1"/>
  <c r="AC8" i="11" s="1"/>
  <c r="W4" i="11"/>
  <c r="X4" i="11" s="1"/>
  <c r="Z4" i="11" s="1"/>
  <c r="AA4" i="11" s="1"/>
  <c r="AD4" i="11" s="1"/>
  <c r="Q10" i="11"/>
  <c r="R10" i="11" s="1"/>
  <c r="U10" i="11" s="1"/>
  <c r="AC10" i="11" s="1"/>
  <c r="Q12" i="11"/>
  <c r="R12" i="11" s="1"/>
  <c r="U12" i="11" s="1"/>
  <c r="AC12" i="11" s="1"/>
  <c r="W6" i="11"/>
  <c r="X6" i="11" s="1"/>
  <c r="Z6" i="11" s="1"/>
  <c r="AA6" i="11" s="1"/>
  <c r="AD6" i="11" s="1"/>
  <c r="W8" i="11"/>
  <c r="X8" i="11" s="1"/>
  <c r="Z8" i="11" s="1"/>
  <c r="AA8" i="11" s="1"/>
  <c r="AD8" i="11" s="1"/>
  <c r="Q14" i="11"/>
  <c r="R14" i="11" s="1"/>
  <c r="U14" i="11" s="1"/>
  <c r="AC14" i="11" s="1"/>
  <c r="Q7" i="11"/>
  <c r="R7" i="11" s="1"/>
  <c r="U7" i="11" s="1"/>
  <c r="AC7" i="11" s="1"/>
  <c r="X11" i="11"/>
  <c r="Z11" i="11" s="1"/>
  <c r="AA11" i="11" s="1"/>
  <c r="AD11" i="11" s="1"/>
  <c r="R13" i="11"/>
  <c r="U13" i="11" s="1"/>
  <c r="AC13" i="11" s="1"/>
  <c r="W10" i="11"/>
  <c r="X10" i="11" s="1"/>
  <c r="Z10" i="11" s="1"/>
  <c r="AA10" i="11" s="1"/>
  <c r="AD10" i="11" s="1"/>
  <c r="W12" i="11"/>
  <c r="X12" i="11" s="1"/>
  <c r="Z12" i="11" s="1"/>
  <c r="AA12" i="11" s="1"/>
  <c r="AD12" i="11" s="1"/>
  <c r="W14" i="11"/>
  <c r="X14" i="11" s="1"/>
  <c r="Z14" i="11" s="1"/>
  <c r="AA14" i="11" s="1"/>
  <c r="AD14" i="11" s="1"/>
  <c r="Q7" i="10"/>
  <c r="R7" i="10" s="1"/>
  <c r="U7" i="10" s="1"/>
  <c r="AC7" i="10" s="1"/>
  <c r="R13" i="10"/>
  <c r="U13" i="10" s="1"/>
  <c r="AC13" i="10" s="1"/>
  <c r="Q12" i="10"/>
  <c r="R12" i="10" s="1"/>
  <c r="U12" i="10" s="1"/>
  <c r="AC12" i="10" s="1"/>
  <c r="W10" i="10"/>
  <c r="X10" i="10" s="1"/>
  <c r="Z10" i="10" s="1"/>
  <c r="AA10" i="10" s="1"/>
  <c r="AD10" i="10" s="1"/>
  <c r="W12" i="10"/>
  <c r="X12" i="10" s="1"/>
  <c r="Z12" i="10" s="1"/>
  <c r="AA12" i="10" s="1"/>
  <c r="AD12" i="10" s="1"/>
  <c r="X11" i="10"/>
  <c r="Z11" i="10" s="1"/>
  <c r="AA11" i="10" s="1"/>
  <c r="AD11" i="10" s="1"/>
  <c r="Q11" i="10"/>
  <c r="R11" i="10" s="1"/>
  <c r="U11" i="10" s="1"/>
  <c r="AC11" i="10" s="1"/>
  <c r="Q4" i="10"/>
  <c r="R4" i="10" s="1"/>
  <c r="T4" i="10" s="1"/>
  <c r="U4" i="10" s="1"/>
  <c r="AC4" i="10" s="1"/>
  <c r="Q6" i="10"/>
  <c r="R6" i="10" s="1"/>
  <c r="U6" i="10" s="1"/>
  <c r="AC6" i="10" s="1"/>
  <c r="Q8" i="10"/>
  <c r="R8" i="10" s="1"/>
  <c r="U8" i="10" s="1"/>
  <c r="AC8" i="10" s="1"/>
  <c r="W4" i="10"/>
  <c r="X4" i="10" s="1"/>
  <c r="Z4" i="10" s="1"/>
  <c r="AA4" i="10" s="1"/>
  <c r="AD4" i="10" s="1"/>
  <c r="Q10" i="10"/>
  <c r="R10" i="10" s="1"/>
  <c r="U10" i="10" s="1"/>
  <c r="AC10" i="10" s="1"/>
  <c r="W6" i="10"/>
  <c r="X6" i="10" s="1"/>
  <c r="Z6" i="10" s="1"/>
  <c r="AA6" i="10" s="1"/>
  <c r="AD6" i="10" s="1"/>
  <c r="W8" i="10"/>
  <c r="X8" i="10" s="1"/>
  <c r="Z8" i="10" s="1"/>
  <c r="AA8" i="10" s="1"/>
  <c r="AD8" i="10" s="1"/>
  <c r="Q14" i="10"/>
  <c r="R14" i="10" s="1"/>
  <c r="U14" i="10" s="1"/>
  <c r="AC14" i="10" s="1"/>
  <c r="W14" i="10"/>
  <c r="X14" i="10" s="1"/>
  <c r="Z14" i="10" s="1"/>
  <c r="AA14" i="10" s="1"/>
  <c r="AD14" i="10" s="1"/>
  <c r="X13" i="10"/>
  <c r="Z13" i="10" s="1"/>
  <c r="AA13" i="10" s="1"/>
  <c r="AD13" i="10" s="1"/>
  <c r="Q7" i="9"/>
  <c r="R7" i="9" s="1"/>
  <c r="U7" i="9" s="1"/>
  <c r="AC7" i="9" s="1"/>
  <c r="X11" i="9"/>
  <c r="Z11" i="9" s="1"/>
  <c r="AA11" i="9" s="1"/>
  <c r="AD11" i="9" s="1"/>
  <c r="R13" i="9"/>
  <c r="U13" i="9" s="1"/>
  <c r="AC13" i="9" s="1"/>
  <c r="Q12" i="9"/>
  <c r="R12" i="9" s="1"/>
  <c r="U12" i="9" s="1"/>
  <c r="AC12" i="9" s="1"/>
  <c r="W6" i="9"/>
  <c r="X6" i="9" s="1"/>
  <c r="Z6" i="9" s="1"/>
  <c r="AA6" i="9" s="1"/>
  <c r="AD6" i="9" s="1"/>
  <c r="W8" i="9"/>
  <c r="X8" i="9" s="1"/>
  <c r="Z8" i="9" s="1"/>
  <c r="AA8" i="9" s="1"/>
  <c r="AD8" i="9" s="1"/>
  <c r="Q14" i="9"/>
  <c r="R14" i="9" s="1"/>
  <c r="U14" i="9" s="1"/>
  <c r="AC14" i="9" s="1"/>
  <c r="Q11" i="9"/>
  <c r="R11" i="9" s="1"/>
  <c r="U11" i="9" s="1"/>
  <c r="AC11" i="9" s="1"/>
  <c r="X13" i="9"/>
  <c r="Z13" i="9" s="1"/>
  <c r="AA13" i="9" s="1"/>
  <c r="AD13" i="9" s="1"/>
  <c r="Q4" i="9"/>
  <c r="R4" i="9" s="1"/>
  <c r="T4" i="9" s="1"/>
  <c r="U4" i="9" s="1"/>
  <c r="AC4" i="9" s="1"/>
  <c r="Q6" i="9"/>
  <c r="R6" i="9" s="1"/>
  <c r="U6" i="9" s="1"/>
  <c r="AC6" i="9" s="1"/>
  <c r="Q8" i="9"/>
  <c r="R8" i="9" s="1"/>
  <c r="U8" i="9" s="1"/>
  <c r="AC8" i="9" s="1"/>
  <c r="W4" i="9"/>
  <c r="X4" i="9" s="1"/>
  <c r="Z4" i="9" s="1"/>
  <c r="AA4" i="9" s="1"/>
  <c r="AD4" i="9" s="1"/>
  <c r="Q10" i="9"/>
  <c r="R10" i="9" s="1"/>
  <c r="U10" i="9" s="1"/>
  <c r="AC10" i="9" s="1"/>
  <c r="W10" i="9"/>
  <c r="X10" i="9" s="1"/>
  <c r="Z10" i="9" s="1"/>
  <c r="AA10" i="9" s="1"/>
  <c r="AD10" i="9" s="1"/>
  <c r="W12" i="9"/>
  <c r="X12" i="9" s="1"/>
  <c r="Z12" i="9" s="1"/>
  <c r="AA12" i="9" s="1"/>
  <c r="AD12" i="9" s="1"/>
  <c r="W14" i="9"/>
  <c r="X14" i="9" s="1"/>
  <c r="Z14" i="9" s="1"/>
  <c r="AA14" i="9" s="1"/>
  <c r="AD14" i="9" s="1"/>
  <c r="Q7" i="8"/>
  <c r="R7" i="8" s="1"/>
  <c r="U7" i="8" s="1"/>
  <c r="AC7" i="8" s="1"/>
  <c r="R13" i="8"/>
  <c r="U13" i="8" s="1"/>
  <c r="AC13" i="8" s="1"/>
  <c r="X13" i="8"/>
  <c r="Z13" i="8" s="1"/>
  <c r="AA13" i="8" s="1"/>
  <c r="AD13" i="8" s="1"/>
  <c r="Q4" i="8"/>
  <c r="R4" i="8" s="1"/>
  <c r="T4" i="8" s="1"/>
  <c r="U4" i="8" s="1"/>
  <c r="AC4" i="8" s="1"/>
  <c r="Q6" i="8"/>
  <c r="R6" i="8" s="1"/>
  <c r="U6" i="8" s="1"/>
  <c r="AC6" i="8" s="1"/>
  <c r="Q8" i="8"/>
  <c r="R8" i="8" s="1"/>
  <c r="U8" i="8" s="1"/>
  <c r="AC8" i="8" s="1"/>
  <c r="W4" i="8"/>
  <c r="X4" i="8" s="1"/>
  <c r="Z4" i="8" s="1"/>
  <c r="AA4" i="8" s="1"/>
  <c r="AD4" i="8" s="1"/>
  <c r="Q10" i="8"/>
  <c r="R10" i="8" s="1"/>
  <c r="U10" i="8" s="1"/>
  <c r="AC10" i="8" s="1"/>
  <c r="Q12" i="8"/>
  <c r="R12" i="8" s="1"/>
  <c r="U12" i="8" s="1"/>
  <c r="AC12" i="8" s="1"/>
  <c r="W6" i="8"/>
  <c r="X6" i="8" s="1"/>
  <c r="Z6" i="8" s="1"/>
  <c r="AA6" i="8" s="1"/>
  <c r="AD6" i="8" s="1"/>
  <c r="W8" i="8"/>
  <c r="X8" i="8" s="1"/>
  <c r="Z8" i="8" s="1"/>
  <c r="AA8" i="8" s="1"/>
  <c r="AD8" i="8" s="1"/>
  <c r="Q14" i="8"/>
  <c r="R14" i="8" s="1"/>
  <c r="U14" i="8" s="1"/>
  <c r="AC14" i="8" s="1"/>
  <c r="X11" i="8"/>
  <c r="Z11" i="8" s="1"/>
  <c r="AA11" i="8" s="1"/>
  <c r="AD11" i="8" s="1"/>
  <c r="Q11" i="8"/>
  <c r="R11" i="8" s="1"/>
  <c r="U11" i="8" s="1"/>
  <c r="AC11" i="8" s="1"/>
  <c r="W10" i="8"/>
  <c r="X10" i="8" s="1"/>
  <c r="Z10" i="8" s="1"/>
  <c r="AA10" i="8" s="1"/>
  <c r="AD10" i="8" s="1"/>
  <c r="W12" i="8"/>
  <c r="X12" i="8" s="1"/>
  <c r="Z12" i="8" s="1"/>
  <c r="AA12" i="8" s="1"/>
  <c r="AD12" i="8" s="1"/>
  <c r="W14" i="8"/>
  <c r="X14" i="8" s="1"/>
  <c r="Z14" i="8" s="1"/>
  <c r="AA14" i="8" s="1"/>
  <c r="AD14" i="8" s="1"/>
  <c r="Q5" i="7"/>
  <c r="R5" i="7" s="1"/>
  <c r="U5" i="7" s="1"/>
  <c r="AC5" i="7" s="1"/>
  <c r="Q7" i="7"/>
  <c r="R7" i="7" s="1"/>
  <c r="U7" i="7" s="1"/>
  <c r="AC7" i="7" s="1"/>
  <c r="Q9" i="7"/>
  <c r="R9" i="7" s="1"/>
  <c r="U9" i="7" s="1"/>
  <c r="AC9" i="7" s="1"/>
  <c r="Q13" i="7"/>
  <c r="R13" i="7" s="1"/>
  <c r="U13" i="7" s="1"/>
  <c r="AC13" i="7" s="1"/>
  <c r="W5" i="7"/>
  <c r="X5" i="7" s="1"/>
  <c r="Z5" i="7" s="1"/>
  <c r="AA5" i="7" s="1"/>
  <c r="AD5" i="7" s="1"/>
  <c r="W7" i="7"/>
  <c r="X7" i="7" s="1"/>
  <c r="Z7" i="7" s="1"/>
  <c r="AA7" i="7" s="1"/>
  <c r="AD7" i="7" s="1"/>
  <c r="W9" i="7"/>
  <c r="X9" i="7" s="1"/>
  <c r="Z9" i="7" s="1"/>
  <c r="AA9" i="7" s="1"/>
  <c r="AD9" i="7" s="1"/>
  <c r="W13" i="7"/>
  <c r="X13" i="7" s="1"/>
  <c r="Z13" i="7" s="1"/>
  <c r="AA13" i="7" s="1"/>
  <c r="AD13" i="7" s="1"/>
  <c r="Q11" i="7"/>
  <c r="R11" i="7" s="1"/>
  <c r="U11" i="7" s="1"/>
  <c r="AC11" i="7" s="1"/>
  <c r="W11" i="7"/>
  <c r="X11" i="7" s="1"/>
  <c r="Z11" i="7" s="1"/>
  <c r="AA11" i="7" s="1"/>
  <c r="AD11" i="7" s="1"/>
  <c r="X4" i="7"/>
  <c r="Z4" i="7" s="1"/>
  <c r="AA4" i="7" s="1"/>
  <c r="AD4" i="7" s="1"/>
  <c r="X6" i="7"/>
  <c r="Z6" i="7" s="1"/>
  <c r="AA6" i="7" s="1"/>
  <c r="AD6" i="7" s="1"/>
  <c r="X8" i="7"/>
  <c r="Z8" i="7" s="1"/>
  <c r="AA8" i="7" s="1"/>
  <c r="AD8" i="7" s="1"/>
  <c r="X10" i="7"/>
  <c r="Z10" i="7" s="1"/>
  <c r="AA10" i="7" s="1"/>
  <c r="AD10" i="7" s="1"/>
  <c r="X12" i="7"/>
  <c r="Z12" i="7" s="1"/>
  <c r="AA12" i="7" s="1"/>
  <c r="AD12" i="7" s="1"/>
  <c r="X14" i="7"/>
  <c r="Z14" i="7" s="1"/>
  <c r="AA14" i="7" s="1"/>
  <c r="AD14" i="7" s="1"/>
  <c r="Q7" i="6"/>
  <c r="R7" i="6" s="1"/>
  <c r="U7" i="6" s="1"/>
  <c r="AC7" i="6" s="1"/>
  <c r="Q9" i="6"/>
  <c r="R9" i="6" s="1"/>
  <c r="U9" i="6" s="1"/>
  <c r="AC9" i="6" s="1"/>
  <c r="W7" i="6"/>
  <c r="X7" i="6" s="1"/>
  <c r="Z7" i="6" s="1"/>
  <c r="AA7" i="6" s="1"/>
  <c r="AD7" i="6" s="1"/>
  <c r="Q11" i="6"/>
  <c r="R11" i="6" s="1"/>
  <c r="U11" i="6" s="1"/>
  <c r="AC11" i="6" s="1"/>
  <c r="Q13" i="6"/>
  <c r="R13" i="6" s="1"/>
  <c r="U13" i="6" s="1"/>
  <c r="AC13" i="6" s="1"/>
  <c r="W9" i="6"/>
  <c r="X9" i="6" s="1"/>
  <c r="Z9" i="6" s="1"/>
  <c r="AA9" i="6" s="1"/>
  <c r="AD9" i="6" s="1"/>
  <c r="W11" i="6"/>
  <c r="X11" i="6" s="1"/>
  <c r="Z11" i="6" s="1"/>
  <c r="AA11" i="6" s="1"/>
  <c r="AD11" i="6" s="1"/>
  <c r="W13" i="6"/>
  <c r="X13" i="6" s="1"/>
  <c r="Z13" i="6" s="1"/>
  <c r="AA13" i="6" s="1"/>
  <c r="AD13" i="6" s="1"/>
  <c r="Q4" i="6"/>
  <c r="R4" i="6" s="1"/>
  <c r="T4" i="6" s="1"/>
  <c r="U4" i="6" s="1"/>
  <c r="AC4" i="6" s="1"/>
  <c r="Q6" i="6"/>
  <c r="R6" i="6" s="1"/>
  <c r="U6" i="6" s="1"/>
  <c r="AC6" i="6" s="1"/>
  <c r="W4" i="6"/>
  <c r="X4" i="6" s="1"/>
  <c r="Z4" i="6" s="1"/>
  <c r="AA4" i="6" s="1"/>
  <c r="AD4" i="6" s="1"/>
  <c r="Q8" i="6"/>
  <c r="R8" i="6" s="1"/>
  <c r="U8" i="6" s="1"/>
  <c r="AC8" i="6" s="1"/>
  <c r="W6" i="6"/>
  <c r="X6" i="6" s="1"/>
  <c r="Z6" i="6" s="1"/>
  <c r="AA6" i="6" s="1"/>
  <c r="AD6" i="6" s="1"/>
  <c r="Q10" i="6"/>
  <c r="R10" i="6" s="1"/>
  <c r="U10" i="6" s="1"/>
  <c r="AC10" i="6" s="1"/>
  <c r="Q12" i="6"/>
  <c r="R12" i="6" s="1"/>
  <c r="U12" i="6" s="1"/>
  <c r="AC12" i="6" s="1"/>
  <c r="W8" i="6"/>
  <c r="X8" i="6" s="1"/>
  <c r="Z8" i="6" s="1"/>
  <c r="AA8" i="6" s="1"/>
  <c r="AD8" i="6" s="1"/>
  <c r="Q14" i="6"/>
  <c r="R14" i="6" s="1"/>
  <c r="U14" i="6" s="1"/>
  <c r="AC14" i="6" s="1"/>
  <c r="W10" i="6"/>
  <c r="X10" i="6" s="1"/>
  <c r="Z10" i="6" s="1"/>
  <c r="AA10" i="6" s="1"/>
  <c r="AD10" i="6" s="1"/>
  <c r="W12" i="6"/>
  <c r="X12" i="6" s="1"/>
  <c r="Z12" i="6" s="1"/>
  <c r="AA12" i="6" s="1"/>
  <c r="AD12" i="6" s="1"/>
  <c r="W14" i="6"/>
  <c r="X14" i="6" s="1"/>
  <c r="Z14" i="6" s="1"/>
  <c r="AA14" i="6" s="1"/>
  <c r="AD14" i="6" s="1"/>
  <c r="Q5" i="5"/>
  <c r="R5" i="5" s="1"/>
  <c r="U5" i="5" s="1"/>
  <c r="AC5" i="5" s="1"/>
  <c r="Q7" i="5"/>
  <c r="R7" i="5" s="1"/>
  <c r="U7" i="5" s="1"/>
  <c r="AC7" i="5" s="1"/>
  <c r="Q9" i="5"/>
  <c r="R9" i="5" s="1"/>
  <c r="U9" i="5" s="1"/>
  <c r="AC9" i="5" s="1"/>
  <c r="Q11" i="5"/>
  <c r="R11" i="5" s="1"/>
  <c r="U11" i="5" s="1"/>
  <c r="AC11" i="5" s="1"/>
  <c r="Q13" i="5"/>
  <c r="R13" i="5" s="1"/>
  <c r="U13" i="5" s="1"/>
  <c r="AC13" i="5" s="1"/>
  <c r="W5" i="5"/>
  <c r="X5" i="5" s="1"/>
  <c r="Z5" i="5" s="1"/>
  <c r="AA5" i="5" s="1"/>
  <c r="AD5" i="5" s="1"/>
  <c r="W7" i="5"/>
  <c r="X7" i="5" s="1"/>
  <c r="Z7" i="5" s="1"/>
  <c r="AA7" i="5" s="1"/>
  <c r="AD7" i="5" s="1"/>
  <c r="W9" i="5"/>
  <c r="X9" i="5" s="1"/>
  <c r="Z9" i="5" s="1"/>
  <c r="AA9" i="5" s="1"/>
  <c r="AD9" i="5" s="1"/>
  <c r="W13" i="5"/>
  <c r="X13" i="5" s="1"/>
  <c r="Z13" i="5" s="1"/>
  <c r="AA13" i="5" s="1"/>
  <c r="AD13" i="5" s="1"/>
  <c r="Q4" i="5"/>
  <c r="R4" i="5" s="1"/>
  <c r="T4" i="5" s="1"/>
  <c r="U4" i="5" s="1"/>
  <c r="AC4" i="5" s="1"/>
  <c r="Q6" i="5"/>
  <c r="R6" i="5" s="1"/>
  <c r="U6" i="5" s="1"/>
  <c r="AC6" i="5" s="1"/>
  <c r="Q8" i="5"/>
  <c r="R8" i="5" s="1"/>
  <c r="U8" i="5" s="1"/>
  <c r="AC8" i="5" s="1"/>
  <c r="Q10" i="5"/>
  <c r="R10" i="5" s="1"/>
  <c r="U10" i="5" s="1"/>
  <c r="AC10" i="5" s="1"/>
  <c r="Q12" i="5"/>
  <c r="R12" i="5" s="1"/>
  <c r="U12" i="5" s="1"/>
  <c r="AC12" i="5" s="1"/>
  <c r="Q14" i="5"/>
  <c r="R14" i="5" s="1"/>
  <c r="U14" i="5" s="1"/>
  <c r="AC14" i="5" s="1"/>
  <c r="W4" i="5"/>
  <c r="X4" i="5" s="1"/>
  <c r="Z4" i="5" s="1"/>
  <c r="AA4" i="5" s="1"/>
  <c r="AD4" i="5" s="1"/>
  <c r="W6" i="5"/>
  <c r="X6" i="5" s="1"/>
  <c r="Z6" i="5" s="1"/>
  <c r="AA6" i="5" s="1"/>
  <c r="AD6" i="5" s="1"/>
  <c r="W8" i="5"/>
  <c r="X8" i="5" s="1"/>
  <c r="Z8" i="5" s="1"/>
  <c r="AA8" i="5" s="1"/>
  <c r="AD8" i="5" s="1"/>
  <c r="W10" i="5"/>
  <c r="X10" i="5" s="1"/>
  <c r="Z10" i="5" s="1"/>
  <c r="AA10" i="5" s="1"/>
  <c r="AD10" i="5" s="1"/>
  <c r="W12" i="5"/>
  <c r="X12" i="5" s="1"/>
  <c r="Z12" i="5" s="1"/>
  <c r="AA12" i="5" s="1"/>
  <c r="AD12" i="5" s="1"/>
  <c r="W14" i="5"/>
  <c r="X14" i="5" s="1"/>
  <c r="Z14" i="5" s="1"/>
  <c r="AA14" i="5" s="1"/>
  <c r="AD14" i="5" s="1"/>
  <c r="W11" i="5"/>
  <c r="X11" i="5" s="1"/>
  <c r="Z11" i="5" s="1"/>
  <c r="AA11" i="5" s="1"/>
  <c r="AD11" i="5" s="1"/>
  <c r="I7" i="4"/>
  <c r="J7" i="4" s="1"/>
  <c r="Q4" i="4"/>
  <c r="R4" i="4" s="1"/>
  <c r="I4" i="5"/>
  <c r="I14" i="5"/>
  <c r="I7" i="5"/>
  <c r="I5" i="5"/>
  <c r="I8" i="5"/>
  <c r="Q9" i="4"/>
  <c r="I5" i="4"/>
  <c r="J5" i="4" s="1"/>
  <c r="J10" i="4"/>
  <c r="W9" i="4"/>
  <c r="I8" i="4"/>
  <c r="J8" i="4" s="1"/>
  <c r="W12" i="4"/>
  <c r="E35" i="4"/>
  <c r="E36" i="4" s="1"/>
  <c r="I11" i="4"/>
  <c r="I4" i="4"/>
  <c r="J4" i="4" s="1"/>
  <c r="X4" i="4" s="1"/>
  <c r="Z4" i="4" s="1"/>
  <c r="W8" i="4"/>
  <c r="W13" i="4"/>
  <c r="W6" i="4"/>
  <c r="J11" i="4"/>
  <c r="I14" i="4"/>
  <c r="J14" i="4" s="1"/>
  <c r="I12" i="46"/>
  <c r="I9" i="46"/>
  <c r="I6" i="46"/>
  <c r="I13" i="46"/>
  <c r="I12" i="45"/>
  <c r="I9" i="45"/>
  <c r="I6" i="45"/>
  <c r="I13" i="45"/>
  <c r="E35" i="44"/>
  <c r="E36" i="44" s="1"/>
  <c r="I12" i="44"/>
  <c r="I9" i="44"/>
  <c r="I6" i="44"/>
  <c r="I13" i="44"/>
  <c r="E35" i="43"/>
  <c r="E36" i="43" s="1"/>
  <c r="I9" i="43"/>
  <c r="I6" i="43"/>
  <c r="I13" i="43"/>
  <c r="I12" i="43"/>
  <c r="I12" i="42"/>
  <c r="I9" i="42"/>
  <c r="I6" i="42"/>
  <c r="I13" i="42"/>
  <c r="E35" i="41"/>
  <c r="E36" i="41" s="1"/>
  <c r="I12" i="41"/>
  <c r="I9" i="41"/>
  <c r="I6" i="41"/>
  <c r="I13" i="41"/>
  <c r="I12" i="40"/>
  <c r="I9" i="40"/>
  <c r="I6" i="40"/>
  <c r="I13" i="40"/>
  <c r="I12" i="39"/>
  <c r="I9" i="39"/>
  <c r="I6" i="39"/>
  <c r="I13" i="39"/>
  <c r="E35" i="38"/>
  <c r="E36" i="38" s="1"/>
  <c r="I9" i="38"/>
  <c r="I6" i="38"/>
  <c r="I12" i="38"/>
  <c r="I13" i="38"/>
  <c r="I12" i="34"/>
  <c r="I9" i="34"/>
  <c r="I6" i="34"/>
  <c r="I13" i="34"/>
  <c r="I12" i="33"/>
  <c r="I9" i="33"/>
  <c r="I6" i="33"/>
  <c r="I13" i="33"/>
  <c r="I12" i="32"/>
  <c r="I9" i="32"/>
  <c r="I6" i="32"/>
  <c r="I13" i="32"/>
  <c r="E35" i="31"/>
  <c r="E36" i="31" s="1"/>
  <c r="I12" i="31"/>
  <c r="I9" i="31"/>
  <c r="I13" i="31"/>
  <c r="I6" i="31"/>
  <c r="I12" i="30"/>
  <c r="I9" i="30"/>
  <c r="I6" i="30"/>
  <c r="I13" i="30"/>
  <c r="I12" i="29"/>
  <c r="I13" i="29"/>
  <c r="I9" i="29"/>
  <c r="I6" i="29"/>
  <c r="E35" i="28"/>
  <c r="E36" i="28" s="1"/>
  <c r="I9" i="28"/>
  <c r="I6" i="28"/>
  <c r="I12" i="28"/>
  <c r="I13" i="28"/>
  <c r="I12" i="27"/>
  <c r="I9" i="27"/>
  <c r="I6" i="27"/>
  <c r="I13" i="27"/>
  <c r="I7" i="26"/>
  <c r="I4" i="26"/>
  <c r="I14" i="26"/>
  <c r="I11" i="26"/>
  <c r="I8" i="26"/>
  <c r="I12" i="26"/>
  <c r="I9" i="26"/>
  <c r="I6" i="26"/>
  <c r="I13" i="26"/>
  <c r="I7" i="36"/>
  <c r="I4" i="36"/>
  <c r="I14" i="36"/>
  <c r="I11" i="36"/>
  <c r="I8" i="36"/>
  <c r="I9" i="36"/>
  <c r="I6" i="36"/>
  <c r="I12" i="36"/>
  <c r="I13" i="36"/>
  <c r="I9" i="22"/>
  <c r="I6" i="22"/>
  <c r="I12" i="22"/>
  <c r="I13" i="22"/>
  <c r="E35" i="24"/>
  <c r="E36" i="24" s="1"/>
  <c r="I12" i="24"/>
  <c r="I9" i="24"/>
  <c r="I6" i="24"/>
  <c r="I13" i="24"/>
  <c r="I4" i="25"/>
  <c r="I14" i="25"/>
  <c r="I7" i="21"/>
  <c r="I4" i="21"/>
  <c r="I14" i="21"/>
  <c r="I11" i="21"/>
  <c r="I8" i="21"/>
  <c r="I12" i="21"/>
  <c r="I9" i="21"/>
  <c r="I6" i="21"/>
  <c r="I13" i="21"/>
  <c r="I12" i="20"/>
  <c r="I9" i="20"/>
  <c r="I6" i="20"/>
  <c r="I12" i="19"/>
  <c r="I9" i="19"/>
  <c r="I12" i="18"/>
  <c r="I9" i="18"/>
  <c r="I6" i="18"/>
  <c r="I13" i="18"/>
  <c r="I12" i="17"/>
  <c r="I9" i="17"/>
  <c r="I6" i="17"/>
  <c r="I13" i="17"/>
  <c r="I9" i="16"/>
  <c r="I6" i="16"/>
  <c r="I12" i="16"/>
  <c r="I13" i="16"/>
  <c r="E35" i="15"/>
  <c r="E36" i="15" s="1"/>
  <c r="I12" i="15"/>
  <c r="I6" i="15"/>
  <c r="I13" i="15"/>
  <c r="I9" i="15"/>
  <c r="I12" i="14"/>
  <c r="I9" i="14"/>
  <c r="I12" i="11"/>
  <c r="I9" i="11"/>
  <c r="I6" i="11"/>
  <c r="I13" i="11"/>
  <c r="I12" i="10"/>
  <c r="I9" i="10"/>
  <c r="I12" i="9"/>
  <c r="I9" i="9"/>
  <c r="E35" i="8"/>
  <c r="E36" i="8" s="1"/>
  <c r="I10" i="8"/>
  <c r="I7" i="8"/>
  <c r="I4" i="8"/>
  <c r="I12" i="8"/>
  <c r="I14" i="8"/>
  <c r="I9" i="8"/>
  <c r="I6" i="8"/>
  <c r="I13" i="8"/>
  <c r="I12" i="7"/>
  <c r="I9" i="7"/>
  <c r="I12" i="6"/>
  <c r="I9" i="6"/>
  <c r="I6" i="6"/>
  <c r="I13" i="6"/>
  <c r="I12" i="5"/>
  <c r="I9" i="5"/>
  <c r="I6" i="5"/>
  <c r="Q11" i="4"/>
  <c r="R11" i="4" s="1"/>
  <c r="T11" i="4" s="1"/>
  <c r="W11" i="4"/>
  <c r="Q7" i="4"/>
  <c r="W5" i="4"/>
  <c r="Q10" i="4"/>
  <c r="Q8" i="4"/>
  <c r="Q14" i="4"/>
  <c r="W14" i="4"/>
  <c r="Q5" i="4"/>
  <c r="W7" i="4"/>
  <c r="W10" i="4"/>
  <c r="X10" i="4" s="1"/>
  <c r="Z10" i="4" s="1"/>
  <c r="Q6" i="4"/>
  <c r="Q13" i="4"/>
  <c r="I12" i="4"/>
  <c r="J12" i="4" s="1"/>
  <c r="R12" i="4" s="1"/>
  <c r="T12" i="4" s="1"/>
  <c r="I9" i="4"/>
  <c r="J9" i="4" s="1"/>
  <c r="I13" i="4"/>
  <c r="J13" i="4" s="1"/>
  <c r="I6" i="4"/>
  <c r="J6" i="4" s="1"/>
  <c r="I7" i="3"/>
  <c r="I14" i="3"/>
  <c r="I5" i="3"/>
  <c r="I10" i="3"/>
  <c r="I8" i="3"/>
  <c r="I4" i="3"/>
  <c r="I11" i="3"/>
  <c r="I12" i="3"/>
  <c r="I9" i="3"/>
  <c r="I6" i="3"/>
  <c r="I7" i="13"/>
  <c r="I5" i="13"/>
  <c r="I14" i="13"/>
  <c r="I8" i="13"/>
  <c r="I4" i="13"/>
  <c r="I11" i="13"/>
  <c r="I6" i="13"/>
  <c r="I13" i="13"/>
  <c r="I12" i="13"/>
  <c r="I9" i="13"/>
  <c r="E35" i="1"/>
  <c r="E36" i="1" s="1"/>
  <c r="I8" i="1"/>
  <c r="I9" i="1"/>
  <c r="I10" i="1"/>
  <c r="I11" i="1"/>
  <c r="I12" i="1"/>
  <c r="I13" i="1"/>
  <c r="I14" i="1"/>
  <c r="I4" i="1"/>
  <c r="I5" i="1"/>
  <c r="I6" i="1"/>
  <c r="R13" i="4" l="1"/>
  <c r="T13" i="4" s="1"/>
  <c r="X6" i="4"/>
  <c r="Z6" i="4" s="1"/>
  <c r="X7" i="4"/>
  <c r="Z7" i="4" s="1"/>
  <c r="X13" i="4"/>
  <c r="Z13" i="4" s="1"/>
  <c r="R5" i="4"/>
  <c r="T5" i="4" s="1"/>
  <c r="X8" i="4"/>
  <c r="Z8" i="4" s="1"/>
  <c r="X14" i="4"/>
  <c r="Z14" i="4" s="1"/>
  <c r="R14" i="4"/>
  <c r="T14" i="4" s="1"/>
  <c r="R8" i="4"/>
  <c r="T8" i="4" s="1"/>
  <c r="R10" i="4"/>
  <c r="T10" i="4" s="1"/>
  <c r="X12" i="4"/>
  <c r="Z12" i="4" s="1"/>
  <c r="R9" i="4"/>
  <c r="T9" i="4" s="1"/>
  <c r="R6" i="4"/>
  <c r="T6" i="4" s="1"/>
  <c r="X5" i="4"/>
  <c r="Z5" i="4" s="1"/>
  <c r="AA5" i="4" s="1"/>
  <c r="AD5" i="4" s="1"/>
  <c r="R7" i="4"/>
  <c r="T7" i="4" s="1"/>
  <c r="X9" i="4"/>
  <c r="Z9" i="4" s="1"/>
  <c r="X11" i="4"/>
  <c r="Z11" i="4" s="1"/>
  <c r="R13" i="35"/>
  <c r="U13" i="35" s="1"/>
  <c r="AC13" i="35" s="1"/>
  <c r="R11" i="35"/>
  <c r="U11" i="35" s="1"/>
  <c r="AC11" i="35" s="1"/>
  <c r="R4" i="35"/>
  <c r="T4" i="35" s="1"/>
  <c r="U4" i="35" s="1"/>
  <c r="AC4" i="35" s="1"/>
  <c r="X4" i="35"/>
  <c r="Z4" i="35" s="1"/>
  <c r="AA4" i="35" s="1"/>
  <c r="AD4" i="35" s="1"/>
  <c r="K8" i="35"/>
  <c r="L8" i="35" s="1"/>
  <c r="K14" i="35"/>
  <c r="L14" i="35" s="1"/>
  <c r="R14" i="35" s="1"/>
  <c r="U14" i="35" s="1"/>
  <c r="AC14" i="35" s="1"/>
  <c r="K13" i="35"/>
  <c r="L13" i="35" s="1"/>
  <c r="X13" i="35" s="1"/>
  <c r="Z13" i="35" s="1"/>
  <c r="AA13" i="35" s="1"/>
  <c r="AD13" i="35" s="1"/>
  <c r="K7" i="35"/>
  <c r="L7" i="35" s="1"/>
  <c r="R7" i="35" s="1"/>
  <c r="U7" i="35" s="1"/>
  <c r="AC7" i="35" s="1"/>
  <c r="K12" i="35"/>
  <c r="L12" i="35" s="1"/>
  <c r="X12" i="35" s="1"/>
  <c r="Z12" i="35" s="1"/>
  <c r="AA12" i="35" s="1"/>
  <c r="AD12" i="35" s="1"/>
  <c r="K9" i="35"/>
  <c r="L9" i="35" s="1"/>
  <c r="R9" i="35" s="1"/>
  <c r="U9" i="35" s="1"/>
  <c r="AC9" i="35" s="1"/>
  <c r="K6" i="35"/>
  <c r="L6" i="35" s="1"/>
  <c r="K5" i="35"/>
  <c r="L5" i="35" s="1"/>
  <c r="R5" i="35" s="1"/>
  <c r="U5" i="35" s="1"/>
  <c r="AC5" i="35" s="1"/>
  <c r="K11" i="35"/>
  <c r="L11" i="35" s="1"/>
  <c r="X11" i="35" s="1"/>
  <c r="Z11" i="35" s="1"/>
  <c r="AA11" i="35" s="1"/>
  <c r="AD11" i="35" s="1"/>
  <c r="K4" i="35"/>
  <c r="L4" i="35" s="1"/>
  <c r="K10" i="35"/>
  <c r="L10" i="35" s="1"/>
  <c r="X10" i="35" s="1"/>
  <c r="Z10" i="35" s="1"/>
  <c r="AA10" i="35" s="1"/>
  <c r="AD10" i="35" s="1"/>
  <c r="K8" i="37"/>
  <c r="L8" i="37" s="1"/>
  <c r="K11" i="37"/>
  <c r="L11" i="37" s="1"/>
  <c r="K6" i="37"/>
  <c r="L6" i="37" s="1"/>
  <c r="K13" i="37"/>
  <c r="L13" i="37" s="1"/>
  <c r="K4" i="37"/>
  <c r="L4" i="37" s="1"/>
  <c r="K9" i="37"/>
  <c r="L9" i="37" s="1"/>
  <c r="K14" i="37"/>
  <c r="L14" i="37" s="1"/>
  <c r="K7" i="37"/>
  <c r="L7" i="37" s="1"/>
  <c r="K5" i="37"/>
  <c r="L5" i="37" s="1"/>
  <c r="X5" i="37" s="1"/>
  <c r="Z5" i="37" s="1"/>
  <c r="AA5" i="37" s="1"/>
  <c r="AD5" i="37" s="1"/>
  <c r="K12" i="37"/>
  <c r="L12" i="37" s="1"/>
  <c r="X12" i="37" s="1"/>
  <c r="Z12" i="37" s="1"/>
  <c r="AA12" i="37" s="1"/>
  <c r="AD12" i="37" s="1"/>
  <c r="K10" i="37"/>
  <c r="L10" i="37" s="1"/>
  <c r="R14" i="37"/>
  <c r="U14" i="37" s="1"/>
  <c r="AC14" i="37" s="1"/>
  <c r="R10" i="37"/>
  <c r="U10" i="37" s="1"/>
  <c r="AC10" i="37" s="1"/>
  <c r="X10" i="37"/>
  <c r="Z10" i="37" s="1"/>
  <c r="AA10" i="37" s="1"/>
  <c r="AD10" i="37" s="1"/>
  <c r="R5" i="37"/>
  <c r="U5" i="37" s="1"/>
  <c r="AC5" i="37" s="1"/>
  <c r="X14" i="37"/>
  <c r="Z14" i="37" s="1"/>
  <c r="AA14" i="37" s="1"/>
  <c r="AD14" i="37" s="1"/>
  <c r="K4" i="4"/>
  <c r="L4" i="4" s="1"/>
  <c r="K10" i="4"/>
  <c r="L10" i="4" s="1"/>
  <c r="U10" i="4" s="1"/>
  <c r="AC10" i="4" s="1"/>
  <c r="K13" i="4"/>
  <c r="L13" i="4" s="1"/>
  <c r="AA13" i="4" s="1"/>
  <c r="AD13" i="4" s="1"/>
  <c r="K5" i="4"/>
  <c r="L5" i="4" s="1"/>
  <c r="K11" i="4"/>
  <c r="L11" i="4" s="1"/>
  <c r="AA11" i="4" s="1"/>
  <c r="AD11" i="4" s="1"/>
  <c r="K12" i="4"/>
  <c r="L12" i="4" s="1"/>
  <c r="K6" i="4"/>
  <c r="L6" i="4" s="1"/>
  <c r="K7" i="4"/>
  <c r="L7" i="4" s="1"/>
  <c r="K8" i="4"/>
  <c r="L8" i="4" s="1"/>
  <c r="K9" i="4"/>
  <c r="L9" i="4" s="1"/>
  <c r="K14" i="4"/>
  <c r="L14" i="4" s="1"/>
  <c r="U14" i="4" s="1"/>
  <c r="AC14" i="4" s="1"/>
  <c r="AA8" i="4"/>
  <c r="AD8" i="4" s="1"/>
  <c r="U8" i="4"/>
  <c r="AC8" i="4" s="1"/>
  <c r="AA6" i="4"/>
  <c r="AD6" i="4" s="1"/>
  <c r="U12" i="4"/>
  <c r="AC12" i="4" s="1"/>
  <c r="AA9" i="4"/>
  <c r="AD9" i="4" s="1"/>
  <c r="U5" i="4"/>
  <c r="AC5" i="4" s="1"/>
  <c r="AA10" i="4"/>
  <c r="AD10" i="4" s="1"/>
  <c r="U9" i="4" l="1"/>
  <c r="AC9" i="4" s="1"/>
  <c r="AA12" i="4"/>
  <c r="AD12" i="4" s="1"/>
  <c r="AA7" i="4"/>
  <c r="AD7" i="4" s="1"/>
  <c r="U6" i="4"/>
  <c r="AC6" i="4" s="1"/>
  <c r="R10" i="35"/>
  <c r="U10" i="35" s="1"/>
  <c r="AC10" i="35" s="1"/>
  <c r="R6" i="35"/>
  <c r="U6" i="35" s="1"/>
  <c r="AC6" i="35" s="1"/>
  <c r="X6" i="35"/>
  <c r="Z6" i="35" s="1"/>
  <c r="AA6" i="35" s="1"/>
  <c r="AD6" i="35" s="1"/>
  <c r="R8" i="35"/>
  <c r="U8" i="35" s="1"/>
  <c r="AC8" i="35" s="1"/>
  <c r="X8" i="35"/>
  <c r="Z8" i="35" s="1"/>
  <c r="AA8" i="35" s="1"/>
  <c r="AD8" i="35" s="1"/>
  <c r="X7" i="35"/>
  <c r="Z7" i="35" s="1"/>
  <c r="AA7" i="35" s="1"/>
  <c r="AD7" i="35" s="1"/>
  <c r="X5" i="35"/>
  <c r="Z5" i="35" s="1"/>
  <c r="AA5" i="35" s="1"/>
  <c r="AD5" i="35" s="1"/>
  <c r="X14" i="35"/>
  <c r="Z14" i="35" s="1"/>
  <c r="AA14" i="35" s="1"/>
  <c r="AD14" i="35" s="1"/>
  <c r="X9" i="35"/>
  <c r="Z9" i="35" s="1"/>
  <c r="AA9" i="35" s="1"/>
  <c r="AD9" i="35" s="1"/>
  <c r="R12" i="35"/>
  <c r="U12" i="35" s="1"/>
  <c r="AC12" i="35" s="1"/>
  <c r="R12" i="37"/>
  <c r="U12" i="37" s="1"/>
  <c r="AC12" i="37" s="1"/>
  <c r="R7" i="37"/>
  <c r="U7" i="37" s="1"/>
  <c r="AC7" i="37" s="1"/>
  <c r="X7" i="37"/>
  <c r="Z7" i="37" s="1"/>
  <c r="AA7" i="37" s="1"/>
  <c r="AD7" i="37" s="1"/>
  <c r="R9" i="37"/>
  <c r="U9" i="37" s="1"/>
  <c r="AC9" i="37" s="1"/>
  <c r="X9" i="37"/>
  <c r="Z9" i="37" s="1"/>
  <c r="AA9" i="37" s="1"/>
  <c r="AD9" i="37" s="1"/>
  <c r="R4" i="37"/>
  <c r="T4" i="37" s="1"/>
  <c r="U4" i="37" s="1"/>
  <c r="AC4" i="37" s="1"/>
  <c r="X4" i="37"/>
  <c r="Z4" i="37" s="1"/>
  <c r="AA4" i="37" s="1"/>
  <c r="AD4" i="37" s="1"/>
  <c r="R13" i="37"/>
  <c r="U13" i="37" s="1"/>
  <c r="AC13" i="37" s="1"/>
  <c r="X13" i="37"/>
  <c r="Z13" i="37" s="1"/>
  <c r="AA13" i="37" s="1"/>
  <c r="AD13" i="37" s="1"/>
  <c r="X6" i="37"/>
  <c r="Z6" i="37" s="1"/>
  <c r="AA6" i="37" s="1"/>
  <c r="AD6" i="37" s="1"/>
  <c r="R6" i="37"/>
  <c r="U6" i="37" s="1"/>
  <c r="AC6" i="37" s="1"/>
  <c r="R11" i="37"/>
  <c r="U11" i="37" s="1"/>
  <c r="AC11" i="37" s="1"/>
  <c r="X11" i="37"/>
  <c r="Z11" i="37" s="1"/>
  <c r="AA11" i="37" s="1"/>
  <c r="AD11" i="37" s="1"/>
  <c r="R8" i="37"/>
  <c r="U8" i="37" s="1"/>
  <c r="AC8" i="37" s="1"/>
  <c r="X8" i="37"/>
  <c r="Z8" i="37" s="1"/>
  <c r="AA8" i="37" s="1"/>
  <c r="AD8" i="37" s="1"/>
  <c r="U11" i="4"/>
  <c r="AC11" i="4" s="1"/>
  <c r="AA4" i="4"/>
  <c r="AD4" i="4" s="1"/>
  <c r="U7" i="4"/>
  <c r="AC7" i="4" s="1"/>
  <c r="U13" i="4"/>
  <c r="AC13" i="4" s="1"/>
  <c r="T4" i="4" l="1"/>
  <c r="U4" i="4" s="1"/>
  <c r="AC4" i="4" s="1"/>
  <c r="AA14" i="4"/>
  <c r="AD14" i="4" s="1"/>
</calcChain>
</file>

<file path=xl/sharedStrings.xml><?xml version="1.0" encoding="utf-8"?>
<sst xmlns="http://schemas.openxmlformats.org/spreadsheetml/2006/main" count="3856" uniqueCount="133">
  <si>
    <t>capacità</t>
  </si>
  <si>
    <t>peso da disegni (PP + PE + PETG)</t>
  </si>
  <si>
    <t>Da 1.000</t>
  </si>
  <si>
    <t>Da 3.000</t>
  </si>
  <si>
    <t>Da 5.000</t>
  </si>
  <si>
    <t>Da 10.000</t>
  </si>
  <si>
    <t>Da 15.000</t>
  </si>
  <si>
    <t>Da 20.000</t>
  </si>
  <si>
    <t>Da 30.000</t>
  </si>
  <si>
    <t>Da 40.000</t>
  </si>
  <si>
    <t>Da 50.000</t>
  </si>
  <si>
    <t>Da 100.000</t>
  </si>
  <si>
    <t>Da 150.000</t>
  </si>
  <si>
    <t>Fino a 2.999</t>
  </si>
  <si>
    <t>Fino a 4.999</t>
  </si>
  <si>
    <t>Fino a 9.999</t>
  </si>
  <si>
    <t>Fino a 14.999</t>
  </si>
  <si>
    <t>Fino a 19.999</t>
  </si>
  <si>
    <t>Fino a 29.999</t>
  </si>
  <si>
    <t>Fino a 39.999</t>
  </si>
  <si>
    <t>Fino a 49.999</t>
  </si>
  <si>
    <t>Fino a 99.999</t>
  </si>
  <si>
    <t>Fino a 150.000</t>
  </si>
  <si>
    <t>Fino a 300.000</t>
  </si>
  <si>
    <t xml:space="preserve">LOTTO </t>
  </si>
  <si>
    <t>VENDITE</t>
  </si>
  <si>
    <t>LOTTO COSTO</t>
  </si>
  <si>
    <t>Fase attrezzaggio</t>
  </si>
  <si>
    <t>Ore uomo</t>
  </si>
  <si>
    <t>Costo RSU</t>
  </si>
  <si>
    <t>Velocità macchina (pz/h)</t>
  </si>
  <si>
    <t>RSU (Unit.)</t>
  </si>
  <si>
    <t>Costo orario macchina</t>
  </si>
  <si>
    <t>Costo orario RSU</t>
  </si>
  <si>
    <t>Ricarico costo industriale</t>
  </si>
  <si>
    <t>MATERIE PRIME</t>
  </si>
  <si>
    <t>% utilizzo</t>
  </si>
  <si>
    <t>Fornitore</t>
  </si>
  <si>
    <t>IMBALLO TERZIARIO (pz.)</t>
  </si>
  <si>
    <t>UNITARIO</t>
  </si>
  <si>
    <t>COSTO ULTIMO MP (euro/Kg)</t>
  </si>
  <si>
    <t>COSTO SCATOLE</t>
  </si>
  <si>
    <t>PEZZI PER SCATOLA</t>
  </si>
  <si>
    <t>COSTO SACCHI</t>
  </si>
  <si>
    <t>COSTO ULTIMO MASTER (euro/Kg)</t>
  </si>
  <si>
    <t>TOTALE COSTO (euro/Kg)</t>
  </si>
  <si>
    <t>NUMERO VELINE</t>
  </si>
  <si>
    <t>COSTO VELINE</t>
  </si>
  <si>
    <t>FILM ESTENSIBILE</t>
  </si>
  <si>
    <t>NA</t>
  </si>
  <si>
    <t>COSTO FILM</t>
  </si>
  <si>
    <t>Peso flacone con sfrido (Gr)</t>
  </si>
  <si>
    <t>Peso materiale (Kg)</t>
  </si>
  <si>
    <t>Costo MP</t>
  </si>
  <si>
    <t>COSTO ATTREZZAGGIO</t>
  </si>
  <si>
    <t>SFRIDO</t>
  </si>
  <si>
    <t>_</t>
  </si>
  <si>
    <t>CAPACITA'</t>
  </si>
  <si>
    <t>PESO</t>
  </si>
  <si>
    <t>TABELLE DI CALCOLO</t>
  </si>
  <si>
    <t>DATI FISSI</t>
  </si>
  <si>
    <t>COSTO KG MP</t>
  </si>
  <si>
    <t>EURO / KG)</t>
  </si>
  <si>
    <t>SCATOLA</t>
  </si>
  <si>
    <t>BX01.0005</t>
  </si>
  <si>
    <t>SACCHETTO</t>
  </si>
  <si>
    <t>BX02.0001</t>
  </si>
  <si>
    <t>PEHD</t>
  </si>
  <si>
    <t>RM01.0001</t>
  </si>
  <si>
    <t>PP</t>
  </si>
  <si>
    <t>RM03.0012</t>
  </si>
  <si>
    <t>1.95</t>
  </si>
  <si>
    <t>PELD</t>
  </si>
  <si>
    <t>RM02.0010</t>
  </si>
  <si>
    <t>SOFT</t>
  </si>
  <si>
    <t>RM03.0003</t>
  </si>
  <si>
    <t>MASTER NERO</t>
  </si>
  <si>
    <t>MASTER BIANCO</t>
  </si>
  <si>
    <t>RM05.0330</t>
  </si>
  <si>
    <t>RM05.0729</t>
  </si>
  <si>
    <t>MASTER COLORATO</t>
  </si>
  <si>
    <t>MEDIO</t>
  </si>
  <si>
    <t>PETG</t>
  </si>
  <si>
    <t>PER SCHEDA</t>
  </si>
  <si>
    <t>-</t>
  </si>
  <si>
    <t>USO LD</t>
  </si>
  <si>
    <t>TOTALE SCATOLE</t>
  </si>
  <si>
    <t>PEZZI PALLET</t>
  </si>
  <si>
    <t>TOTALE SACCHETTI</t>
  </si>
  <si>
    <t>VELINA</t>
  </si>
  <si>
    <t>BX02.0003</t>
  </si>
  <si>
    <t>RM07.0006</t>
  </si>
  <si>
    <t>RM07.0012</t>
  </si>
  <si>
    <t>PETG SUCANO</t>
  </si>
  <si>
    <t>MASTER BIANCO PETG</t>
  </si>
  <si>
    <t>RM05.0674</t>
  </si>
  <si>
    <t>COSTO IMBALLO</t>
  </si>
  <si>
    <t>COSTO IMBALLO PALLET</t>
  </si>
  <si>
    <t>COSTO AL PZ</t>
  </si>
  <si>
    <t>COSTO IMBALLO AL PEZZO</t>
  </si>
  <si>
    <t>VELOCITA'</t>
  </si>
  <si>
    <t>ORE LAV</t>
  </si>
  <si>
    <t>RICARICO COSTI IND</t>
  </si>
  <si>
    <t>RICARICO VENDITE</t>
  </si>
  <si>
    <t>TOTALE COSTO CON RICARICO INDUSTRIALE ALLINEATO</t>
  </si>
  <si>
    <t>COSTO UNITARIO ALLINEATO</t>
  </si>
  <si>
    <t>PREZZO DI VENDITA ALLINEATO</t>
  </si>
  <si>
    <t>TOTALE COSTO ALLINEATO</t>
  </si>
  <si>
    <t>COSTO MACCHINA + UOMO ALLINEATO</t>
  </si>
  <si>
    <t>COSTO MACCHINA + UOMO RINFUSA</t>
  </si>
  <si>
    <t>COSTO UOMO E MACCHINA RINFUSA</t>
  </si>
  <si>
    <t>TOTALE COSTO CON RICARICO INDUSTRIALE RINFUSA</t>
  </si>
  <si>
    <t>COSTO UNITARIO RINFUSA</t>
  </si>
  <si>
    <t>PREZZO DI VENDITA RINFUSA</t>
  </si>
  <si>
    <t>300 / 350</t>
  </si>
  <si>
    <t>300 / 350 / 400</t>
  </si>
  <si>
    <t>COSTO tot UOMO E MACCHINA ALLINEATO</t>
  </si>
  <si>
    <t>materiale</t>
  </si>
  <si>
    <t>colorato custom</t>
  </si>
  <si>
    <t xml:space="preserve">nero </t>
  </si>
  <si>
    <t xml:space="preserve">bianco </t>
  </si>
  <si>
    <t>neutro</t>
  </si>
  <si>
    <t>pp</t>
  </si>
  <si>
    <t>pe</t>
  </si>
  <si>
    <t>petg</t>
  </si>
  <si>
    <t>pe pcr</t>
  </si>
  <si>
    <t>attrezzaggio</t>
  </si>
  <si>
    <t>addetto maccchina</t>
  </si>
  <si>
    <t>imballo allineato</t>
  </si>
  <si>
    <t>imballo alla rinfusa</t>
  </si>
  <si>
    <t>ricarico costo industriale</t>
  </si>
  <si>
    <t>tot costi rinfusa</t>
  </si>
  <si>
    <t>TOTALE COSTO CON RICARICO INDUSTRIALE allineato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</si>
</sst>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0\€"/>
    <numFmt numFmtId="166" formatCode="0.000000"/>
  </numFmts>
  <fonts count="15" x14ac:knownFonts="1">
    <font>
      <sz val="11"/>
      <color theme="1"/>
      <name val="Aptos Narrow"/>
      <family val="2"/>
      <scheme val="minor"/>
    </font>
    <font>
      <b/>
      <sz val="8"/>
      <color rgb="FF000000"/>
      <name val="Aptos Narrow"/>
      <family val="2"/>
      <scheme val="minor"/>
    </font>
    <font>
      <sz val="6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sz val="9"/>
      <name val="Arial"/>
      <family val="2"/>
    </font>
    <font>
      <b/>
      <sz val="11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name val="Calibri"/>
      <family val="2"/>
    </font>
    <font>
      <b/>
      <sz val="10"/>
      <color rgb="FF00000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2E61B4"/>
        <bgColor rgb="FF3C78D8"/>
      </patternFill>
    </fill>
    <fill>
      <patternFill patternType="solid">
        <fgColor rgb="FFC9DAF8"/>
        <bgColor rgb="FFC0C0C0"/>
      </patternFill>
    </fill>
    <fill>
      <patternFill patternType="solid">
        <fgColor rgb="FF00FFFF"/>
        <bgColor rgb="FF00FFFF"/>
      </patternFill>
    </fill>
    <fill>
      <patternFill patternType="solid">
        <fgColor rgb="FFE6B8AF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C0C0C0"/>
      </patternFill>
    </fill>
    <fill>
      <patternFill patternType="solid">
        <fgColor theme="4" tint="0.79998168889431442"/>
        <bgColor rgb="FF3C78D8"/>
      </patternFill>
    </fill>
    <fill>
      <patternFill patternType="solid">
        <fgColor theme="7"/>
        <bgColor rgb="FFC0C0C0"/>
      </patternFill>
    </fill>
    <fill>
      <patternFill patternType="solid">
        <fgColor theme="6"/>
        <bgColor rgb="FF3C78D8"/>
      </patternFill>
    </fill>
    <fill>
      <patternFill patternType="solid">
        <fgColor theme="6"/>
        <bgColor rgb="FFC0C0C0"/>
      </patternFill>
    </fill>
    <fill>
      <patternFill patternType="solid">
        <fgColor theme="6" tint="0.79998168889431442"/>
        <bgColor rgb="FFC0C0C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49" fontId="8" fillId="9" borderId="3" xfId="0" applyNumberFormat="1" applyFont="1" applyFill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6" fillId="14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17" borderId="3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9" fontId="7" fillId="9" borderId="3" xfId="0" applyNumberFormat="1" applyFont="1" applyFill="1" applyBorder="1" applyAlignment="1">
      <alignment horizontal="center" vertical="center" wrapText="1"/>
    </xf>
    <xf numFmtId="1" fontId="7" fillId="9" borderId="3" xfId="0" applyNumberFormat="1" applyFont="1" applyFill="1" applyBorder="1" applyAlignment="1">
      <alignment horizontal="center" vertical="center" wrapText="1"/>
    </xf>
    <xf numFmtId="2" fontId="7" fillId="7" borderId="3" xfId="0" applyNumberFormat="1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16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7" fillId="6" borderId="13" xfId="0" applyFont="1" applyFill="1" applyBorder="1" applyAlignment="1">
      <alignment horizontal="center" vertical="center" wrapText="1"/>
    </xf>
    <xf numFmtId="0" fontId="7" fillId="6" borderId="14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29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12" fillId="3" borderId="30" xfId="0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31" xfId="0" applyFont="1" applyFill="1" applyBorder="1" applyAlignment="1">
      <alignment horizontal="center" vertical="center" wrapText="1"/>
    </xf>
    <xf numFmtId="0" fontId="12" fillId="4" borderId="32" xfId="0" applyFont="1" applyFill="1" applyBorder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0" fontId="9" fillId="8" borderId="17" xfId="0" applyFont="1" applyFill="1" applyBorder="1" applyAlignment="1">
      <alignment horizontal="center" vertical="center" wrapText="1"/>
    </xf>
    <xf numFmtId="0" fontId="9" fillId="8" borderId="18" xfId="0" applyFont="1" applyFill="1" applyBorder="1" applyAlignment="1">
      <alignment horizontal="center" vertical="center" wrapText="1"/>
    </xf>
    <xf numFmtId="0" fontId="9" fillId="8" borderId="19" xfId="0" applyFont="1" applyFill="1" applyBorder="1" applyAlignment="1">
      <alignment horizontal="center" vertical="center" wrapText="1"/>
    </xf>
    <xf numFmtId="0" fontId="13" fillId="11" borderId="20" xfId="0" applyFont="1" applyFill="1" applyBorder="1" applyAlignment="1">
      <alignment horizontal="center" vertical="center" wrapText="1"/>
    </xf>
    <xf numFmtId="165" fontId="8" fillId="10" borderId="0" xfId="0" applyNumberFormat="1" applyFont="1" applyFill="1" applyAlignment="1">
      <alignment horizontal="center" vertical="center" wrapText="1"/>
    </xf>
    <xf numFmtId="0" fontId="8" fillId="10" borderId="6" xfId="0" applyFont="1" applyFill="1" applyBorder="1" applyAlignment="1">
      <alignment horizontal="center" vertical="center" wrapText="1"/>
    </xf>
    <xf numFmtId="0" fontId="8" fillId="10" borderId="27" xfId="0" applyFont="1" applyFill="1" applyBorder="1" applyAlignment="1">
      <alignment horizontal="center" vertical="center" wrapText="1"/>
    </xf>
    <xf numFmtId="0" fontId="9" fillId="8" borderId="22" xfId="0" applyFont="1" applyFill="1" applyBorder="1" applyAlignment="1">
      <alignment horizontal="center" vertical="center" wrapText="1"/>
    </xf>
    <xf numFmtId="165" fontId="12" fillId="10" borderId="28" xfId="0" applyNumberFormat="1" applyFont="1" applyFill="1" applyBorder="1" applyAlignment="1">
      <alignment horizontal="center" vertical="center" wrapText="1"/>
    </xf>
    <xf numFmtId="0" fontId="14" fillId="12" borderId="10" xfId="0" applyFont="1" applyFill="1" applyBorder="1" applyAlignment="1">
      <alignment horizontal="center" vertical="center" wrapText="1"/>
    </xf>
    <xf numFmtId="0" fontId="14" fillId="12" borderId="11" xfId="0" applyFont="1" applyFill="1" applyBorder="1" applyAlignment="1">
      <alignment horizontal="center" vertical="center" wrapText="1"/>
    </xf>
    <xf numFmtId="0" fontId="10" fillId="13" borderId="17" xfId="0" applyFont="1" applyFill="1" applyBorder="1" applyAlignment="1">
      <alignment horizontal="center" vertical="center" wrapText="1"/>
    </xf>
    <xf numFmtId="0" fontId="12" fillId="13" borderId="2" xfId="0" applyFont="1" applyFill="1" applyBorder="1" applyAlignment="1">
      <alignment horizontal="center" vertical="center" wrapText="1"/>
    </xf>
    <xf numFmtId="0" fontId="12" fillId="13" borderId="18" xfId="0" applyFont="1" applyFill="1" applyBorder="1" applyAlignment="1">
      <alignment horizontal="center" vertical="center" wrapText="1"/>
    </xf>
    <xf numFmtId="0" fontId="10" fillId="13" borderId="19" xfId="0" applyFont="1" applyFill="1" applyBorder="1" applyAlignment="1">
      <alignment horizontal="center" vertical="center" wrapText="1"/>
    </xf>
    <xf numFmtId="0" fontId="10" fillId="13" borderId="8" xfId="0" applyFont="1" applyFill="1" applyBorder="1" applyAlignment="1">
      <alignment horizontal="center" vertical="center" wrapText="1"/>
    </xf>
    <xf numFmtId="0" fontId="10" fillId="13" borderId="20" xfId="0" applyFont="1" applyFill="1" applyBorder="1" applyAlignment="1">
      <alignment horizontal="center" vertical="center" wrapText="1"/>
    </xf>
    <xf numFmtId="0" fontId="12" fillId="15" borderId="6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165" fontId="12" fillId="14" borderId="21" xfId="0" applyNumberFormat="1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165" fontId="12" fillId="15" borderId="21" xfId="0" applyNumberFormat="1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21" xfId="0" applyFont="1" applyFill="1" applyBorder="1" applyAlignment="1">
      <alignment horizontal="center" vertical="center" wrapText="1"/>
    </xf>
    <xf numFmtId="0" fontId="12" fillId="15" borderId="21" xfId="0" applyFont="1" applyFill="1" applyBorder="1" applyAlignment="1">
      <alignment horizontal="center" vertical="center" wrapText="1"/>
    </xf>
    <xf numFmtId="0" fontId="10" fillId="13" borderId="22" xfId="0" applyFont="1" applyFill="1" applyBorder="1" applyAlignment="1">
      <alignment horizontal="center" vertical="center" wrapText="1"/>
    </xf>
    <xf numFmtId="0" fontId="12" fillId="15" borderId="23" xfId="0" applyFont="1" applyFill="1" applyBorder="1" applyAlignment="1">
      <alignment horizontal="center" vertical="center" wrapText="1"/>
    </xf>
    <xf numFmtId="0" fontId="10" fillId="13" borderId="24" xfId="0" applyFont="1" applyFill="1" applyBorder="1" applyAlignment="1">
      <alignment horizontal="center" vertical="center" wrapText="1"/>
    </xf>
    <xf numFmtId="165" fontId="12" fillId="15" borderId="25" xfId="0" applyNumberFormat="1" applyFont="1" applyFill="1" applyBorder="1" applyAlignment="1">
      <alignment horizontal="center" vertical="center" wrapText="1"/>
    </xf>
    <xf numFmtId="165" fontId="7" fillId="16" borderId="16" xfId="0" applyNumberFormat="1" applyFont="1" applyFill="1" applyBorder="1" applyAlignment="1">
      <alignment horizontal="center" vertical="center" wrapText="1"/>
    </xf>
    <xf numFmtId="0" fontId="9" fillId="16" borderId="12" xfId="0" applyFont="1" applyFill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16" borderId="9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9" fillId="6" borderId="33" xfId="0" applyFont="1" applyFill="1" applyBorder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 wrapText="1"/>
    </xf>
    <xf numFmtId="0" fontId="7" fillId="6" borderId="34" xfId="0" applyFont="1" applyFill="1" applyBorder="1" applyAlignment="1">
      <alignment horizontal="center" vertical="center" wrapText="1"/>
    </xf>
    <xf numFmtId="166" fontId="7" fillId="0" borderId="0" xfId="0" applyNumberFormat="1" applyFont="1" applyAlignment="1">
      <alignment horizontal="center" vertical="center" wrapText="1"/>
    </xf>
    <xf numFmtId="166" fontId="5" fillId="5" borderId="3" xfId="0" applyNumberFormat="1" applyFont="1" applyFill="1" applyBorder="1" applyAlignment="1">
      <alignment horizontal="center" vertical="center" wrapText="1"/>
    </xf>
    <xf numFmtId="166" fontId="7" fillId="7" borderId="3" xfId="0" applyNumberFormat="1" applyFont="1" applyFill="1" applyBorder="1" applyAlignment="1">
      <alignment horizontal="center" vertical="center" wrapText="1"/>
    </xf>
    <xf numFmtId="166" fontId="7" fillId="7" borderId="0" xfId="0" applyNumberFormat="1" applyFont="1" applyFill="1" applyAlignment="1">
      <alignment horizontal="center" vertical="center" wrapText="1"/>
    </xf>
    <xf numFmtId="166" fontId="7" fillId="9" borderId="0" xfId="0" applyNumberFormat="1" applyFont="1" applyFill="1" applyAlignment="1">
      <alignment horizontal="center" vertical="center" wrapText="1"/>
    </xf>
    <xf numFmtId="0" fontId="9" fillId="18" borderId="3" xfId="0" applyFont="1" applyFill="1" applyBorder="1" applyAlignment="1">
      <alignment horizontal="center" vertical="center" wrapText="1"/>
    </xf>
    <xf numFmtId="0" fontId="9" fillId="19" borderId="3" xfId="0" applyFont="1" applyFill="1" applyBorder="1" applyAlignment="1">
      <alignment horizontal="center" vertical="center" wrapText="1"/>
    </xf>
    <xf numFmtId="2" fontId="7" fillId="16" borderId="3" xfId="0" applyNumberFormat="1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 wrapText="1"/>
    </xf>
    <xf numFmtId="0" fontId="9" fillId="20" borderId="3" xfId="0" applyFont="1" applyFill="1" applyBorder="1" applyAlignment="1">
      <alignment horizontal="center" vertical="center" wrapText="1"/>
    </xf>
    <xf numFmtId="2" fontId="7" fillId="7" borderId="7" xfId="0" applyNumberFormat="1" applyFont="1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/>
    </xf>
    <xf numFmtId="0" fontId="10" fillId="2" borderId="35" xfId="0" applyFont="1" applyFill="1" applyBorder="1" applyAlignment="1">
      <alignment horizontal="center" vertical="center" wrapText="1"/>
    </xf>
    <xf numFmtId="0" fontId="12" fillId="2" borderId="37" xfId="0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 vertical="center" wrapText="1"/>
    </xf>
    <xf numFmtId="0" fontId="10" fillId="2" borderId="38" xfId="0" applyFont="1" applyFill="1" applyBorder="1" applyAlignment="1">
      <alignment horizontal="center" vertical="center" wrapText="1"/>
    </xf>
    <xf numFmtId="0" fontId="10" fillId="2" borderId="39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115</xdr:row>
      <xdr:rowOff>9525</xdr:rowOff>
    </xdr:from>
    <xdr:to>
      <xdr:col>22</xdr:col>
      <xdr:colOff>734261</xdr:colOff>
      <xdr:row>168</xdr:row>
      <xdr:rowOff>107758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5DD37233-56D6-4F4D-B95E-9723577AB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945600"/>
          <a:ext cx="22043591" cy="101871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1362911</xdr:colOff>
      <xdr:row>162</xdr:row>
      <xdr:rowOff>155383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A87D327A-1806-4249-94EB-462373374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945600"/>
          <a:ext cx="16099991" cy="91050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1362911</xdr:colOff>
      <xdr:row>162</xdr:row>
      <xdr:rowOff>155383</xdr:rowOff>
    </xdr:to>
    <xdr:pic>
      <xdr:nvPicPr>
        <xdr:cNvPr id="10" name="Immagine 9">
          <a:extLst>
            <a:ext uri="{FF2B5EF4-FFF2-40B4-BE49-F238E27FC236}">
              <a16:creationId xmlns:a16="http://schemas.microsoft.com/office/drawing/2014/main" id="{1BBC7FB1-280C-4027-A83A-B43CA28C6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945600"/>
          <a:ext cx="16099991" cy="91050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1362911</xdr:colOff>
      <xdr:row>160</xdr:row>
      <xdr:rowOff>107758</xdr:rowOff>
    </xdr:to>
    <xdr:pic>
      <xdr:nvPicPr>
        <xdr:cNvPr id="12" name="Immagine 11">
          <a:extLst>
            <a:ext uri="{FF2B5EF4-FFF2-40B4-BE49-F238E27FC236}">
              <a16:creationId xmlns:a16="http://schemas.microsoft.com/office/drawing/2014/main" id="{C2DEF1B7-AF17-40D8-AC34-1D20F8AEE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945600"/>
          <a:ext cx="16099991" cy="86707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654251</xdr:colOff>
      <xdr:row>155</xdr:row>
      <xdr:rowOff>151573</xdr:rowOff>
    </xdr:to>
    <xdr:pic>
      <xdr:nvPicPr>
        <xdr:cNvPr id="14" name="Immagine 13">
          <a:extLst>
            <a:ext uri="{FF2B5EF4-FFF2-40B4-BE49-F238E27FC236}">
              <a16:creationId xmlns:a16="http://schemas.microsoft.com/office/drawing/2014/main" id="{A23512A0-E64C-421A-884F-5FC90E259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945600"/>
          <a:ext cx="11756591" cy="77639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654251</xdr:colOff>
      <xdr:row>155</xdr:row>
      <xdr:rowOff>151573</xdr:rowOff>
    </xdr:to>
    <xdr:pic>
      <xdr:nvPicPr>
        <xdr:cNvPr id="16" name="Immagine 15">
          <a:extLst>
            <a:ext uri="{FF2B5EF4-FFF2-40B4-BE49-F238E27FC236}">
              <a16:creationId xmlns:a16="http://schemas.microsoft.com/office/drawing/2014/main" id="{BC4EC7FF-9FE1-4AE0-800B-F4C5E4B65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945600"/>
          <a:ext cx="11756591" cy="77639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734261</xdr:colOff>
      <xdr:row>168</xdr:row>
      <xdr:rowOff>107758</xdr:rowOff>
    </xdr:to>
    <xdr:pic>
      <xdr:nvPicPr>
        <xdr:cNvPr id="18" name="Immagine 17">
          <a:extLst>
            <a:ext uri="{FF2B5EF4-FFF2-40B4-BE49-F238E27FC236}">
              <a16:creationId xmlns:a16="http://schemas.microsoft.com/office/drawing/2014/main" id="{D94B3DA5-E22F-406C-8F42-3F2CD958F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945600"/>
          <a:ext cx="22043591" cy="101871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1362911</xdr:colOff>
      <xdr:row>162</xdr:row>
      <xdr:rowOff>155383</xdr:rowOff>
    </xdr:to>
    <xdr:pic>
      <xdr:nvPicPr>
        <xdr:cNvPr id="20" name="Immagine 19">
          <a:extLst>
            <a:ext uri="{FF2B5EF4-FFF2-40B4-BE49-F238E27FC236}">
              <a16:creationId xmlns:a16="http://schemas.microsoft.com/office/drawing/2014/main" id="{7BAB25B9-1889-44FD-912F-B98BF61CD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945600"/>
          <a:ext cx="16099991" cy="91050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1362911</xdr:colOff>
      <xdr:row>162</xdr:row>
      <xdr:rowOff>155383</xdr:rowOff>
    </xdr:to>
    <xdr:pic>
      <xdr:nvPicPr>
        <xdr:cNvPr id="22" name="Immagine 21">
          <a:extLst>
            <a:ext uri="{FF2B5EF4-FFF2-40B4-BE49-F238E27FC236}">
              <a16:creationId xmlns:a16="http://schemas.microsoft.com/office/drawing/2014/main" id="{31B4ED48-F637-4582-B63F-D28FD6807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945600"/>
          <a:ext cx="16099991" cy="91050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75</xdr:row>
      <xdr:rowOff>0</xdr:rowOff>
    </xdr:from>
    <xdr:to>
      <xdr:col>23</xdr:col>
      <xdr:colOff>362738</xdr:colOff>
      <xdr:row>122</xdr:row>
      <xdr:rowOff>41042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58B8D66A-217A-4E63-B8CD-643EC66B4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6691743" cy="89945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743786</xdr:colOff>
      <xdr:row>160</xdr:row>
      <xdr:rowOff>31558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BDF47B8B-6DA6-47B5-B597-E2179601A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6082191" cy="85831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117</xdr:row>
      <xdr:rowOff>41042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48709E29-96C5-4762-BC24-D60EC5A75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0591933" cy="80420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1380056</xdr:colOff>
      <xdr:row>155</xdr:row>
      <xdr:rowOff>69658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D6ED6064-B3E9-4243-B01D-075B294EB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0024291" cy="76687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117</xdr:row>
      <xdr:rowOff>41042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31D69908-289D-49C7-B926-6C911F5D1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0591933" cy="80420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1380056</xdr:colOff>
      <xdr:row>155</xdr:row>
      <xdr:rowOff>69658</xdr:rowOff>
    </xdr:to>
    <xdr:pic>
      <xdr:nvPicPr>
        <xdr:cNvPr id="10" name="Immagine 9">
          <a:extLst>
            <a:ext uri="{FF2B5EF4-FFF2-40B4-BE49-F238E27FC236}">
              <a16:creationId xmlns:a16="http://schemas.microsoft.com/office/drawing/2014/main" id="{C2EA6F66-DA2E-484F-B14D-35EBF311D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0024291" cy="76687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115</xdr:row>
      <xdr:rowOff>41042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AE6FA324-FD7F-4075-8554-B1CF070B1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0591933" cy="76686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1380056</xdr:colOff>
      <xdr:row>153</xdr:row>
      <xdr:rowOff>69658</xdr:rowOff>
    </xdr:to>
    <xdr:pic>
      <xdr:nvPicPr>
        <xdr:cNvPr id="12" name="Immagine 11">
          <a:extLst>
            <a:ext uri="{FF2B5EF4-FFF2-40B4-BE49-F238E27FC236}">
              <a16:creationId xmlns:a16="http://schemas.microsoft.com/office/drawing/2014/main" id="{62EB4537-2031-4903-BA01-17015C7E4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0024291" cy="73029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1035203</xdr:colOff>
      <xdr:row>111</xdr:row>
      <xdr:rowOff>2942</xdr:rowOff>
    </xdr:to>
    <xdr:pic>
      <xdr:nvPicPr>
        <xdr:cNvPr id="13" name="Immagine 12">
          <a:extLst>
            <a:ext uri="{FF2B5EF4-FFF2-40B4-BE49-F238E27FC236}">
              <a16:creationId xmlns:a16="http://schemas.microsoft.com/office/drawing/2014/main" id="{15EA0F76-314B-440B-9F46-D08E9CD35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15808478" cy="68685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654251</xdr:colOff>
      <xdr:row>149</xdr:row>
      <xdr:rowOff>75373</xdr:rowOff>
    </xdr:to>
    <xdr:pic>
      <xdr:nvPicPr>
        <xdr:cNvPr id="14" name="Immagine 13">
          <a:extLst>
            <a:ext uri="{FF2B5EF4-FFF2-40B4-BE49-F238E27FC236}">
              <a16:creationId xmlns:a16="http://schemas.microsoft.com/office/drawing/2014/main" id="{78EED8D5-43E8-4B5A-8C50-900BF9186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15427526" cy="65447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1035203</xdr:colOff>
      <xdr:row>111</xdr:row>
      <xdr:rowOff>2942</xdr:rowOff>
    </xdr:to>
    <xdr:pic>
      <xdr:nvPicPr>
        <xdr:cNvPr id="15" name="Immagine 14">
          <a:extLst>
            <a:ext uri="{FF2B5EF4-FFF2-40B4-BE49-F238E27FC236}">
              <a16:creationId xmlns:a16="http://schemas.microsoft.com/office/drawing/2014/main" id="{1FD2F7DE-B472-4CB6-B0C4-33FE86470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15808478" cy="68685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654251</xdr:colOff>
      <xdr:row>149</xdr:row>
      <xdr:rowOff>75373</xdr:rowOff>
    </xdr:to>
    <xdr:pic>
      <xdr:nvPicPr>
        <xdr:cNvPr id="16" name="Immagine 15">
          <a:extLst>
            <a:ext uri="{FF2B5EF4-FFF2-40B4-BE49-F238E27FC236}">
              <a16:creationId xmlns:a16="http://schemas.microsoft.com/office/drawing/2014/main" id="{E6B9E014-672A-455B-9469-0398DCD44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15427526" cy="65447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23</xdr:col>
      <xdr:colOff>362738</xdr:colOff>
      <xdr:row>122</xdr:row>
      <xdr:rowOff>41042</xdr:rowOff>
    </xdr:to>
    <xdr:pic>
      <xdr:nvPicPr>
        <xdr:cNvPr id="17" name="Immagine 16">
          <a:extLst>
            <a:ext uri="{FF2B5EF4-FFF2-40B4-BE49-F238E27FC236}">
              <a16:creationId xmlns:a16="http://schemas.microsoft.com/office/drawing/2014/main" id="{CAF22A65-C7BB-4485-8196-D263B30BF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6691743" cy="89945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743786</xdr:colOff>
      <xdr:row>160</xdr:row>
      <xdr:rowOff>31558</xdr:rowOff>
    </xdr:to>
    <xdr:pic>
      <xdr:nvPicPr>
        <xdr:cNvPr id="18" name="Immagine 17">
          <a:extLst>
            <a:ext uri="{FF2B5EF4-FFF2-40B4-BE49-F238E27FC236}">
              <a16:creationId xmlns:a16="http://schemas.microsoft.com/office/drawing/2014/main" id="{8A940F61-2A87-46BB-9027-F7762E716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6082191" cy="85831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117</xdr:row>
      <xdr:rowOff>41042</xdr:rowOff>
    </xdr:to>
    <xdr:pic>
      <xdr:nvPicPr>
        <xdr:cNvPr id="19" name="Immagine 18">
          <a:extLst>
            <a:ext uri="{FF2B5EF4-FFF2-40B4-BE49-F238E27FC236}">
              <a16:creationId xmlns:a16="http://schemas.microsoft.com/office/drawing/2014/main" id="{740E393D-4588-478B-895A-2F6A6C523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0591933" cy="80420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1380056</xdr:colOff>
      <xdr:row>155</xdr:row>
      <xdr:rowOff>69658</xdr:rowOff>
    </xdr:to>
    <xdr:pic>
      <xdr:nvPicPr>
        <xdr:cNvPr id="20" name="Immagine 19">
          <a:extLst>
            <a:ext uri="{FF2B5EF4-FFF2-40B4-BE49-F238E27FC236}">
              <a16:creationId xmlns:a16="http://schemas.microsoft.com/office/drawing/2014/main" id="{7CA6A497-8A2C-4B7B-8652-2056B995F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0024291" cy="76687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117</xdr:row>
      <xdr:rowOff>41042</xdr:rowOff>
    </xdr:to>
    <xdr:pic>
      <xdr:nvPicPr>
        <xdr:cNvPr id="21" name="Immagine 20">
          <a:extLst>
            <a:ext uri="{FF2B5EF4-FFF2-40B4-BE49-F238E27FC236}">
              <a16:creationId xmlns:a16="http://schemas.microsoft.com/office/drawing/2014/main" id="{300E4054-5AFA-45DB-A269-483690DD25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0591933" cy="80420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1380056</xdr:colOff>
      <xdr:row>155</xdr:row>
      <xdr:rowOff>69658</xdr:rowOff>
    </xdr:to>
    <xdr:pic>
      <xdr:nvPicPr>
        <xdr:cNvPr id="22" name="Immagine 21">
          <a:extLst>
            <a:ext uri="{FF2B5EF4-FFF2-40B4-BE49-F238E27FC236}">
              <a16:creationId xmlns:a16="http://schemas.microsoft.com/office/drawing/2014/main" id="{B0F556A5-67D2-44B4-948C-A3E280165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0024291" cy="766870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115</xdr:row>
      <xdr:rowOff>9525</xdr:rowOff>
    </xdr:from>
    <xdr:to>
      <xdr:col>22</xdr:col>
      <xdr:colOff>739976</xdr:colOff>
      <xdr:row>152</xdr:row>
      <xdr:rowOff>155383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E7E16E37-7CAF-4F93-8A66-80F1107C6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05320"/>
          <a:ext cx="26089811" cy="7226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148</xdr:row>
      <xdr:rowOff>155383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1EEDC5A7-CE19-4F39-8459-C58BF234E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05320"/>
          <a:ext cx="20031911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148</xdr:row>
      <xdr:rowOff>155383</xdr:rowOff>
    </xdr:to>
    <xdr:pic>
      <xdr:nvPicPr>
        <xdr:cNvPr id="10" name="Immagine 9">
          <a:extLst>
            <a:ext uri="{FF2B5EF4-FFF2-40B4-BE49-F238E27FC236}">
              <a16:creationId xmlns:a16="http://schemas.microsoft.com/office/drawing/2014/main" id="{E74B2590-CCB5-42C2-81FE-FD6884D63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05320"/>
          <a:ext cx="20031911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147</xdr:row>
      <xdr:rowOff>69658</xdr:rowOff>
    </xdr:to>
    <xdr:pic>
      <xdr:nvPicPr>
        <xdr:cNvPr id="12" name="Immagine 11">
          <a:extLst>
            <a:ext uri="{FF2B5EF4-FFF2-40B4-BE49-F238E27FC236}">
              <a16:creationId xmlns:a16="http://schemas.microsoft.com/office/drawing/2014/main" id="{118D8380-E818-4163-9D63-83D440CE6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05320"/>
          <a:ext cx="20031911" cy="61447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654251</xdr:colOff>
      <xdr:row>144</xdr:row>
      <xdr:rowOff>1078</xdr:rowOff>
    </xdr:to>
    <xdr:pic>
      <xdr:nvPicPr>
        <xdr:cNvPr id="14" name="Immagine 13">
          <a:extLst>
            <a:ext uri="{FF2B5EF4-FFF2-40B4-BE49-F238E27FC236}">
              <a16:creationId xmlns:a16="http://schemas.microsoft.com/office/drawing/2014/main" id="{E135B519-0B34-44FC-A8E0-65508937C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05320"/>
          <a:ext cx="15427526" cy="55084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654251</xdr:colOff>
      <xdr:row>144</xdr:row>
      <xdr:rowOff>1078</xdr:rowOff>
    </xdr:to>
    <xdr:pic>
      <xdr:nvPicPr>
        <xdr:cNvPr id="16" name="Immagine 15">
          <a:extLst>
            <a:ext uri="{FF2B5EF4-FFF2-40B4-BE49-F238E27FC236}">
              <a16:creationId xmlns:a16="http://schemas.microsoft.com/office/drawing/2014/main" id="{98AE2231-AF7C-4FE3-805B-F7A28814D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05320"/>
          <a:ext cx="15427526" cy="55084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739976</xdr:colOff>
      <xdr:row>152</xdr:row>
      <xdr:rowOff>155383</xdr:rowOff>
    </xdr:to>
    <xdr:pic>
      <xdr:nvPicPr>
        <xdr:cNvPr id="18" name="Immagine 17">
          <a:extLst>
            <a:ext uri="{FF2B5EF4-FFF2-40B4-BE49-F238E27FC236}">
              <a16:creationId xmlns:a16="http://schemas.microsoft.com/office/drawing/2014/main" id="{E49946BB-D475-436B-8FE4-304BD7178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05320"/>
          <a:ext cx="26089811" cy="7226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148</xdr:row>
      <xdr:rowOff>155383</xdr:rowOff>
    </xdr:to>
    <xdr:pic>
      <xdr:nvPicPr>
        <xdr:cNvPr id="20" name="Immagine 19">
          <a:extLst>
            <a:ext uri="{FF2B5EF4-FFF2-40B4-BE49-F238E27FC236}">
              <a16:creationId xmlns:a16="http://schemas.microsoft.com/office/drawing/2014/main" id="{1DC2AA4D-E8ED-4012-888D-7F20CE9FF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05320"/>
          <a:ext cx="20031911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148</xdr:row>
      <xdr:rowOff>155383</xdr:rowOff>
    </xdr:to>
    <xdr:pic>
      <xdr:nvPicPr>
        <xdr:cNvPr id="22" name="Immagine 21">
          <a:extLst>
            <a:ext uri="{FF2B5EF4-FFF2-40B4-BE49-F238E27FC236}">
              <a16:creationId xmlns:a16="http://schemas.microsoft.com/office/drawing/2014/main" id="{B53B4369-FA00-4499-8D6E-E2970DEC0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05320"/>
          <a:ext cx="20031911" cy="646474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115</xdr:row>
      <xdr:rowOff>9525</xdr:rowOff>
    </xdr:from>
    <xdr:to>
      <xdr:col>22</xdr:col>
      <xdr:colOff>739976</xdr:colOff>
      <xdr:row>160</xdr:row>
      <xdr:rowOff>31558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946FB6AD-5ED3-4C1A-B152-B1F675906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05320"/>
          <a:ext cx="26082191" cy="85831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1378151</xdr:colOff>
      <xdr:row>155</xdr:row>
      <xdr:rowOff>69658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C7675EED-9492-48C4-BEC3-61E2821CB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05320"/>
          <a:ext cx="20024291" cy="76687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1378151</xdr:colOff>
      <xdr:row>155</xdr:row>
      <xdr:rowOff>69658</xdr:rowOff>
    </xdr:to>
    <xdr:pic>
      <xdr:nvPicPr>
        <xdr:cNvPr id="10" name="Immagine 9">
          <a:extLst>
            <a:ext uri="{FF2B5EF4-FFF2-40B4-BE49-F238E27FC236}">
              <a16:creationId xmlns:a16="http://schemas.microsoft.com/office/drawing/2014/main" id="{0BB1C0BF-9930-4D19-8452-10A1B73A3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05320"/>
          <a:ext cx="20024291" cy="76687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1378151</xdr:colOff>
      <xdr:row>153</xdr:row>
      <xdr:rowOff>69658</xdr:rowOff>
    </xdr:to>
    <xdr:pic>
      <xdr:nvPicPr>
        <xdr:cNvPr id="12" name="Immagine 11">
          <a:extLst>
            <a:ext uri="{FF2B5EF4-FFF2-40B4-BE49-F238E27FC236}">
              <a16:creationId xmlns:a16="http://schemas.microsoft.com/office/drawing/2014/main" id="{7919F5BD-66CD-47D4-A142-F4F4858F5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05320"/>
          <a:ext cx="20024291" cy="73029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654251</xdr:colOff>
      <xdr:row>149</xdr:row>
      <xdr:rowOff>75373</xdr:rowOff>
    </xdr:to>
    <xdr:pic>
      <xdr:nvPicPr>
        <xdr:cNvPr id="14" name="Immagine 13">
          <a:extLst>
            <a:ext uri="{FF2B5EF4-FFF2-40B4-BE49-F238E27FC236}">
              <a16:creationId xmlns:a16="http://schemas.microsoft.com/office/drawing/2014/main" id="{66E390C6-09E3-4495-85CA-F4736DB18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05320"/>
          <a:ext cx="15427526" cy="65447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654251</xdr:colOff>
      <xdr:row>149</xdr:row>
      <xdr:rowOff>75373</xdr:rowOff>
    </xdr:to>
    <xdr:pic>
      <xdr:nvPicPr>
        <xdr:cNvPr id="16" name="Immagine 15">
          <a:extLst>
            <a:ext uri="{FF2B5EF4-FFF2-40B4-BE49-F238E27FC236}">
              <a16:creationId xmlns:a16="http://schemas.microsoft.com/office/drawing/2014/main" id="{CA46D139-E848-4092-B657-62B6EC746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05320"/>
          <a:ext cx="15427526" cy="65447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739976</xdr:colOff>
      <xdr:row>160</xdr:row>
      <xdr:rowOff>31558</xdr:rowOff>
    </xdr:to>
    <xdr:pic>
      <xdr:nvPicPr>
        <xdr:cNvPr id="18" name="Immagine 17">
          <a:extLst>
            <a:ext uri="{FF2B5EF4-FFF2-40B4-BE49-F238E27FC236}">
              <a16:creationId xmlns:a16="http://schemas.microsoft.com/office/drawing/2014/main" id="{C6D6D0BA-1ED9-4375-B603-7407B1783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05320"/>
          <a:ext cx="26082191" cy="85831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1378151</xdr:colOff>
      <xdr:row>155</xdr:row>
      <xdr:rowOff>69658</xdr:rowOff>
    </xdr:to>
    <xdr:pic>
      <xdr:nvPicPr>
        <xdr:cNvPr id="20" name="Immagine 19">
          <a:extLst>
            <a:ext uri="{FF2B5EF4-FFF2-40B4-BE49-F238E27FC236}">
              <a16:creationId xmlns:a16="http://schemas.microsoft.com/office/drawing/2014/main" id="{F9C7C9BD-6A65-4316-945D-E84975731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05320"/>
          <a:ext cx="20024291" cy="76687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1378151</xdr:colOff>
      <xdr:row>155</xdr:row>
      <xdr:rowOff>69658</xdr:rowOff>
    </xdr:to>
    <xdr:pic>
      <xdr:nvPicPr>
        <xdr:cNvPr id="22" name="Immagine 21">
          <a:extLst>
            <a:ext uri="{FF2B5EF4-FFF2-40B4-BE49-F238E27FC236}">
              <a16:creationId xmlns:a16="http://schemas.microsoft.com/office/drawing/2014/main" id="{AC4B427D-6591-42D7-9F20-CF58E979F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05320"/>
          <a:ext cx="20024291" cy="766870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115</xdr:row>
      <xdr:rowOff>9525</xdr:rowOff>
    </xdr:from>
    <xdr:to>
      <xdr:col>22</xdr:col>
      <xdr:colOff>749501</xdr:colOff>
      <xdr:row>152</xdr:row>
      <xdr:rowOff>155383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A71585CF-9FEC-47D5-A604-F48CB5CEA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05320"/>
          <a:ext cx="26089811" cy="7226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1381961</xdr:colOff>
      <xdr:row>148</xdr:row>
      <xdr:rowOff>155383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30FAAC10-53BB-4CEA-8429-5D73FA707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05320"/>
          <a:ext cx="20031911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1381961</xdr:colOff>
      <xdr:row>148</xdr:row>
      <xdr:rowOff>155383</xdr:rowOff>
    </xdr:to>
    <xdr:pic>
      <xdr:nvPicPr>
        <xdr:cNvPr id="10" name="Immagine 9">
          <a:extLst>
            <a:ext uri="{FF2B5EF4-FFF2-40B4-BE49-F238E27FC236}">
              <a16:creationId xmlns:a16="http://schemas.microsoft.com/office/drawing/2014/main" id="{02EF7200-5841-4F12-8ACD-FD3F35BAB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05320"/>
          <a:ext cx="20031911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1381961</xdr:colOff>
      <xdr:row>147</xdr:row>
      <xdr:rowOff>69658</xdr:rowOff>
    </xdr:to>
    <xdr:pic>
      <xdr:nvPicPr>
        <xdr:cNvPr id="12" name="Immagine 11">
          <a:extLst>
            <a:ext uri="{FF2B5EF4-FFF2-40B4-BE49-F238E27FC236}">
              <a16:creationId xmlns:a16="http://schemas.microsoft.com/office/drawing/2014/main" id="{881C1DD8-5711-430E-9602-BCFFAC33C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05320"/>
          <a:ext cx="20031911" cy="61447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654251</xdr:colOff>
      <xdr:row>144</xdr:row>
      <xdr:rowOff>1078</xdr:rowOff>
    </xdr:to>
    <xdr:pic>
      <xdr:nvPicPr>
        <xdr:cNvPr id="14" name="Immagine 13">
          <a:extLst>
            <a:ext uri="{FF2B5EF4-FFF2-40B4-BE49-F238E27FC236}">
              <a16:creationId xmlns:a16="http://schemas.microsoft.com/office/drawing/2014/main" id="{3B41E372-A44D-4CCC-A14C-2E0815352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05320"/>
          <a:ext cx="15427526" cy="55084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654251</xdr:colOff>
      <xdr:row>144</xdr:row>
      <xdr:rowOff>1078</xdr:rowOff>
    </xdr:to>
    <xdr:pic>
      <xdr:nvPicPr>
        <xdr:cNvPr id="16" name="Immagine 15">
          <a:extLst>
            <a:ext uri="{FF2B5EF4-FFF2-40B4-BE49-F238E27FC236}">
              <a16:creationId xmlns:a16="http://schemas.microsoft.com/office/drawing/2014/main" id="{D99F6D13-6B4E-48D1-BD1B-94CB38AC0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05320"/>
          <a:ext cx="15427526" cy="55084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749501</xdr:colOff>
      <xdr:row>152</xdr:row>
      <xdr:rowOff>155383</xdr:rowOff>
    </xdr:to>
    <xdr:pic>
      <xdr:nvPicPr>
        <xdr:cNvPr id="18" name="Immagine 17">
          <a:extLst>
            <a:ext uri="{FF2B5EF4-FFF2-40B4-BE49-F238E27FC236}">
              <a16:creationId xmlns:a16="http://schemas.microsoft.com/office/drawing/2014/main" id="{6E7FF2ED-9C02-4F3E-BFA3-0E926D777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05320"/>
          <a:ext cx="26089811" cy="7226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1381961</xdr:colOff>
      <xdr:row>148</xdr:row>
      <xdr:rowOff>155383</xdr:rowOff>
    </xdr:to>
    <xdr:pic>
      <xdr:nvPicPr>
        <xdr:cNvPr id="20" name="Immagine 19">
          <a:extLst>
            <a:ext uri="{FF2B5EF4-FFF2-40B4-BE49-F238E27FC236}">
              <a16:creationId xmlns:a16="http://schemas.microsoft.com/office/drawing/2014/main" id="{CB101321-5600-4CC2-B046-E21B489A9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05320"/>
          <a:ext cx="20031911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1381961</xdr:colOff>
      <xdr:row>148</xdr:row>
      <xdr:rowOff>155383</xdr:rowOff>
    </xdr:to>
    <xdr:pic>
      <xdr:nvPicPr>
        <xdr:cNvPr id="22" name="Immagine 21">
          <a:extLst>
            <a:ext uri="{FF2B5EF4-FFF2-40B4-BE49-F238E27FC236}">
              <a16:creationId xmlns:a16="http://schemas.microsoft.com/office/drawing/2014/main" id="{5BA785AA-58BE-420E-AE2D-59663F223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05320"/>
          <a:ext cx="20031911" cy="646474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115</xdr:row>
      <xdr:rowOff>9525</xdr:rowOff>
    </xdr:from>
    <xdr:to>
      <xdr:col>22</xdr:col>
      <xdr:colOff>749501</xdr:colOff>
      <xdr:row>146</xdr:row>
      <xdr:rowOff>155383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9C8A3A78-5689-443A-A4F6-9E4528E89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05320"/>
          <a:ext cx="26095526" cy="60685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1381961</xdr:colOff>
      <xdr:row>143</xdr:row>
      <xdr:rowOff>107758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DDD62E07-BF10-4882-A2B7-F6479EE3D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05320"/>
          <a:ext cx="20037626" cy="54284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1381961</xdr:colOff>
      <xdr:row>143</xdr:row>
      <xdr:rowOff>107758</xdr:rowOff>
    </xdr:to>
    <xdr:pic>
      <xdr:nvPicPr>
        <xdr:cNvPr id="10" name="Immagine 9">
          <a:extLst>
            <a:ext uri="{FF2B5EF4-FFF2-40B4-BE49-F238E27FC236}">
              <a16:creationId xmlns:a16="http://schemas.microsoft.com/office/drawing/2014/main" id="{08FF6620-2CAD-4749-AF1D-5CFD0996E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05320"/>
          <a:ext cx="20037626" cy="54284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1381961</xdr:colOff>
      <xdr:row>142</xdr:row>
      <xdr:rowOff>41083</xdr:rowOff>
    </xdr:to>
    <xdr:pic>
      <xdr:nvPicPr>
        <xdr:cNvPr id="12" name="Immagine 11">
          <a:extLst>
            <a:ext uri="{FF2B5EF4-FFF2-40B4-BE49-F238E27FC236}">
              <a16:creationId xmlns:a16="http://schemas.microsoft.com/office/drawing/2014/main" id="{F4F21195-A2A2-4A9D-8CA5-C654BFE2F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05320"/>
          <a:ext cx="20037626" cy="51845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654251</xdr:colOff>
      <xdr:row>139</xdr:row>
      <xdr:rowOff>69658</xdr:rowOff>
    </xdr:to>
    <xdr:pic>
      <xdr:nvPicPr>
        <xdr:cNvPr id="14" name="Immagine 13">
          <a:extLst>
            <a:ext uri="{FF2B5EF4-FFF2-40B4-BE49-F238E27FC236}">
              <a16:creationId xmlns:a16="http://schemas.microsoft.com/office/drawing/2014/main" id="{2C6A80AC-C7C9-411C-8C0B-518E9ABA9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05320"/>
          <a:ext cx="15427526" cy="46340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654251</xdr:colOff>
      <xdr:row>139</xdr:row>
      <xdr:rowOff>69658</xdr:rowOff>
    </xdr:to>
    <xdr:pic>
      <xdr:nvPicPr>
        <xdr:cNvPr id="16" name="Immagine 15">
          <a:extLst>
            <a:ext uri="{FF2B5EF4-FFF2-40B4-BE49-F238E27FC236}">
              <a16:creationId xmlns:a16="http://schemas.microsoft.com/office/drawing/2014/main" id="{644BA94C-603F-41D3-8BAE-A2EC51DDC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05320"/>
          <a:ext cx="15427526" cy="46340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749501</xdr:colOff>
      <xdr:row>146</xdr:row>
      <xdr:rowOff>155383</xdr:rowOff>
    </xdr:to>
    <xdr:pic>
      <xdr:nvPicPr>
        <xdr:cNvPr id="18" name="Immagine 17">
          <a:extLst>
            <a:ext uri="{FF2B5EF4-FFF2-40B4-BE49-F238E27FC236}">
              <a16:creationId xmlns:a16="http://schemas.microsoft.com/office/drawing/2014/main" id="{BE0419E8-1322-48AB-8C5A-273A9B93D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05320"/>
          <a:ext cx="26095526" cy="60685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1381961</xdr:colOff>
      <xdr:row>143</xdr:row>
      <xdr:rowOff>107758</xdr:rowOff>
    </xdr:to>
    <xdr:pic>
      <xdr:nvPicPr>
        <xdr:cNvPr id="20" name="Immagine 19">
          <a:extLst>
            <a:ext uri="{FF2B5EF4-FFF2-40B4-BE49-F238E27FC236}">
              <a16:creationId xmlns:a16="http://schemas.microsoft.com/office/drawing/2014/main" id="{4C7CF739-3893-423F-8349-A54566265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05320"/>
          <a:ext cx="20037626" cy="54284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1381961</xdr:colOff>
      <xdr:row>143</xdr:row>
      <xdr:rowOff>107758</xdr:rowOff>
    </xdr:to>
    <xdr:pic>
      <xdr:nvPicPr>
        <xdr:cNvPr id="22" name="Immagine 21">
          <a:extLst>
            <a:ext uri="{FF2B5EF4-FFF2-40B4-BE49-F238E27FC236}">
              <a16:creationId xmlns:a16="http://schemas.microsoft.com/office/drawing/2014/main" id="{C713EE87-8606-4A76-A0A9-004D8551F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05320"/>
          <a:ext cx="20037626" cy="54284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115</xdr:row>
      <xdr:rowOff>9525</xdr:rowOff>
    </xdr:from>
    <xdr:to>
      <xdr:col>22</xdr:col>
      <xdr:colOff>755216</xdr:colOff>
      <xdr:row>160</xdr:row>
      <xdr:rowOff>31558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D52482D9-81CB-4700-A43F-BBAA06775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05320"/>
          <a:ext cx="26089811" cy="7226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1378151</xdr:colOff>
      <xdr:row>155</xdr:row>
      <xdr:rowOff>69658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307A6D0F-F380-4F1E-BAFE-EC2A0C108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05320"/>
          <a:ext cx="20031911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1378151</xdr:colOff>
      <xdr:row>155</xdr:row>
      <xdr:rowOff>69658</xdr:rowOff>
    </xdr:to>
    <xdr:pic>
      <xdr:nvPicPr>
        <xdr:cNvPr id="10" name="Immagine 9">
          <a:extLst>
            <a:ext uri="{FF2B5EF4-FFF2-40B4-BE49-F238E27FC236}">
              <a16:creationId xmlns:a16="http://schemas.microsoft.com/office/drawing/2014/main" id="{F4EE5C92-ADFC-47FF-9F1A-C43F41887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05320"/>
          <a:ext cx="20031911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1378151</xdr:colOff>
      <xdr:row>153</xdr:row>
      <xdr:rowOff>75373</xdr:rowOff>
    </xdr:to>
    <xdr:pic>
      <xdr:nvPicPr>
        <xdr:cNvPr id="12" name="Immagine 11">
          <a:extLst>
            <a:ext uri="{FF2B5EF4-FFF2-40B4-BE49-F238E27FC236}">
              <a16:creationId xmlns:a16="http://schemas.microsoft.com/office/drawing/2014/main" id="{D4BC8F0C-9F84-4308-88E5-E70F33583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05320"/>
          <a:ext cx="20031911" cy="61447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654251</xdr:colOff>
      <xdr:row>149</xdr:row>
      <xdr:rowOff>77278</xdr:rowOff>
    </xdr:to>
    <xdr:pic>
      <xdr:nvPicPr>
        <xdr:cNvPr id="14" name="Immagine 13">
          <a:extLst>
            <a:ext uri="{FF2B5EF4-FFF2-40B4-BE49-F238E27FC236}">
              <a16:creationId xmlns:a16="http://schemas.microsoft.com/office/drawing/2014/main" id="{A2D449CF-DC22-4F10-9785-930AEB70C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05320"/>
          <a:ext cx="15427526" cy="55084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654251</xdr:colOff>
      <xdr:row>149</xdr:row>
      <xdr:rowOff>77278</xdr:rowOff>
    </xdr:to>
    <xdr:pic>
      <xdr:nvPicPr>
        <xdr:cNvPr id="16" name="Immagine 15">
          <a:extLst>
            <a:ext uri="{FF2B5EF4-FFF2-40B4-BE49-F238E27FC236}">
              <a16:creationId xmlns:a16="http://schemas.microsoft.com/office/drawing/2014/main" id="{110B45B6-08CE-4ACB-98A6-DAFA0A1D4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05320"/>
          <a:ext cx="15427526" cy="55084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755216</xdr:colOff>
      <xdr:row>160</xdr:row>
      <xdr:rowOff>31558</xdr:rowOff>
    </xdr:to>
    <xdr:pic>
      <xdr:nvPicPr>
        <xdr:cNvPr id="18" name="Immagine 17">
          <a:extLst>
            <a:ext uri="{FF2B5EF4-FFF2-40B4-BE49-F238E27FC236}">
              <a16:creationId xmlns:a16="http://schemas.microsoft.com/office/drawing/2014/main" id="{47AA767C-1E69-4C74-93F7-4BBB3482E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05320"/>
          <a:ext cx="26089811" cy="7226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1378151</xdr:colOff>
      <xdr:row>155</xdr:row>
      <xdr:rowOff>69658</xdr:rowOff>
    </xdr:to>
    <xdr:pic>
      <xdr:nvPicPr>
        <xdr:cNvPr id="20" name="Immagine 19">
          <a:extLst>
            <a:ext uri="{FF2B5EF4-FFF2-40B4-BE49-F238E27FC236}">
              <a16:creationId xmlns:a16="http://schemas.microsoft.com/office/drawing/2014/main" id="{38E6515C-C66F-4BB5-A985-FDCD0ABFA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05320"/>
          <a:ext cx="20031911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1378151</xdr:colOff>
      <xdr:row>155</xdr:row>
      <xdr:rowOff>69658</xdr:rowOff>
    </xdr:to>
    <xdr:pic>
      <xdr:nvPicPr>
        <xdr:cNvPr id="22" name="Immagine 21">
          <a:extLst>
            <a:ext uri="{FF2B5EF4-FFF2-40B4-BE49-F238E27FC236}">
              <a16:creationId xmlns:a16="http://schemas.microsoft.com/office/drawing/2014/main" id="{1CF4CB83-44BD-4C9C-9044-363BFF977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05320"/>
          <a:ext cx="20031911" cy="646474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75</xdr:row>
      <xdr:rowOff>0</xdr:rowOff>
    </xdr:from>
    <xdr:to>
      <xdr:col>23</xdr:col>
      <xdr:colOff>362738</xdr:colOff>
      <xdr:row>108</xdr:row>
      <xdr:rowOff>113432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20643A4D-8C8F-409C-BABE-D42C35768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6705078" cy="53902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734261</xdr:colOff>
      <xdr:row>146</xdr:row>
      <xdr:rowOff>153478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281ACB80-E457-42F4-A46C-E17EA4B42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6095526" cy="51083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104</xdr:row>
      <xdr:rowOff>155342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39C28028-4BF7-4EED-A453-6797411EB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0601458" cy="47959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143</xdr:row>
      <xdr:rowOff>113473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958EC8A6-A55E-4E92-90B2-69C3E0930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0037626" cy="45826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104</xdr:row>
      <xdr:rowOff>155342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F1BEC542-3ADC-4CF0-B55C-7A122D950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0601458" cy="47959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143</xdr:row>
      <xdr:rowOff>113473</xdr:rowOff>
    </xdr:to>
    <xdr:pic>
      <xdr:nvPicPr>
        <xdr:cNvPr id="10" name="Immagine 9">
          <a:extLst>
            <a:ext uri="{FF2B5EF4-FFF2-40B4-BE49-F238E27FC236}">
              <a16:creationId xmlns:a16="http://schemas.microsoft.com/office/drawing/2014/main" id="{FEDE5AB3-F9F9-42CC-B4BF-5CCC936F2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0037626" cy="45826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103</xdr:row>
      <xdr:rowOff>113432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69926258-FD36-4EA5-A2BE-D0403CD69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0601458" cy="45901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142</xdr:row>
      <xdr:rowOff>41083</xdr:rowOff>
    </xdr:to>
    <xdr:pic>
      <xdr:nvPicPr>
        <xdr:cNvPr id="12" name="Immagine 11">
          <a:extLst>
            <a:ext uri="{FF2B5EF4-FFF2-40B4-BE49-F238E27FC236}">
              <a16:creationId xmlns:a16="http://schemas.microsoft.com/office/drawing/2014/main" id="{D6543FC7-2436-494E-91BA-31B5B4169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0037626" cy="43540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1035203</xdr:colOff>
      <xdr:row>100</xdr:row>
      <xdr:rowOff>79142</xdr:rowOff>
    </xdr:to>
    <xdr:pic>
      <xdr:nvPicPr>
        <xdr:cNvPr id="13" name="Immagine 12">
          <a:extLst>
            <a:ext uri="{FF2B5EF4-FFF2-40B4-BE49-F238E27FC236}">
              <a16:creationId xmlns:a16="http://schemas.microsoft.com/office/drawing/2014/main" id="{2C7FB5C1-1BDA-4E54-AE19-E6F8ABC17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15808478" cy="40796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654251</xdr:colOff>
      <xdr:row>139</xdr:row>
      <xdr:rowOff>73468</xdr:rowOff>
    </xdr:to>
    <xdr:pic>
      <xdr:nvPicPr>
        <xdr:cNvPr id="14" name="Immagine 13">
          <a:extLst>
            <a:ext uri="{FF2B5EF4-FFF2-40B4-BE49-F238E27FC236}">
              <a16:creationId xmlns:a16="http://schemas.microsoft.com/office/drawing/2014/main" id="{46CD0977-DEB4-436A-B87D-59E1EEB35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15427526" cy="39044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1035203</xdr:colOff>
      <xdr:row>100</xdr:row>
      <xdr:rowOff>79142</xdr:rowOff>
    </xdr:to>
    <xdr:pic>
      <xdr:nvPicPr>
        <xdr:cNvPr id="15" name="Immagine 14">
          <a:extLst>
            <a:ext uri="{FF2B5EF4-FFF2-40B4-BE49-F238E27FC236}">
              <a16:creationId xmlns:a16="http://schemas.microsoft.com/office/drawing/2014/main" id="{7FE1F04B-02DC-461C-8DE8-595BB9294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15808478" cy="40796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654251</xdr:colOff>
      <xdr:row>139</xdr:row>
      <xdr:rowOff>73468</xdr:rowOff>
    </xdr:to>
    <xdr:pic>
      <xdr:nvPicPr>
        <xdr:cNvPr id="16" name="Immagine 15">
          <a:extLst>
            <a:ext uri="{FF2B5EF4-FFF2-40B4-BE49-F238E27FC236}">
              <a16:creationId xmlns:a16="http://schemas.microsoft.com/office/drawing/2014/main" id="{F573189B-0BFE-4E28-B68D-D5787E127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15427526" cy="39044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23</xdr:col>
      <xdr:colOff>362738</xdr:colOff>
      <xdr:row>108</xdr:row>
      <xdr:rowOff>113432</xdr:rowOff>
    </xdr:to>
    <xdr:pic>
      <xdr:nvPicPr>
        <xdr:cNvPr id="17" name="Immagine 16">
          <a:extLst>
            <a:ext uri="{FF2B5EF4-FFF2-40B4-BE49-F238E27FC236}">
              <a16:creationId xmlns:a16="http://schemas.microsoft.com/office/drawing/2014/main" id="{54160412-F2E7-4F0A-A60E-050299D59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6705078" cy="53902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734261</xdr:colOff>
      <xdr:row>146</xdr:row>
      <xdr:rowOff>153478</xdr:rowOff>
    </xdr:to>
    <xdr:pic>
      <xdr:nvPicPr>
        <xdr:cNvPr id="18" name="Immagine 17">
          <a:extLst>
            <a:ext uri="{FF2B5EF4-FFF2-40B4-BE49-F238E27FC236}">
              <a16:creationId xmlns:a16="http://schemas.microsoft.com/office/drawing/2014/main" id="{D4928415-B725-46CB-8A35-8AAB0B0EC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6095526" cy="51083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104</xdr:row>
      <xdr:rowOff>155342</xdr:rowOff>
    </xdr:to>
    <xdr:pic>
      <xdr:nvPicPr>
        <xdr:cNvPr id="19" name="Immagine 18">
          <a:extLst>
            <a:ext uri="{FF2B5EF4-FFF2-40B4-BE49-F238E27FC236}">
              <a16:creationId xmlns:a16="http://schemas.microsoft.com/office/drawing/2014/main" id="{A16ABF70-1005-481E-8C37-F3787AA3C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0601458" cy="47959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143</xdr:row>
      <xdr:rowOff>113473</xdr:rowOff>
    </xdr:to>
    <xdr:pic>
      <xdr:nvPicPr>
        <xdr:cNvPr id="20" name="Immagine 19">
          <a:extLst>
            <a:ext uri="{FF2B5EF4-FFF2-40B4-BE49-F238E27FC236}">
              <a16:creationId xmlns:a16="http://schemas.microsoft.com/office/drawing/2014/main" id="{40C585AE-0B09-46FB-B494-9571A0509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0037626" cy="45826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104</xdr:row>
      <xdr:rowOff>155342</xdr:rowOff>
    </xdr:to>
    <xdr:pic>
      <xdr:nvPicPr>
        <xdr:cNvPr id="21" name="Immagine 20">
          <a:extLst>
            <a:ext uri="{FF2B5EF4-FFF2-40B4-BE49-F238E27FC236}">
              <a16:creationId xmlns:a16="http://schemas.microsoft.com/office/drawing/2014/main" id="{AF7F61D8-79E3-4980-995F-6793D8EFB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0601458" cy="47959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143</xdr:row>
      <xdr:rowOff>113473</xdr:rowOff>
    </xdr:to>
    <xdr:pic>
      <xdr:nvPicPr>
        <xdr:cNvPr id="22" name="Immagine 21">
          <a:extLst>
            <a:ext uri="{FF2B5EF4-FFF2-40B4-BE49-F238E27FC236}">
              <a16:creationId xmlns:a16="http://schemas.microsoft.com/office/drawing/2014/main" id="{E188772E-8545-410F-8F86-55FDCCD24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0037626" cy="458260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48</xdr:row>
      <xdr:rowOff>28575</xdr:rowOff>
    </xdr:from>
    <xdr:to>
      <xdr:col>39</xdr:col>
      <xdr:colOff>91657</xdr:colOff>
      <xdr:row>76</xdr:row>
      <xdr:rowOff>79491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399964DB-0FBC-4D59-BC9C-975684FCD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38896507" cy="45257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23</xdr:col>
      <xdr:colOff>368453</xdr:colOff>
      <xdr:row>122</xdr:row>
      <xdr:rowOff>41042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C63E3366-8BD2-43D3-98BF-B1247FBF1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6705078" cy="75619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739976</xdr:colOff>
      <xdr:row>160</xdr:row>
      <xdr:rowOff>31558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78723781-9F12-4164-B2FE-FEFF8571B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6095526" cy="7226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28575</xdr:rowOff>
    </xdr:from>
    <xdr:to>
      <xdr:col>26</xdr:col>
      <xdr:colOff>53557</xdr:colOff>
      <xdr:row>73</xdr:row>
      <xdr:rowOff>75681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861C8D3F-8AAF-4BAE-9978-BDE03F333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29333407" cy="40457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117</xdr:row>
      <xdr:rowOff>41042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8E4DC7DD-3EDF-480F-88F7-82EC5F8DC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6761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155</xdr:row>
      <xdr:rowOff>69658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8D775DA2-D08E-4BF3-8E96-78609786E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28575</xdr:rowOff>
    </xdr:from>
    <xdr:to>
      <xdr:col>26</xdr:col>
      <xdr:colOff>53557</xdr:colOff>
      <xdr:row>73</xdr:row>
      <xdr:rowOff>75681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6E5037E6-D60F-43F8-8890-8C846B435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29333407" cy="40457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117</xdr:row>
      <xdr:rowOff>41042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29058434-9875-48DE-9C7B-591888BB4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6761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155</xdr:row>
      <xdr:rowOff>69658</xdr:rowOff>
    </xdr:to>
    <xdr:pic>
      <xdr:nvPicPr>
        <xdr:cNvPr id="10" name="Immagine 9">
          <a:extLst>
            <a:ext uri="{FF2B5EF4-FFF2-40B4-BE49-F238E27FC236}">
              <a16:creationId xmlns:a16="http://schemas.microsoft.com/office/drawing/2014/main" id="{34BDF55C-9BAA-4758-87EA-7FEEA50CB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115</xdr:row>
      <xdr:rowOff>41042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CE92A7F7-9280-4147-8886-C54B354B6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64418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153</xdr:row>
      <xdr:rowOff>79183</xdr:rowOff>
    </xdr:to>
    <xdr:pic>
      <xdr:nvPicPr>
        <xdr:cNvPr id="12" name="Immagine 11">
          <a:extLst>
            <a:ext uri="{FF2B5EF4-FFF2-40B4-BE49-F238E27FC236}">
              <a16:creationId xmlns:a16="http://schemas.microsoft.com/office/drawing/2014/main" id="{88C0B185-F18E-4189-ABA6-14B285448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61485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1035203</xdr:colOff>
      <xdr:row>110</xdr:row>
      <xdr:rowOff>155342</xdr:rowOff>
    </xdr:to>
    <xdr:pic>
      <xdr:nvPicPr>
        <xdr:cNvPr id="13" name="Immagine 12">
          <a:extLst>
            <a:ext uri="{FF2B5EF4-FFF2-40B4-BE49-F238E27FC236}">
              <a16:creationId xmlns:a16="http://schemas.microsoft.com/office/drawing/2014/main" id="{44C4DDB8-9B60-4B76-8FCE-4A0B12109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15808478" cy="57617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654251</xdr:colOff>
      <xdr:row>149</xdr:row>
      <xdr:rowOff>79183</xdr:rowOff>
    </xdr:to>
    <xdr:pic>
      <xdr:nvPicPr>
        <xdr:cNvPr id="14" name="Immagine 13">
          <a:extLst>
            <a:ext uri="{FF2B5EF4-FFF2-40B4-BE49-F238E27FC236}">
              <a16:creationId xmlns:a16="http://schemas.microsoft.com/office/drawing/2014/main" id="{2D64E62F-71CB-41F6-BF25-D7154CBC8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15427526" cy="55103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1035203</xdr:colOff>
      <xdr:row>110</xdr:row>
      <xdr:rowOff>155342</xdr:rowOff>
    </xdr:to>
    <xdr:pic>
      <xdr:nvPicPr>
        <xdr:cNvPr id="15" name="Immagine 14">
          <a:extLst>
            <a:ext uri="{FF2B5EF4-FFF2-40B4-BE49-F238E27FC236}">
              <a16:creationId xmlns:a16="http://schemas.microsoft.com/office/drawing/2014/main" id="{AFD99961-DC19-4D97-979C-DCECF5FE33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15808478" cy="57617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654251</xdr:colOff>
      <xdr:row>149</xdr:row>
      <xdr:rowOff>79183</xdr:rowOff>
    </xdr:to>
    <xdr:pic>
      <xdr:nvPicPr>
        <xdr:cNvPr id="16" name="Immagine 15">
          <a:extLst>
            <a:ext uri="{FF2B5EF4-FFF2-40B4-BE49-F238E27FC236}">
              <a16:creationId xmlns:a16="http://schemas.microsoft.com/office/drawing/2014/main" id="{3E7210E8-C148-45FC-A28E-9537F3DF2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15427526" cy="55103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23</xdr:col>
      <xdr:colOff>368453</xdr:colOff>
      <xdr:row>122</xdr:row>
      <xdr:rowOff>41042</xdr:rowOff>
    </xdr:to>
    <xdr:pic>
      <xdr:nvPicPr>
        <xdr:cNvPr id="17" name="Immagine 16">
          <a:extLst>
            <a:ext uri="{FF2B5EF4-FFF2-40B4-BE49-F238E27FC236}">
              <a16:creationId xmlns:a16="http://schemas.microsoft.com/office/drawing/2014/main" id="{5F7D5876-5007-4B7C-A077-0DA3A61B4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6705078" cy="75619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739976</xdr:colOff>
      <xdr:row>160</xdr:row>
      <xdr:rowOff>31558</xdr:rowOff>
    </xdr:to>
    <xdr:pic>
      <xdr:nvPicPr>
        <xdr:cNvPr id="18" name="Immagine 17">
          <a:extLst>
            <a:ext uri="{FF2B5EF4-FFF2-40B4-BE49-F238E27FC236}">
              <a16:creationId xmlns:a16="http://schemas.microsoft.com/office/drawing/2014/main" id="{BC62E491-EADB-431B-8D31-2924DF31C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6095526" cy="7226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117</xdr:row>
      <xdr:rowOff>41042</xdr:rowOff>
    </xdr:to>
    <xdr:pic>
      <xdr:nvPicPr>
        <xdr:cNvPr id="19" name="Immagine 18">
          <a:extLst>
            <a:ext uri="{FF2B5EF4-FFF2-40B4-BE49-F238E27FC236}">
              <a16:creationId xmlns:a16="http://schemas.microsoft.com/office/drawing/2014/main" id="{A6F5D38F-40DF-4385-8F3C-142C5146A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6761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155</xdr:row>
      <xdr:rowOff>69658</xdr:rowOff>
    </xdr:to>
    <xdr:pic>
      <xdr:nvPicPr>
        <xdr:cNvPr id="20" name="Immagine 19">
          <a:extLst>
            <a:ext uri="{FF2B5EF4-FFF2-40B4-BE49-F238E27FC236}">
              <a16:creationId xmlns:a16="http://schemas.microsoft.com/office/drawing/2014/main" id="{55F21616-E302-4A3C-A4C9-50A5A2743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117</xdr:row>
      <xdr:rowOff>41042</xdr:rowOff>
    </xdr:to>
    <xdr:pic>
      <xdr:nvPicPr>
        <xdr:cNvPr id="21" name="Immagine 20">
          <a:extLst>
            <a:ext uri="{FF2B5EF4-FFF2-40B4-BE49-F238E27FC236}">
              <a16:creationId xmlns:a16="http://schemas.microsoft.com/office/drawing/2014/main" id="{443C1B88-2333-4A34-A2A9-0EBCABD75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6761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155</xdr:row>
      <xdr:rowOff>69658</xdr:rowOff>
    </xdr:to>
    <xdr:pic>
      <xdr:nvPicPr>
        <xdr:cNvPr id="22" name="Immagine 21">
          <a:extLst>
            <a:ext uri="{FF2B5EF4-FFF2-40B4-BE49-F238E27FC236}">
              <a16:creationId xmlns:a16="http://schemas.microsoft.com/office/drawing/2014/main" id="{E9236EA6-FF4B-485F-9CF4-2E422F5C3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646474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48</xdr:row>
      <xdr:rowOff>28575</xdr:rowOff>
    </xdr:from>
    <xdr:to>
      <xdr:col>39</xdr:col>
      <xdr:colOff>91657</xdr:colOff>
      <xdr:row>71</xdr:row>
      <xdr:rowOff>155691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D534A393-DD3F-43A4-ACC6-3EC27CBEA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38896507" cy="38056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23</xdr:col>
      <xdr:colOff>368453</xdr:colOff>
      <xdr:row>114</xdr:row>
      <xdr:rowOff>151532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EE677997-65AC-4325-8938-B7021B5E0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6705078" cy="63904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739976</xdr:colOff>
      <xdr:row>152</xdr:row>
      <xdr:rowOff>155383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31FA8CF0-3F8F-4A35-827B-E38B27F9C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6095526" cy="60685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28575</xdr:rowOff>
    </xdr:from>
    <xdr:to>
      <xdr:col>26</xdr:col>
      <xdr:colOff>53557</xdr:colOff>
      <xdr:row>69</xdr:row>
      <xdr:rowOff>69966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60807690-C219-41F4-85F5-FC1154EF1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29333407" cy="340371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110</xdr:row>
      <xdr:rowOff>107717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2B4CA35C-E94B-47EC-9E36-A3281426D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57103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148</xdr:row>
      <xdr:rowOff>155383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BB703FA8-EDC6-4DBF-BD28-44139AB23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54284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28575</xdr:rowOff>
    </xdr:from>
    <xdr:to>
      <xdr:col>26</xdr:col>
      <xdr:colOff>53557</xdr:colOff>
      <xdr:row>69</xdr:row>
      <xdr:rowOff>69966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57BBC01-752B-4D52-B5AD-0A3A4E016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29333407" cy="340371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110</xdr:row>
      <xdr:rowOff>107717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90803ED8-A508-49D6-9787-035931E74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57103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148</xdr:row>
      <xdr:rowOff>155383</xdr:rowOff>
    </xdr:to>
    <xdr:pic>
      <xdr:nvPicPr>
        <xdr:cNvPr id="10" name="Immagine 9">
          <a:extLst>
            <a:ext uri="{FF2B5EF4-FFF2-40B4-BE49-F238E27FC236}">
              <a16:creationId xmlns:a16="http://schemas.microsoft.com/office/drawing/2014/main" id="{C967900B-BCD0-47EE-BBE6-DBCEB391E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54284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108</xdr:row>
      <xdr:rowOff>155342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3859EF8C-885F-453A-982E-D55B9B834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54360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147</xdr:row>
      <xdr:rowOff>69658</xdr:rowOff>
    </xdr:to>
    <xdr:pic>
      <xdr:nvPicPr>
        <xdr:cNvPr id="12" name="Immagine 11">
          <a:extLst>
            <a:ext uri="{FF2B5EF4-FFF2-40B4-BE49-F238E27FC236}">
              <a16:creationId xmlns:a16="http://schemas.microsoft.com/office/drawing/2014/main" id="{121CBE60-F963-4FF2-ABB7-42661AEE0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51845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1035203</xdr:colOff>
      <xdr:row>105</xdr:row>
      <xdr:rowOff>41042</xdr:rowOff>
    </xdr:to>
    <xdr:pic>
      <xdr:nvPicPr>
        <xdr:cNvPr id="13" name="Immagine 12">
          <a:extLst>
            <a:ext uri="{FF2B5EF4-FFF2-40B4-BE49-F238E27FC236}">
              <a16:creationId xmlns:a16="http://schemas.microsoft.com/office/drawing/2014/main" id="{E4CFB246-6658-4C80-A9B3-E4CB990B2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15808478" cy="48416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654251</xdr:colOff>
      <xdr:row>144</xdr:row>
      <xdr:rowOff>2983</xdr:rowOff>
    </xdr:to>
    <xdr:pic>
      <xdr:nvPicPr>
        <xdr:cNvPr id="14" name="Immagine 13">
          <a:extLst>
            <a:ext uri="{FF2B5EF4-FFF2-40B4-BE49-F238E27FC236}">
              <a16:creationId xmlns:a16="http://schemas.microsoft.com/office/drawing/2014/main" id="{3C249734-5290-4B86-B620-EF96732DC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15427526" cy="46359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1035203</xdr:colOff>
      <xdr:row>105</xdr:row>
      <xdr:rowOff>41042</xdr:rowOff>
    </xdr:to>
    <xdr:pic>
      <xdr:nvPicPr>
        <xdr:cNvPr id="15" name="Immagine 14">
          <a:extLst>
            <a:ext uri="{FF2B5EF4-FFF2-40B4-BE49-F238E27FC236}">
              <a16:creationId xmlns:a16="http://schemas.microsoft.com/office/drawing/2014/main" id="{7455D9B0-4A20-44E0-B70A-17525E5C5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15808478" cy="48416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654251</xdr:colOff>
      <xdr:row>144</xdr:row>
      <xdr:rowOff>2983</xdr:rowOff>
    </xdr:to>
    <xdr:pic>
      <xdr:nvPicPr>
        <xdr:cNvPr id="16" name="Immagine 15">
          <a:extLst>
            <a:ext uri="{FF2B5EF4-FFF2-40B4-BE49-F238E27FC236}">
              <a16:creationId xmlns:a16="http://schemas.microsoft.com/office/drawing/2014/main" id="{9F58EC04-2216-4D3C-8087-ADB9ACF36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15427526" cy="46359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23</xdr:col>
      <xdr:colOff>368453</xdr:colOff>
      <xdr:row>114</xdr:row>
      <xdr:rowOff>151532</xdr:rowOff>
    </xdr:to>
    <xdr:pic>
      <xdr:nvPicPr>
        <xdr:cNvPr id="17" name="Immagine 16">
          <a:extLst>
            <a:ext uri="{FF2B5EF4-FFF2-40B4-BE49-F238E27FC236}">
              <a16:creationId xmlns:a16="http://schemas.microsoft.com/office/drawing/2014/main" id="{F4DFFB81-2F86-4ED1-9BC6-6ABDD8045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6705078" cy="63904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739976</xdr:colOff>
      <xdr:row>152</xdr:row>
      <xdr:rowOff>155383</xdr:rowOff>
    </xdr:to>
    <xdr:pic>
      <xdr:nvPicPr>
        <xdr:cNvPr id="18" name="Immagine 17">
          <a:extLst>
            <a:ext uri="{FF2B5EF4-FFF2-40B4-BE49-F238E27FC236}">
              <a16:creationId xmlns:a16="http://schemas.microsoft.com/office/drawing/2014/main" id="{1C51E836-CDA8-46C6-9859-3DA71B09F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6095526" cy="60685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110</xdr:row>
      <xdr:rowOff>107717</xdr:rowOff>
    </xdr:to>
    <xdr:pic>
      <xdr:nvPicPr>
        <xdr:cNvPr id="19" name="Immagine 18">
          <a:extLst>
            <a:ext uri="{FF2B5EF4-FFF2-40B4-BE49-F238E27FC236}">
              <a16:creationId xmlns:a16="http://schemas.microsoft.com/office/drawing/2014/main" id="{44FA25AC-E964-4566-9F7C-8EA4C74AE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57103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148</xdr:row>
      <xdr:rowOff>155383</xdr:rowOff>
    </xdr:to>
    <xdr:pic>
      <xdr:nvPicPr>
        <xdr:cNvPr id="20" name="Immagine 19">
          <a:extLst>
            <a:ext uri="{FF2B5EF4-FFF2-40B4-BE49-F238E27FC236}">
              <a16:creationId xmlns:a16="http://schemas.microsoft.com/office/drawing/2014/main" id="{193B4015-3997-4CD7-B206-5C08803B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54284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110</xdr:row>
      <xdr:rowOff>107717</xdr:rowOff>
    </xdr:to>
    <xdr:pic>
      <xdr:nvPicPr>
        <xdr:cNvPr id="21" name="Immagine 20">
          <a:extLst>
            <a:ext uri="{FF2B5EF4-FFF2-40B4-BE49-F238E27FC236}">
              <a16:creationId xmlns:a16="http://schemas.microsoft.com/office/drawing/2014/main" id="{5B8194FF-87DA-4EED-96E7-1B925696D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57103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148</xdr:row>
      <xdr:rowOff>155383</xdr:rowOff>
    </xdr:to>
    <xdr:pic>
      <xdr:nvPicPr>
        <xdr:cNvPr id="22" name="Immagine 21">
          <a:extLst>
            <a:ext uri="{FF2B5EF4-FFF2-40B4-BE49-F238E27FC236}">
              <a16:creationId xmlns:a16="http://schemas.microsoft.com/office/drawing/2014/main" id="{D173FA9B-1D58-4089-8C96-73E8460DB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542842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48</xdr:row>
      <xdr:rowOff>28575</xdr:rowOff>
    </xdr:from>
    <xdr:to>
      <xdr:col>39</xdr:col>
      <xdr:colOff>95467</xdr:colOff>
      <xdr:row>68</xdr:row>
      <xdr:rowOff>31866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55FA5B77-0B6C-43FC-82D4-F79152B8D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38888887" cy="320369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23</xdr:col>
      <xdr:colOff>372263</xdr:colOff>
      <xdr:row>108</xdr:row>
      <xdr:rowOff>117242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45BE83D2-60A6-4849-9DC4-1EB355005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6697458" cy="539409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743786</xdr:colOff>
      <xdr:row>146</xdr:row>
      <xdr:rowOff>151573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F64C74D9-2EA8-4174-A735-75446EEE9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6087906" cy="51064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28575</xdr:rowOff>
    </xdr:from>
    <xdr:to>
      <xdr:col>26</xdr:col>
      <xdr:colOff>57367</xdr:colOff>
      <xdr:row>66</xdr:row>
      <xdr:rowOff>3291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D10B1B8A-ABB6-4BE3-B1B8-FF9765420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29325787" cy="28531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104</xdr:row>
      <xdr:rowOff>155342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1B6B2A3B-FEB7-4D98-B92E-230497DA1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47959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143</xdr:row>
      <xdr:rowOff>117283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919C94D5-20BA-497A-8B9C-4C9A1984D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45864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28575</xdr:rowOff>
    </xdr:from>
    <xdr:to>
      <xdr:col>26</xdr:col>
      <xdr:colOff>57367</xdr:colOff>
      <xdr:row>66</xdr:row>
      <xdr:rowOff>3291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2C11FF73-F5CE-4409-B952-15FBABB33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29325787" cy="28531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104</xdr:row>
      <xdr:rowOff>155342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BE2BB875-05DF-434D-AC4B-BBD3FEFA8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47959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143</xdr:row>
      <xdr:rowOff>117283</xdr:rowOff>
    </xdr:to>
    <xdr:pic>
      <xdr:nvPicPr>
        <xdr:cNvPr id="10" name="Immagine 9">
          <a:extLst>
            <a:ext uri="{FF2B5EF4-FFF2-40B4-BE49-F238E27FC236}">
              <a16:creationId xmlns:a16="http://schemas.microsoft.com/office/drawing/2014/main" id="{7B2B0197-E7E1-47A6-A1CA-3C9CF9F52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45864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103</xdr:row>
      <xdr:rowOff>117242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171D8CD3-B984-431B-B207-C44DEED12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459399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142</xdr:row>
      <xdr:rowOff>41083</xdr:rowOff>
    </xdr:to>
    <xdr:pic>
      <xdr:nvPicPr>
        <xdr:cNvPr id="12" name="Immagine 11">
          <a:extLst>
            <a:ext uri="{FF2B5EF4-FFF2-40B4-BE49-F238E27FC236}">
              <a16:creationId xmlns:a16="http://schemas.microsoft.com/office/drawing/2014/main" id="{587C8A36-4223-4B99-B239-66271D5B7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43540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1035203</xdr:colOff>
      <xdr:row>100</xdr:row>
      <xdr:rowOff>79142</xdr:rowOff>
    </xdr:to>
    <xdr:pic>
      <xdr:nvPicPr>
        <xdr:cNvPr id="13" name="Immagine 12">
          <a:extLst>
            <a:ext uri="{FF2B5EF4-FFF2-40B4-BE49-F238E27FC236}">
              <a16:creationId xmlns:a16="http://schemas.microsoft.com/office/drawing/2014/main" id="{40D7296B-C2C5-4347-861D-439D3F707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15808478" cy="40796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654251</xdr:colOff>
      <xdr:row>139</xdr:row>
      <xdr:rowOff>75373</xdr:rowOff>
    </xdr:to>
    <xdr:pic>
      <xdr:nvPicPr>
        <xdr:cNvPr id="14" name="Immagine 13">
          <a:extLst>
            <a:ext uri="{FF2B5EF4-FFF2-40B4-BE49-F238E27FC236}">
              <a16:creationId xmlns:a16="http://schemas.microsoft.com/office/drawing/2014/main" id="{95728F16-5135-4BAD-B857-6F48A255C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15427526" cy="39063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1035203</xdr:colOff>
      <xdr:row>100</xdr:row>
      <xdr:rowOff>79142</xdr:rowOff>
    </xdr:to>
    <xdr:pic>
      <xdr:nvPicPr>
        <xdr:cNvPr id="15" name="Immagine 14">
          <a:extLst>
            <a:ext uri="{FF2B5EF4-FFF2-40B4-BE49-F238E27FC236}">
              <a16:creationId xmlns:a16="http://schemas.microsoft.com/office/drawing/2014/main" id="{DFD1563D-B2E3-4587-9DDD-F26A36795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15808478" cy="40796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654251</xdr:colOff>
      <xdr:row>139</xdr:row>
      <xdr:rowOff>75373</xdr:rowOff>
    </xdr:to>
    <xdr:pic>
      <xdr:nvPicPr>
        <xdr:cNvPr id="16" name="Immagine 15">
          <a:extLst>
            <a:ext uri="{FF2B5EF4-FFF2-40B4-BE49-F238E27FC236}">
              <a16:creationId xmlns:a16="http://schemas.microsoft.com/office/drawing/2014/main" id="{9782F449-CFBA-4E67-8EB9-E27BEB5D4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15427526" cy="39063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23</xdr:col>
      <xdr:colOff>372263</xdr:colOff>
      <xdr:row>108</xdr:row>
      <xdr:rowOff>117242</xdr:rowOff>
    </xdr:to>
    <xdr:pic>
      <xdr:nvPicPr>
        <xdr:cNvPr id="17" name="Immagine 16">
          <a:extLst>
            <a:ext uri="{FF2B5EF4-FFF2-40B4-BE49-F238E27FC236}">
              <a16:creationId xmlns:a16="http://schemas.microsoft.com/office/drawing/2014/main" id="{EAB0A18D-8052-49B9-BAA8-D9F624356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6697458" cy="539409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743786</xdr:colOff>
      <xdr:row>146</xdr:row>
      <xdr:rowOff>151573</xdr:rowOff>
    </xdr:to>
    <xdr:pic>
      <xdr:nvPicPr>
        <xdr:cNvPr id="18" name="Immagine 17">
          <a:extLst>
            <a:ext uri="{FF2B5EF4-FFF2-40B4-BE49-F238E27FC236}">
              <a16:creationId xmlns:a16="http://schemas.microsoft.com/office/drawing/2014/main" id="{317DA42F-5E0E-41B1-B42C-7F64BAD9D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6087906" cy="51064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104</xdr:row>
      <xdr:rowOff>155342</xdr:rowOff>
    </xdr:to>
    <xdr:pic>
      <xdr:nvPicPr>
        <xdr:cNvPr id="19" name="Immagine 18">
          <a:extLst>
            <a:ext uri="{FF2B5EF4-FFF2-40B4-BE49-F238E27FC236}">
              <a16:creationId xmlns:a16="http://schemas.microsoft.com/office/drawing/2014/main" id="{7F7ABDD4-8542-4F3E-A341-3C1710A6A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47959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143</xdr:row>
      <xdr:rowOff>117283</xdr:rowOff>
    </xdr:to>
    <xdr:pic>
      <xdr:nvPicPr>
        <xdr:cNvPr id="20" name="Immagine 19">
          <a:extLst>
            <a:ext uri="{FF2B5EF4-FFF2-40B4-BE49-F238E27FC236}">
              <a16:creationId xmlns:a16="http://schemas.microsoft.com/office/drawing/2014/main" id="{0D7BBD5E-DF42-4DE8-A4E3-73A4A7E95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45864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104</xdr:row>
      <xdr:rowOff>155342</xdr:rowOff>
    </xdr:to>
    <xdr:pic>
      <xdr:nvPicPr>
        <xdr:cNvPr id="21" name="Immagine 20">
          <a:extLst>
            <a:ext uri="{FF2B5EF4-FFF2-40B4-BE49-F238E27FC236}">
              <a16:creationId xmlns:a16="http://schemas.microsoft.com/office/drawing/2014/main" id="{15B2E539-D690-4AE8-830C-36A250E81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47959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143</xdr:row>
      <xdr:rowOff>117283</xdr:rowOff>
    </xdr:to>
    <xdr:pic>
      <xdr:nvPicPr>
        <xdr:cNvPr id="22" name="Immagine 21">
          <a:extLst>
            <a:ext uri="{FF2B5EF4-FFF2-40B4-BE49-F238E27FC236}">
              <a16:creationId xmlns:a16="http://schemas.microsoft.com/office/drawing/2014/main" id="{0A060F73-B655-439F-8FFD-A97DDBAF6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458641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48</xdr:row>
      <xdr:rowOff>28575</xdr:rowOff>
    </xdr:from>
    <xdr:to>
      <xdr:col>39</xdr:col>
      <xdr:colOff>95467</xdr:colOff>
      <xdr:row>76</xdr:row>
      <xdr:rowOff>79491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63F2096E-6BF9-4EA0-961F-6C834F4AA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38896507" cy="4529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23</xdr:col>
      <xdr:colOff>364643</xdr:colOff>
      <xdr:row>122</xdr:row>
      <xdr:rowOff>41042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2AA051A2-28D2-4F92-914F-B28ED7F9C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6705078" cy="75619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743786</xdr:colOff>
      <xdr:row>160</xdr:row>
      <xdr:rowOff>29653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E663155D-B5D4-4220-A5DF-837FAFBC9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6095526" cy="7226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28575</xdr:rowOff>
    </xdr:from>
    <xdr:to>
      <xdr:col>26</xdr:col>
      <xdr:colOff>57367</xdr:colOff>
      <xdr:row>73</xdr:row>
      <xdr:rowOff>75681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88BE16E2-7A7E-49FD-930A-BD2B2372D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29333407" cy="40457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324638</xdr:colOff>
      <xdr:row>117</xdr:row>
      <xdr:rowOff>41042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9FFBA89C-F2C7-49DB-9270-9E3C1E2B3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6761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1391486</xdr:colOff>
      <xdr:row>155</xdr:row>
      <xdr:rowOff>67753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C0018A5F-0FB5-421B-9276-955AB39FE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28575</xdr:rowOff>
    </xdr:from>
    <xdr:to>
      <xdr:col>26</xdr:col>
      <xdr:colOff>57367</xdr:colOff>
      <xdr:row>73</xdr:row>
      <xdr:rowOff>75681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407D9CB1-93CF-4546-913D-A42A6525E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29333407" cy="40457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324638</xdr:colOff>
      <xdr:row>117</xdr:row>
      <xdr:rowOff>41042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BD3B6EA3-F821-4895-AE0B-31523569B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6761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1391486</xdr:colOff>
      <xdr:row>155</xdr:row>
      <xdr:rowOff>67753</xdr:rowOff>
    </xdr:to>
    <xdr:pic>
      <xdr:nvPicPr>
        <xdr:cNvPr id="10" name="Immagine 9">
          <a:extLst>
            <a:ext uri="{FF2B5EF4-FFF2-40B4-BE49-F238E27FC236}">
              <a16:creationId xmlns:a16="http://schemas.microsoft.com/office/drawing/2014/main" id="{BB49A4B5-6464-4192-916A-533D0536A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324638</xdr:colOff>
      <xdr:row>115</xdr:row>
      <xdr:rowOff>41042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E82CDB20-EE2A-4200-9C36-57E632347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64418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1391486</xdr:colOff>
      <xdr:row>153</xdr:row>
      <xdr:rowOff>79183</xdr:rowOff>
    </xdr:to>
    <xdr:pic>
      <xdr:nvPicPr>
        <xdr:cNvPr id="12" name="Immagine 11">
          <a:extLst>
            <a:ext uri="{FF2B5EF4-FFF2-40B4-BE49-F238E27FC236}">
              <a16:creationId xmlns:a16="http://schemas.microsoft.com/office/drawing/2014/main" id="{B548236A-F93F-4B1A-B134-E3254AAFC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61523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1037108</xdr:colOff>
      <xdr:row>110</xdr:row>
      <xdr:rowOff>155342</xdr:rowOff>
    </xdr:to>
    <xdr:pic>
      <xdr:nvPicPr>
        <xdr:cNvPr id="13" name="Immagine 12">
          <a:extLst>
            <a:ext uri="{FF2B5EF4-FFF2-40B4-BE49-F238E27FC236}">
              <a16:creationId xmlns:a16="http://schemas.microsoft.com/office/drawing/2014/main" id="{01E34765-6D18-4788-841B-7C265E58C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15808478" cy="57560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656156</xdr:colOff>
      <xdr:row>149</xdr:row>
      <xdr:rowOff>79183</xdr:rowOff>
    </xdr:to>
    <xdr:pic>
      <xdr:nvPicPr>
        <xdr:cNvPr id="14" name="Immagine 13">
          <a:extLst>
            <a:ext uri="{FF2B5EF4-FFF2-40B4-BE49-F238E27FC236}">
              <a16:creationId xmlns:a16="http://schemas.microsoft.com/office/drawing/2014/main" id="{EC9B2511-31D9-49C5-8234-ABC9C60FE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15427526" cy="55122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1037108</xdr:colOff>
      <xdr:row>110</xdr:row>
      <xdr:rowOff>155342</xdr:rowOff>
    </xdr:to>
    <xdr:pic>
      <xdr:nvPicPr>
        <xdr:cNvPr id="15" name="Immagine 14">
          <a:extLst>
            <a:ext uri="{FF2B5EF4-FFF2-40B4-BE49-F238E27FC236}">
              <a16:creationId xmlns:a16="http://schemas.microsoft.com/office/drawing/2014/main" id="{C9A11A66-3A00-4D08-B6CA-BBEA93374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15808478" cy="57560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656156</xdr:colOff>
      <xdr:row>149</xdr:row>
      <xdr:rowOff>79183</xdr:rowOff>
    </xdr:to>
    <xdr:pic>
      <xdr:nvPicPr>
        <xdr:cNvPr id="16" name="Immagine 15">
          <a:extLst>
            <a:ext uri="{FF2B5EF4-FFF2-40B4-BE49-F238E27FC236}">
              <a16:creationId xmlns:a16="http://schemas.microsoft.com/office/drawing/2014/main" id="{9D0A15FD-1E87-4CFE-84CD-D8704F179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15427526" cy="55122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23</xdr:col>
      <xdr:colOff>364643</xdr:colOff>
      <xdr:row>122</xdr:row>
      <xdr:rowOff>41042</xdr:rowOff>
    </xdr:to>
    <xdr:pic>
      <xdr:nvPicPr>
        <xdr:cNvPr id="17" name="Immagine 16">
          <a:extLst>
            <a:ext uri="{FF2B5EF4-FFF2-40B4-BE49-F238E27FC236}">
              <a16:creationId xmlns:a16="http://schemas.microsoft.com/office/drawing/2014/main" id="{F3CD9388-61C1-45EA-AE00-EAC3BFF29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6705078" cy="75619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743786</xdr:colOff>
      <xdr:row>160</xdr:row>
      <xdr:rowOff>29653</xdr:rowOff>
    </xdr:to>
    <xdr:pic>
      <xdr:nvPicPr>
        <xdr:cNvPr id="18" name="Immagine 17">
          <a:extLst>
            <a:ext uri="{FF2B5EF4-FFF2-40B4-BE49-F238E27FC236}">
              <a16:creationId xmlns:a16="http://schemas.microsoft.com/office/drawing/2014/main" id="{A13D90B6-E05D-410A-965A-A60C6B1B3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6095526" cy="7226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324638</xdr:colOff>
      <xdr:row>117</xdr:row>
      <xdr:rowOff>41042</xdr:rowOff>
    </xdr:to>
    <xdr:pic>
      <xdr:nvPicPr>
        <xdr:cNvPr id="19" name="Immagine 18">
          <a:extLst>
            <a:ext uri="{FF2B5EF4-FFF2-40B4-BE49-F238E27FC236}">
              <a16:creationId xmlns:a16="http://schemas.microsoft.com/office/drawing/2014/main" id="{515D1E3A-762D-4B09-A89C-72CD1DD4B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6761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1391486</xdr:colOff>
      <xdr:row>155</xdr:row>
      <xdr:rowOff>67753</xdr:rowOff>
    </xdr:to>
    <xdr:pic>
      <xdr:nvPicPr>
        <xdr:cNvPr id="20" name="Immagine 19">
          <a:extLst>
            <a:ext uri="{FF2B5EF4-FFF2-40B4-BE49-F238E27FC236}">
              <a16:creationId xmlns:a16="http://schemas.microsoft.com/office/drawing/2014/main" id="{04A77256-8E27-43ED-B344-741AA2F3D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324638</xdr:colOff>
      <xdr:row>117</xdr:row>
      <xdr:rowOff>41042</xdr:rowOff>
    </xdr:to>
    <xdr:pic>
      <xdr:nvPicPr>
        <xdr:cNvPr id="21" name="Immagine 20">
          <a:extLst>
            <a:ext uri="{FF2B5EF4-FFF2-40B4-BE49-F238E27FC236}">
              <a16:creationId xmlns:a16="http://schemas.microsoft.com/office/drawing/2014/main" id="{4F142A18-37EC-496D-9F3F-587F846B1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6761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1391486</xdr:colOff>
      <xdr:row>155</xdr:row>
      <xdr:rowOff>67753</xdr:rowOff>
    </xdr:to>
    <xdr:pic>
      <xdr:nvPicPr>
        <xdr:cNvPr id="22" name="Immagine 21">
          <a:extLst>
            <a:ext uri="{FF2B5EF4-FFF2-40B4-BE49-F238E27FC236}">
              <a16:creationId xmlns:a16="http://schemas.microsoft.com/office/drawing/2014/main" id="{87A2D012-B741-4912-9C27-2E6263964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28575</xdr:rowOff>
    </xdr:from>
    <xdr:to>
      <xdr:col>39</xdr:col>
      <xdr:colOff>95467</xdr:colOff>
      <xdr:row>76</xdr:row>
      <xdr:rowOff>79491</xdr:rowOff>
    </xdr:to>
    <xdr:pic>
      <xdr:nvPicPr>
        <xdr:cNvPr id="23" name="Immagine 22">
          <a:extLst>
            <a:ext uri="{FF2B5EF4-FFF2-40B4-BE49-F238E27FC236}">
              <a16:creationId xmlns:a16="http://schemas.microsoft.com/office/drawing/2014/main" id="{53E73036-8D24-4FCF-8DEA-9759E95E8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38896507" cy="4529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23</xdr:col>
      <xdr:colOff>364643</xdr:colOff>
      <xdr:row>122</xdr:row>
      <xdr:rowOff>41042</xdr:rowOff>
    </xdr:to>
    <xdr:pic>
      <xdr:nvPicPr>
        <xdr:cNvPr id="24" name="Immagine 23">
          <a:extLst>
            <a:ext uri="{FF2B5EF4-FFF2-40B4-BE49-F238E27FC236}">
              <a16:creationId xmlns:a16="http://schemas.microsoft.com/office/drawing/2014/main" id="{8798D102-C57E-4A71-A2FD-E421FBFB4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6705078" cy="75619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743786</xdr:colOff>
      <xdr:row>160</xdr:row>
      <xdr:rowOff>29653</xdr:rowOff>
    </xdr:to>
    <xdr:pic>
      <xdr:nvPicPr>
        <xdr:cNvPr id="25" name="Immagine 24">
          <a:extLst>
            <a:ext uri="{FF2B5EF4-FFF2-40B4-BE49-F238E27FC236}">
              <a16:creationId xmlns:a16="http://schemas.microsoft.com/office/drawing/2014/main" id="{21089BD4-E51D-497A-9736-478827E80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6095526" cy="7226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28575</xdr:rowOff>
    </xdr:from>
    <xdr:to>
      <xdr:col>26</xdr:col>
      <xdr:colOff>57367</xdr:colOff>
      <xdr:row>73</xdr:row>
      <xdr:rowOff>75681</xdr:rowOff>
    </xdr:to>
    <xdr:pic>
      <xdr:nvPicPr>
        <xdr:cNvPr id="26" name="Immagine 25">
          <a:extLst>
            <a:ext uri="{FF2B5EF4-FFF2-40B4-BE49-F238E27FC236}">
              <a16:creationId xmlns:a16="http://schemas.microsoft.com/office/drawing/2014/main" id="{4F4ADCE3-1963-4C90-B81B-B3FC9F08E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29333407" cy="40457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324638</xdr:colOff>
      <xdr:row>117</xdr:row>
      <xdr:rowOff>41042</xdr:rowOff>
    </xdr:to>
    <xdr:pic>
      <xdr:nvPicPr>
        <xdr:cNvPr id="27" name="Immagine 26">
          <a:extLst>
            <a:ext uri="{FF2B5EF4-FFF2-40B4-BE49-F238E27FC236}">
              <a16:creationId xmlns:a16="http://schemas.microsoft.com/office/drawing/2014/main" id="{2C207761-3EC3-46F4-A63E-7643C2CDD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6761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1391486</xdr:colOff>
      <xdr:row>155</xdr:row>
      <xdr:rowOff>67753</xdr:rowOff>
    </xdr:to>
    <xdr:pic>
      <xdr:nvPicPr>
        <xdr:cNvPr id="28" name="Immagine 27">
          <a:extLst>
            <a:ext uri="{FF2B5EF4-FFF2-40B4-BE49-F238E27FC236}">
              <a16:creationId xmlns:a16="http://schemas.microsoft.com/office/drawing/2014/main" id="{62721AC1-C3AA-4D08-A945-3B31F9EEE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28575</xdr:rowOff>
    </xdr:from>
    <xdr:to>
      <xdr:col>26</xdr:col>
      <xdr:colOff>57367</xdr:colOff>
      <xdr:row>73</xdr:row>
      <xdr:rowOff>75681</xdr:rowOff>
    </xdr:to>
    <xdr:pic>
      <xdr:nvPicPr>
        <xdr:cNvPr id="29" name="Immagine 28">
          <a:extLst>
            <a:ext uri="{FF2B5EF4-FFF2-40B4-BE49-F238E27FC236}">
              <a16:creationId xmlns:a16="http://schemas.microsoft.com/office/drawing/2014/main" id="{EA3A5338-DE43-4F64-9D36-A70DE3486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29333407" cy="40457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324638</xdr:colOff>
      <xdr:row>117</xdr:row>
      <xdr:rowOff>41042</xdr:rowOff>
    </xdr:to>
    <xdr:pic>
      <xdr:nvPicPr>
        <xdr:cNvPr id="30" name="Immagine 29">
          <a:extLst>
            <a:ext uri="{FF2B5EF4-FFF2-40B4-BE49-F238E27FC236}">
              <a16:creationId xmlns:a16="http://schemas.microsoft.com/office/drawing/2014/main" id="{82BBD9D0-639E-4329-8076-A950F46CB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6761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1391486</xdr:colOff>
      <xdr:row>155</xdr:row>
      <xdr:rowOff>67753</xdr:rowOff>
    </xdr:to>
    <xdr:pic>
      <xdr:nvPicPr>
        <xdr:cNvPr id="31" name="Immagine 30">
          <a:extLst>
            <a:ext uri="{FF2B5EF4-FFF2-40B4-BE49-F238E27FC236}">
              <a16:creationId xmlns:a16="http://schemas.microsoft.com/office/drawing/2014/main" id="{FB2978CD-1914-4413-9EE4-07FBEED4D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324638</xdr:colOff>
      <xdr:row>115</xdr:row>
      <xdr:rowOff>41042</xdr:rowOff>
    </xdr:to>
    <xdr:pic>
      <xdr:nvPicPr>
        <xdr:cNvPr id="32" name="Immagine 31">
          <a:extLst>
            <a:ext uri="{FF2B5EF4-FFF2-40B4-BE49-F238E27FC236}">
              <a16:creationId xmlns:a16="http://schemas.microsoft.com/office/drawing/2014/main" id="{42141136-69B9-4C0E-8782-AD5DDC39B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64418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1391486</xdr:colOff>
      <xdr:row>153</xdr:row>
      <xdr:rowOff>79183</xdr:rowOff>
    </xdr:to>
    <xdr:pic>
      <xdr:nvPicPr>
        <xdr:cNvPr id="33" name="Immagine 32">
          <a:extLst>
            <a:ext uri="{FF2B5EF4-FFF2-40B4-BE49-F238E27FC236}">
              <a16:creationId xmlns:a16="http://schemas.microsoft.com/office/drawing/2014/main" id="{464819BF-E98A-45AE-B3B6-231586365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61523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1037108</xdr:colOff>
      <xdr:row>110</xdr:row>
      <xdr:rowOff>155342</xdr:rowOff>
    </xdr:to>
    <xdr:pic>
      <xdr:nvPicPr>
        <xdr:cNvPr id="34" name="Immagine 33">
          <a:extLst>
            <a:ext uri="{FF2B5EF4-FFF2-40B4-BE49-F238E27FC236}">
              <a16:creationId xmlns:a16="http://schemas.microsoft.com/office/drawing/2014/main" id="{F03BFF96-87FF-4774-B3F0-86E4A2D01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15808478" cy="57560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656156</xdr:colOff>
      <xdr:row>149</xdr:row>
      <xdr:rowOff>79183</xdr:rowOff>
    </xdr:to>
    <xdr:pic>
      <xdr:nvPicPr>
        <xdr:cNvPr id="35" name="Immagine 34">
          <a:extLst>
            <a:ext uri="{FF2B5EF4-FFF2-40B4-BE49-F238E27FC236}">
              <a16:creationId xmlns:a16="http://schemas.microsoft.com/office/drawing/2014/main" id="{482D7298-26F1-4B2A-9E8F-A94FE0722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15427526" cy="55122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1037108</xdr:colOff>
      <xdr:row>110</xdr:row>
      <xdr:rowOff>155342</xdr:rowOff>
    </xdr:to>
    <xdr:pic>
      <xdr:nvPicPr>
        <xdr:cNvPr id="36" name="Immagine 35">
          <a:extLst>
            <a:ext uri="{FF2B5EF4-FFF2-40B4-BE49-F238E27FC236}">
              <a16:creationId xmlns:a16="http://schemas.microsoft.com/office/drawing/2014/main" id="{B38C7346-29E1-4436-A2DD-E7A368F74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15808478" cy="57560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656156</xdr:colOff>
      <xdr:row>149</xdr:row>
      <xdr:rowOff>79183</xdr:rowOff>
    </xdr:to>
    <xdr:pic>
      <xdr:nvPicPr>
        <xdr:cNvPr id="37" name="Immagine 36">
          <a:extLst>
            <a:ext uri="{FF2B5EF4-FFF2-40B4-BE49-F238E27FC236}">
              <a16:creationId xmlns:a16="http://schemas.microsoft.com/office/drawing/2014/main" id="{B12A2DA2-6035-42E7-AD4E-38A3A29A5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15427526" cy="55122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23</xdr:col>
      <xdr:colOff>364643</xdr:colOff>
      <xdr:row>122</xdr:row>
      <xdr:rowOff>41042</xdr:rowOff>
    </xdr:to>
    <xdr:pic>
      <xdr:nvPicPr>
        <xdr:cNvPr id="38" name="Immagine 37">
          <a:extLst>
            <a:ext uri="{FF2B5EF4-FFF2-40B4-BE49-F238E27FC236}">
              <a16:creationId xmlns:a16="http://schemas.microsoft.com/office/drawing/2014/main" id="{2F035E7D-12FD-4A75-8A40-E93B4813D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6705078" cy="75619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743786</xdr:colOff>
      <xdr:row>160</xdr:row>
      <xdr:rowOff>29653</xdr:rowOff>
    </xdr:to>
    <xdr:pic>
      <xdr:nvPicPr>
        <xdr:cNvPr id="39" name="Immagine 38">
          <a:extLst>
            <a:ext uri="{FF2B5EF4-FFF2-40B4-BE49-F238E27FC236}">
              <a16:creationId xmlns:a16="http://schemas.microsoft.com/office/drawing/2014/main" id="{69F0A053-0F7E-4B82-9E07-E1EBCD6B3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6095526" cy="7226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324638</xdr:colOff>
      <xdr:row>117</xdr:row>
      <xdr:rowOff>41042</xdr:rowOff>
    </xdr:to>
    <xdr:pic>
      <xdr:nvPicPr>
        <xdr:cNvPr id="40" name="Immagine 39">
          <a:extLst>
            <a:ext uri="{FF2B5EF4-FFF2-40B4-BE49-F238E27FC236}">
              <a16:creationId xmlns:a16="http://schemas.microsoft.com/office/drawing/2014/main" id="{324A9D83-5492-42D9-9B5B-83341AB9F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6761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1391486</xdr:colOff>
      <xdr:row>155</xdr:row>
      <xdr:rowOff>67753</xdr:rowOff>
    </xdr:to>
    <xdr:pic>
      <xdr:nvPicPr>
        <xdr:cNvPr id="41" name="Immagine 40">
          <a:extLst>
            <a:ext uri="{FF2B5EF4-FFF2-40B4-BE49-F238E27FC236}">
              <a16:creationId xmlns:a16="http://schemas.microsoft.com/office/drawing/2014/main" id="{5EEDFCFD-F568-4294-942A-CEFD4B9F9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324638</xdr:colOff>
      <xdr:row>117</xdr:row>
      <xdr:rowOff>41042</xdr:rowOff>
    </xdr:to>
    <xdr:pic>
      <xdr:nvPicPr>
        <xdr:cNvPr id="42" name="Immagine 41">
          <a:extLst>
            <a:ext uri="{FF2B5EF4-FFF2-40B4-BE49-F238E27FC236}">
              <a16:creationId xmlns:a16="http://schemas.microsoft.com/office/drawing/2014/main" id="{0B7127AE-0A68-46DD-8253-B11708146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6761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1391486</xdr:colOff>
      <xdr:row>155</xdr:row>
      <xdr:rowOff>67753</xdr:rowOff>
    </xdr:to>
    <xdr:pic>
      <xdr:nvPicPr>
        <xdr:cNvPr id="43" name="Immagine 42">
          <a:extLst>
            <a:ext uri="{FF2B5EF4-FFF2-40B4-BE49-F238E27FC236}">
              <a16:creationId xmlns:a16="http://schemas.microsoft.com/office/drawing/2014/main" id="{622CFDC5-D91C-4FB0-92F8-28ED8A32F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646474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48</xdr:row>
      <xdr:rowOff>28575</xdr:rowOff>
    </xdr:from>
    <xdr:to>
      <xdr:col>39</xdr:col>
      <xdr:colOff>95467</xdr:colOff>
      <xdr:row>71</xdr:row>
      <xdr:rowOff>155691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256B2D01-BF9B-4856-B566-8E63F2FB5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38896507" cy="38056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23</xdr:col>
      <xdr:colOff>364643</xdr:colOff>
      <xdr:row>114</xdr:row>
      <xdr:rowOff>153437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74FB3667-E33D-4CC9-9E04-01C981C7E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6705078" cy="63923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743786</xdr:colOff>
      <xdr:row>152</xdr:row>
      <xdr:rowOff>155383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39A8C4BF-9677-44DB-84B6-21EA5D875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6095526" cy="60685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28575</xdr:rowOff>
    </xdr:from>
    <xdr:to>
      <xdr:col>26</xdr:col>
      <xdr:colOff>57367</xdr:colOff>
      <xdr:row>69</xdr:row>
      <xdr:rowOff>56631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382E9F04-3A33-4F4D-BDA3-1C3AF930D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29333407" cy="34018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324638</xdr:colOff>
      <xdr:row>110</xdr:row>
      <xdr:rowOff>94382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99C21258-2C81-4000-846E-4C95E3CB9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57103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1391486</xdr:colOff>
      <xdr:row>148</xdr:row>
      <xdr:rowOff>155383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FACD5B80-759A-44D3-9322-80605359B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54284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28575</xdr:rowOff>
    </xdr:from>
    <xdr:to>
      <xdr:col>26</xdr:col>
      <xdr:colOff>57367</xdr:colOff>
      <xdr:row>69</xdr:row>
      <xdr:rowOff>56631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43344AE2-9500-4C7D-9BF3-8521E6DC5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29333407" cy="34018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324638</xdr:colOff>
      <xdr:row>110</xdr:row>
      <xdr:rowOff>94382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31E1CB69-4657-4DC1-9AE1-11C0A7AFF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57103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1391486</xdr:colOff>
      <xdr:row>148</xdr:row>
      <xdr:rowOff>155383</xdr:rowOff>
    </xdr:to>
    <xdr:pic>
      <xdr:nvPicPr>
        <xdr:cNvPr id="10" name="Immagine 9">
          <a:extLst>
            <a:ext uri="{FF2B5EF4-FFF2-40B4-BE49-F238E27FC236}">
              <a16:creationId xmlns:a16="http://schemas.microsoft.com/office/drawing/2014/main" id="{816499C6-8B3D-432E-83B5-8B88767A6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54284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324638</xdr:colOff>
      <xdr:row>108</xdr:row>
      <xdr:rowOff>155342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44ADE60B-980C-4FFE-A7F9-0B673DD87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54360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1391486</xdr:colOff>
      <xdr:row>147</xdr:row>
      <xdr:rowOff>56323</xdr:rowOff>
    </xdr:to>
    <xdr:pic>
      <xdr:nvPicPr>
        <xdr:cNvPr id="12" name="Immagine 11">
          <a:extLst>
            <a:ext uri="{FF2B5EF4-FFF2-40B4-BE49-F238E27FC236}">
              <a16:creationId xmlns:a16="http://schemas.microsoft.com/office/drawing/2014/main" id="{3C0D16EB-F034-4AFD-8905-80B8DD20E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51845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1048538</xdr:colOff>
      <xdr:row>105</xdr:row>
      <xdr:rowOff>41042</xdr:rowOff>
    </xdr:to>
    <xdr:pic>
      <xdr:nvPicPr>
        <xdr:cNvPr id="13" name="Immagine 12">
          <a:extLst>
            <a:ext uri="{FF2B5EF4-FFF2-40B4-BE49-F238E27FC236}">
              <a16:creationId xmlns:a16="http://schemas.microsoft.com/office/drawing/2014/main" id="{1D8CECD8-7CA8-4F46-BBA2-6BFF8ECE5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15808478" cy="48416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667586</xdr:colOff>
      <xdr:row>144</xdr:row>
      <xdr:rowOff>2983</xdr:rowOff>
    </xdr:to>
    <xdr:pic>
      <xdr:nvPicPr>
        <xdr:cNvPr id="14" name="Immagine 13">
          <a:extLst>
            <a:ext uri="{FF2B5EF4-FFF2-40B4-BE49-F238E27FC236}">
              <a16:creationId xmlns:a16="http://schemas.microsoft.com/office/drawing/2014/main" id="{B29B1E92-0DD6-43E5-BDFF-42059201D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15427526" cy="46359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1048538</xdr:colOff>
      <xdr:row>105</xdr:row>
      <xdr:rowOff>41042</xdr:rowOff>
    </xdr:to>
    <xdr:pic>
      <xdr:nvPicPr>
        <xdr:cNvPr id="15" name="Immagine 14">
          <a:extLst>
            <a:ext uri="{FF2B5EF4-FFF2-40B4-BE49-F238E27FC236}">
              <a16:creationId xmlns:a16="http://schemas.microsoft.com/office/drawing/2014/main" id="{8AA09380-5041-4687-9BAF-B3FB88759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15808478" cy="48416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667586</xdr:colOff>
      <xdr:row>144</xdr:row>
      <xdr:rowOff>2983</xdr:rowOff>
    </xdr:to>
    <xdr:pic>
      <xdr:nvPicPr>
        <xdr:cNvPr id="16" name="Immagine 15">
          <a:extLst>
            <a:ext uri="{FF2B5EF4-FFF2-40B4-BE49-F238E27FC236}">
              <a16:creationId xmlns:a16="http://schemas.microsoft.com/office/drawing/2014/main" id="{808CAC4A-4405-4D2D-9DEA-19A6678FA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15427526" cy="46359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23</xdr:col>
      <xdr:colOff>364643</xdr:colOff>
      <xdr:row>114</xdr:row>
      <xdr:rowOff>153437</xdr:rowOff>
    </xdr:to>
    <xdr:pic>
      <xdr:nvPicPr>
        <xdr:cNvPr id="17" name="Immagine 16">
          <a:extLst>
            <a:ext uri="{FF2B5EF4-FFF2-40B4-BE49-F238E27FC236}">
              <a16:creationId xmlns:a16="http://schemas.microsoft.com/office/drawing/2014/main" id="{2581EACE-A320-4DDE-8ED4-086ADBDFA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6705078" cy="63923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743786</xdr:colOff>
      <xdr:row>152</xdr:row>
      <xdr:rowOff>155383</xdr:rowOff>
    </xdr:to>
    <xdr:pic>
      <xdr:nvPicPr>
        <xdr:cNvPr id="18" name="Immagine 17">
          <a:extLst>
            <a:ext uri="{FF2B5EF4-FFF2-40B4-BE49-F238E27FC236}">
              <a16:creationId xmlns:a16="http://schemas.microsoft.com/office/drawing/2014/main" id="{6C125E37-B8A1-4D06-A8A2-3B5B157F6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6095526" cy="60685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324638</xdr:colOff>
      <xdr:row>110</xdr:row>
      <xdr:rowOff>94382</xdr:rowOff>
    </xdr:to>
    <xdr:pic>
      <xdr:nvPicPr>
        <xdr:cNvPr id="19" name="Immagine 18">
          <a:extLst>
            <a:ext uri="{FF2B5EF4-FFF2-40B4-BE49-F238E27FC236}">
              <a16:creationId xmlns:a16="http://schemas.microsoft.com/office/drawing/2014/main" id="{F9531D8C-A8F6-4F89-9219-1274AA075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57103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1391486</xdr:colOff>
      <xdr:row>148</xdr:row>
      <xdr:rowOff>155383</xdr:rowOff>
    </xdr:to>
    <xdr:pic>
      <xdr:nvPicPr>
        <xdr:cNvPr id="20" name="Immagine 19">
          <a:extLst>
            <a:ext uri="{FF2B5EF4-FFF2-40B4-BE49-F238E27FC236}">
              <a16:creationId xmlns:a16="http://schemas.microsoft.com/office/drawing/2014/main" id="{B16D31AC-1043-401D-95B2-51165D2DC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54284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324638</xdr:colOff>
      <xdr:row>110</xdr:row>
      <xdr:rowOff>94382</xdr:rowOff>
    </xdr:to>
    <xdr:pic>
      <xdr:nvPicPr>
        <xdr:cNvPr id="21" name="Immagine 20">
          <a:extLst>
            <a:ext uri="{FF2B5EF4-FFF2-40B4-BE49-F238E27FC236}">
              <a16:creationId xmlns:a16="http://schemas.microsoft.com/office/drawing/2014/main" id="{EB1BE5A5-FE72-4008-9931-1EED1837A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57103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1391486</xdr:colOff>
      <xdr:row>148</xdr:row>
      <xdr:rowOff>155383</xdr:rowOff>
    </xdr:to>
    <xdr:pic>
      <xdr:nvPicPr>
        <xdr:cNvPr id="22" name="Immagine 21">
          <a:extLst>
            <a:ext uri="{FF2B5EF4-FFF2-40B4-BE49-F238E27FC236}">
              <a16:creationId xmlns:a16="http://schemas.microsoft.com/office/drawing/2014/main" id="{8641CE96-9D0D-4F70-8116-0076CE896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542842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48</xdr:row>
      <xdr:rowOff>28575</xdr:rowOff>
    </xdr:from>
    <xdr:to>
      <xdr:col>39</xdr:col>
      <xdr:colOff>93562</xdr:colOff>
      <xdr:row>68</xdr:row>
      <xdr:rowOff>22341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B3A0CA11-C7E4-4D7C-9EE9-CF9F4E79F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38904127" cy="320369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23</xdr:col>
      <xdr:colOff>397028</xdr:colOff>
      <xdr:row>108</xdr:row>
      <xdr:rowOff>117242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6B45DE66-8924-4DE2-9D95-33645E839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6712698" cy="53979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741881</xdr:colOff>
      <xdr:row>146</xdr:row>
      <xdr:rowOff>149668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76ABFC73-93DF-4BED-B53D-60C8A9FCE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6103146" cy="51045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28575</xdr:rowOff>
    </xdr:from>
    <xdr:to>
      <xdr:col>26</xdr:col>
      <xdr:colOff>55462</xdr:colOff>
      <xdr:row>66</xdr:row>
      <xdr:rowOff>3291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E15724E6-2980-403E-B55A-618708E71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29341027" cy="28531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104</xdr:row>
      <xdr:rowOff>155342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680E3C63-D8BA-4541-A540-9E967EB3E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47959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143</xdr:row>
      <xdr:rowOff>117283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D799CC05-402D-40B4-B245-1439F3A80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45902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28575</xdr:rowOff>
    </xdr:from>
    <xdr:to>
      <xdr:col>26</xdr:col>
      <xdr:colOff>55462</xdr:colOff>
      <xdr:row>66</xdr:row>
      <xdr:rowOff>3291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4FCEE926-CD11-4255-91CA-D594D39CA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29341027" cy="28531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104</xdr:row>
      <xdr:rowOff>155342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2E886D8F-EB8A-46A6-9A27-94C6FE837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47959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143</xdr:row>
      <xdr:rowOff>117283</xdr:rowOff>
    </xdr:to>
    <xdr:pic>
      <xdr:nvPicPr>
        <xdr:cNvPr id="10" name="Immagine 9">
          <a:extLst>
            <a:ext uri="{FF2B5EF4-FFF2-40B4-BE49-F238E27FC236}">
              <a16:creationId xmlns:a16="http://schemas.microsoft.com/office/drawing/2014/main" id="{6E48504D-521F-4EE5-BF88-4CE2F488C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45902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103</xdr:row>
      <xdr:rowOff>117242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27E6882B-BAC3-47D0-AECF-B1D15F2EC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45978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142</xdr:row>
      <xdr:rowOff>41083</xdr:rowOff>
    </xdr:to>
    <xdr:pic>
      <xdr:nvPicPr>
        <xdr:cNvPr id="12" name="Immagine 11">
          <a:extLst>
            <a:ext uri="{FF2B5EF4-FFF2-40B4-BE49-F238E27FC236}">
              <a16:creationId xmlns:a16="http://schemas.microsoft.com/office/drawing/2014/main" id="{532C662C-2970-4013-92AB-C2E8A0CB6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43540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1044728</xdr:colOff>
      <xdr:row>100</xdr:row>
      <xdr:rowOff>79142</xdr:rowOff>
    </xdr:to>
    <xdr:pic>
      <xdr:nvPicPr>
        <xdr:cNvPr id="13" name="Immagine 12">
          <a:extLst>
            <a:ext uri="{FF2B5EF4-FFF2-40B4-BE49-F238E27FC236}">
              <a16:creationId xmlns:a16="http://schemas.microsoft.com/office/drawing/2014/main" id="{C8800CE8-B831-4CB3-ACEA-BFB63EB42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15808478" cy="40796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663776</xdr:colOff>
      <xdr:row>139</xdr:row>
      <xdr:rowOff>77278</xdr:rowOff>
    </xdr:to>
    <xdr:pic>
      <xdr:nvPicPr>
        <xdr:cNvPr id="14" name="Immagine 13">
          <a:extLst>
            <a:ext uri="{FF2B5EF4-FFF2-40B4-BE49-F238E27FC236}">
              <a16:creationId xmlns:a16="http://schemas.microsoft.com/office/drawing/2014/main" id="{89BE9024-4B4E-4395-9333-FE8F50C40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15427526" cy="39082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1044728</xdr:colOff>
      <xdr:row>100</xdr:row>
      <xdr:rowOff>79142</xdr:rowOff>
    </xdr:to>
    <xdr:pic>
      <xdr:nvPicPr>
        <xdr:cNvPr id="15" name="Immagine 14">
          <a:extLst>
            <a:ext uri="{FF2B5EF4-FFF2-40B4-BE49-F238E27FC236}">
              <a16:creationId xmlns:a16="http://schemas.microsoft.com/office/drawing/2014/main" id="{129D6540-A783-4769-9F73-C13184731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15808478" cy="40796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663776</xdr:colOff>
      <xdr:row>139</xdr:row>
      <xdr:rowOff>77278</xdr:rowOff>
    </xdr:to>
    <xdr:pic>
      <xdr:nvPicPr>
        <xdr:cNvPr id="16" name="Immagine 15">
          <a:extLst>
            <a:ext uri="{FF2B5EF4-FFF2-40B4-BE49-F238E27FC236}">
              <a16:creationId xmlns:a16="http://schemas.microsoft.com/office/drawing/2014/main" id="{C1F45728-03A4-4052-8AF3-A58110B58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15427526" cy="39082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23</xdr:col>
      <xdr:colOff>397028</xdr:colOff>
      <xdr:row>108</xdr:row>
      <xdr:rowOff>117242</xdr:rowOff>
    </xdr:to>
    <xdr:pic>
      <xdr:nvPicPr>
        <xdr:cNvPr id="17" name="Immagine 16">
          <a:extLst>
            <a:ext uri="{FF2B5EF4-FFF2-40B4-BE49-F238E27FC236}">
              <a16:creationId xmlns:a16="http://schemas.microsoft.com/office/drawing/2014/main" id="{7EDF49D6-07A5-442D-AD9A-DA7447821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6712698" cy="53979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741881</xdr:colOff>
      <xdr:row>146</xdr:row>
      <xdr:rowOff>149668</xdr:rowOff>
    </xdr:to>
    <xdr:pic>
      <xdr:nvPicPr>
        <xdr:cNvPr id="18" name="Immagine 17">
          <a:extLst>
            <a:ext uri="{FF2B5EF4-FFF2-40B4-BE49-F238E27FC236}">
              <a16:creationId xmlns:a16="http://schemas.microsoft.com/office/drawing/2014/main" id="{425EC06D-8831-46BA-8C90-02F7BE10B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6103146" cy="51045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104</xdr:row>
      <xdr:rowOff>155342</xdr:rowOff>
    </xdr:to>
    <xdr:pic>
      <xdr:nvPicPr>
        <xdr:cNvPr id="19" name="Immagine 18">
          <a:extLst>
            <a:ext uri="{FF2B5EF4-FFF2-40B4-BE49-F238E27FC236}">
              <a16:creationId xmlns:a16="http://schemas.microsoft.com/office/drawing/2014/main" id="{89159767-7405-4FCE-B776-BC7D18451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47959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143</xdr:row>
      <xdr:rowOff>117283</xdr:rowOff>
    </xdr:to>
    <xdr:pic>
      <xdr:nvPicPr>
        <xdr:cNvPr id="20" name="Immagine 19">
          <a:extLst>
            <a:ext uri="{FF2B5EF4-FFF2-40B4-BE49-F238E27FC236}">
              <a16:creationId xmlns:a16="http://schemas.microsoft.com/office/drawing/2014/main" id="{71E5CBD2-CA8E-486C-8BC5-16D102B9E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45902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104</xdr:row>
      <xdr:rowOff>155342</xdr:rowOff>
    </xdr:to>
    <xdr:pic>
      <xdr:nvPicPr>
        <xdr:cNvPr id="21" name="Immagine 20">
          <a:extLst>
            <a:ext uri="{FF2B5EF4-FFF2-40B4-BE49-F238E27FC236}">
              <a16:creationId xmlns:a16="http://schemas.microsoft.com/office/drawing/2014/main" id="{C7CF9D01-CFEA-4D06-B225-E824F12A3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47959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143</xdr:row>
      <xdr:rowOff>117283</xdr:rowOff>
    </xdr:to>
    <xdr:pic>
      <xdr:nvPicPr>
        <xdr:cNvPr id="22" name="Immagine 21">
          <a:extLst>
            <a:ext uri="{FF2B5EF4-FFF2-40B4-BE49-F238E27FC236}">
              <a16:creationId xmlns:a16="http://schemas.microsoft.com/office/drawing/2014/main" id="{2AA38CF1-E8F1-490A-B2C6-133D1BD91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459022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48</xdr:row>
      <xdr:rowOff>28575</xdr:rowOff>
    </xdr:from>
    <xdr:to>
      <xdr:col>39</xdr:col>
      <xdr:colOff>91657</xdr:colOff>
      <xdr:row>76</xdr:row>
      <xdr:rowOff>79491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2CE3B3CE-B8F0-4C02-BF64-6D4F419B9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38896507" cy="4529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23</xdr:col>
      <xdr:colOff>368453</xdr:colOff>
      <xdr:row>122</xdr:row>
      <xdr:rowOff>41042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3751D56F-B5B3-454C-8689-60ADA94F7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6705078" cy="75619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739976</xdr:colOff>
      <xdr:row>160</xdr:row>
      <xdr:rowOff>31558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97517519-AFB6-4691-B335-992C1FB48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6095526" cy="7226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28575</xdr:rowOff>
    </xdr:from>
    <xdr:to>
      <xdr:col>26</xdr:col>
      <xdr:colOff>53557</xdr:colOff>
      <xdr:row>73</xdr:row>
      <xdr:rowOff>75681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7321BE62-CDF2-44C7-8ADA-D886A49CD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29333407" cy="40457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117</xdr:row>
      <xdr:rowOff>41042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F6B9B14-153F-4C15-A8D2-3E995D953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6761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155</xdr:row>
      <xdr:rowOff>69658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B58CE028-6EE4-43DD-B0EE-A086207B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28575</xdr:rowOff>
    </xdr:from>
    <xdr:to>
      <xdr:col>26</xdr:col>
      <xdr:colOff>53557</xdr:colOff>
      <xdr:row>73</xdr:row>
      <xdr:rowOff>75681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A96F84A1-B30F-49B4-BBD4-92C3D4AE7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29333407" cy="40457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117</xdr:row>
      <xdr:rowOff>41042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48F86CC6-D4AD-449F-BE76-3441BA91E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6761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155</xdr:row>
      <xdr:rowOff>69658</xdr:rowOff>
    </xdr:to>
    <xdr:pic>
      <xdr:nvPicPr>
        <xdr:cNvPr id="10" name="Immagine 9">
          <a:extLst>
            <a:ext uri="{FF2B5EF4-FFF2-40B4-BE49-F238E27FC236}">
              <a16:creationId xmlns:a16="http://schemas.microsoft.com/office/drawing/2014/main" id="{2AA12C93-7C8E-4EE1-A6F0-CB7DD4E9C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115</xdr:row>
      <xdr:rowOff>41042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F6CB3549-BD96-4ABC-99EC-73FC58C60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64418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153</xdr:row>
      <xdr:rowOff>79183</xdr:rowOff>
    </xdr:to>
    <xdr:pic>
      <xdr:nvPicPr>
        <xdr:cNvPr id="12" name="Immagine 11">
          <a:extLst>
            <a:ext uri="{FF2B5EF4-FFF2-40B4-BE49-F238E27FC236}">
              <a16:creationId xmlns:a16="http://schemas.microsoft.com/office/drawing/2014/main" id="{F7825178-068F-4B44-8571-810609B1D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61523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1035203</xdr:colOff>
      <xdr:row>110</xdr:row>
      <xdr:rowOff>155342</xdr:rowOff>
    </xdr:to>
    <xdr:pic>
      <xdr:nvPicPr>
        <xdr:cNvPr id="13" name="Immagine 12">
          <a:extLst>
            <a:ext uri="{FF2B5EF4-FFF2-40B4-BE49-F238E27FC236}">
              <a16:creationId xmlns:a16="http://schemas.microsoft.com/office/drawing/2014/main" id="{BB1398F8-8983-4E0A-ADDD-D5678DE34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15808478" cy="57560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654251</xdr:colOff>
      <xdr:row>149</xdr:row>
      <xdr:rowOff>79183</xdr:rowOff>
    </xdr:to>
    <xdr:pic>
      <xdr:nvPicPr>
        <xdr:cNvPr id="14" name="Immagine 13">
          <a:extLst>
            <a:ext uri="{FF2B5EF4-FFF2-40B4-BE49-F238E27FC236}">
              <a16:creationId xmlns:a16="http://schemas.microsoft.com/office/drawing/2014/main" id="{20B4AFB3-B847-481E-9FB9-2AD238A5C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15427526" cy="55122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1035203</xdr:colOff>
      <xdr:row>110</xdr:row>
      <xdr:rowOff>155342</xdr:rowOff>
    </xdr:to>
    <xdr:pic>
      <xdr:nvPicPr>
        <xdr:cNvPr id="15" name="Immagine 14">
          <a:extLst>
            <a:ext uri="{FF2B5EF4-FFF2-40B4-BE49-F238E27FC236}">
              <a16:creationId xmlns:a16="http://schemas.microsoft.com/office/drawing/2014/main" id="{6CB861E3-26FB-49DA-B13E-613C464B2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15808478" cy="57560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654251</xdr:colOff>
      <xdr:row>149</xdr:row>
      <xdr:rowOff>79183</xdr:rowOff>
    </xdr:to>
    <xdr:pic>
      <xdr:nvPicPr>
        <xdr:cNvPr id="16" name="Immagine 15">
          <a:extLst>
            <a:ext uri="{FF2B5EF4-FFF2-40B4-BE49-F238E27FC236}">
              <a16:creationId xmlns:a16="http://schemas.microsoft.com/office/drawing/2014/main" id="{74A5F36A-5231-43AA-8A1F-ED99D4A44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15427526" cy="55122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23</xdr:col>
      <xdr:colOff>368453</xdr:colOff>
      <xdr:row>122</xdr:row>
      <xdr:rowOff>41042</xdr:rowOff>
    </xdr:to>
    <xdr:pic>
      <xdr:nvPicPr>
        <xdr:cNvPr id="17" name="Immagine 16">
          <a:extLst>
            <a:ext uri="{FF2B5EF4-FFF2-40B4-BE49-F238E27FC236}">
              <a16:creationId xmlns:a16="http://schemas.microsoft.com/office/drawing/2014/main" id="{B589844A-62CE-4587-A082-BCD4EBB8D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6705078" cy="75619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739976</xdr:colOff>
      <xdr:row>160</xdr:row>
      <xdr:rowOff>31558</xdr:rowOff>
    </xdr:to>
    <xdr:pic>
      <xdr:nvPicPr>
        <xdr:cNvPr id="18" name="Immagine 17">
          <a:extLst>
            <a:ext uri="{FF2B5EF4-FFF2-40B4-BE49-F238E27FC236}">
              <a16:creationId xmlns:a16="http://schemas.microsoft.com/office/drawing/2014/main" id="{F10075D7-E9EA-4DB1-9A4A-5FAFFA71E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6095526" cy="7226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117</xdr:row>
      <xdr:rowOff>41042</xdr:rowOff>
    </xdr:to>
    <xdr:pic>
      <xdr:nvPicPr>
        <xdr:cNvPr id="19" name="Immagine 18">
          <a:extLst>
            <a:ext uri="{FF2B5EF4-FFF2-40B4-BE49-F238E27FC236}">
              <a16:creationId xmlns:a16="http://schemas.microsoft.com/office/drawing/2014/main" id="{3BC6B92B-B36C-4F53-84EE-F2CB437E7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6761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155</xdr:row>
      <xdr:rowOff>69658</xdr:rowOff>
    </xdr:to>
    <xdr:pic>
      <xdr:nvPicPr>
        <xdr:cNvPr id="20" name="Immagine 19">
          <a:extLst>
            <a:ext uri="{FF2B5EF4-FFF2-40B4-BE49-F238E27FC236}">
              <a16:creationId xmlns:a16="http://schemas.microsoft.com/office/drawing/2014/main" id="{FB9CCC82-6D0E-442D-BC8D-91F9EC1C2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117</xdr:row>
      <xdr:rowOff>41042</xdr:rowOff>
    </xdr:to>
    <xdr:pic>
      <xdr:nvPicPr>
        <xdr:cNvPr id="21" name="Immagine 20">
          <a:extLst>
            <a:ext uri="{FF2B5EF4-FFF2-40B4-BE49-F238E27FC236}">
              <a16:creationId xmlns:a16="http://schemas.microsoft.com/office/drawing/2014/main" id="{AAF84183-BFC9-4230-A57C-5742B860C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6761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155</xdr:row>
      <xdr:rowOff>69658</xdr:rowOff>
    </xdr:to>
    <xdr:pic>
      <xdr:nvPicPr>
        <xdr:cNvPr id="22" name="Immagine 21">
          <a:extLst>
            <a:ext uri="{FF2B5EF4-FFF2-40B4-BE49-F238E27FC236}">
              <a16:creationId xmlns:a16="http://schemas.microsoft.com/office/drawing/2014/main" id="{EDFA1DA0-1466-4A2C-86AE-3768292C6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28575</xdr:rowOff>
    </xdr:from>
    <xdr:to>
      <xdr:col>39</xdr:col>
      <xdr:colOff>91657</xdr:colOff>
      <xdr:row>76</xdr:row>
      <xdr:rowOff>79491</xdr:rowOff>
    </xdr:to>
    <xdr:pic>
      <xdr:nvPicPr>
        <xdr:cNvPr id="23" name="Immagine 22">
          <a:extLst>
            <a:ext uri="{FF2B5EF4-FFF2-40B4-BE49-F238E27FC236}">
              <a16:creationId xmlns:a16="http://schemas.microsoft.com/office/drawing/2014/main" id="{93DCB0E3-E5AB-40D8-9CF8-BA217F660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38896507" cy="4529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23</xdr:col>
      <xdr:colOff>368453</xdr:colOff>
      <xdr:row>122</xdr:row>
      <xdr:rowOff>41042</xdr:rowOff>
    </xdr:to>
    <xdr:pic>
      <xdr:nvPicPr>
        <xdr:cNvPr id="24" name="Immagine 23">
          <a:extLst>
            <a:ext uri="{FF2B5EF4-FFF2-40B4-BE49-F238E27FC236}">
              <a16:creationId xmlns:a16="http://schemas.microsoft.com/office/drawing/2014/main" id="{0C578A5E-EB07-43FB-A2BD-494CC7D8D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6705078" cy="75619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739976</xdr:colOff>
      <xdr:row>160</xdr:row>
      <xdr:rowOff>31558</xdr:rowOff>
    </xdr:to>
    <xdr:pic>
      <xdr:nvPicPr>
        <xdr:cNvPr id="25" name="Immagine 24">
          <a:extLst>
            <a:ext uri="{FF2B5EF4-FFF2-40B4-BE49-F238E27FC236}">
              <a16:creationId xmlns:a16="http://schemas.microsoft.com/office/drawing/2014/main" id="{9988A2A5-B5AD-4A09-9CAA-9EC1AAECF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6095526" cy="7226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28575</xdr:rowOff>
    </xdr:from>
    <xdr:to>
      <xdr:col>26</xdr:col>
      <xdr:colOff>53557</xdr:colOff>
      <xdr:row>73</xdr:row>
      <xdr:rowOff>75681</xdr:rowOff>
    </xdr:to>
    <xdr:pic>
      <xdr:nvPicPr>
        <xdr:cNvPr id="26" name="Immagine 25">
          <a:extLst>
            <a:ext uri="{FF2B5EF4-FFF2-40B4-BE49-F238E27FC236}">
              <a16:creationId xmlns:a16="http://schemas.microsoft.com/office/drawing/2014/main" id="{EF67154D-27FB-4716-AB9C-4B4B95C44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29333407" cy="40457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117</xdr:row>
      <xdr:rowOff>41042</xdr:rowOff>
    </xdr:to>
    <xdr:pic>
      <xdr:nvPicPr>
        <xdr:cNvPr id="27" name="Immagine 26">
          <a:extLst>
            <a:ext uri="{FF2B5EF4-FFF2-40B4-BE49-F238E27FC236}">
              <a16:creationId xmlns:a16="http://schemas.microsoft.com/office/drawing/2014/main" id="{0C9C3B10-127C-46E3-9355-1D60C9044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6761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155</xdr:row>
      <xdr:rowOff>69658</xdr:rowOff>
    </xdr:to>
    <xdr:pic>
      <xdr:nvPicPr>
        <xdr:cNvPr id="28" name="Immagine 27">
          <a:extLst>
            <a:ext uri="{FF2B5EF4-FFF2-40B4-BE49-F238E27FC236}">
              <a16:creationId xmlns:a16="http://schemas.microsoft.com/office/drawing/2014/main" id="{A1490314-83E6-4494-B742-C2E3AE157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28575</xdr:rowOff>
    </xdr:from>
    <xdr:to>
      <xdr:col>26</xdr:col>
      <xdr:colOff>53557</xdr:colOff>
      <xdr:row>73</xdr:row>
      <xdr:rowOff>75681</xdr:rowOff>
    </xdr:to>
    <xdr:pic>
      <xdr:nvPicPr>
        <xdr:cNvPr id="29" name="Immagine 28">
          <a:extLst>
            <a:ext uri="{FF2B5EF4-FFF2-40B4-BE49-F238E27FC236}">
              <a16:creationId xmlns:a16="http://schemas.microsoft.com/office/drawing/2014/main" id="{5253D844-5DF5-4EFD-9C28-A28EA5B31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29333407" cy="40457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117</xdr:row>
      <xdr:rowOff>41042</xdr:rowOff>
    </xdr:to>
    <xdr:pic>
      <xdr:nvPicPr>
        <xdr:cNvPr id="30" name="Immagine 29">
          <a:extLst>
            <a:ext uri="{FF2B5EF4-FFF2-40B4-BE49-F238E27FC236}">
              <a16:creationId xmlns:a16="http://schemas.microsoft.com/office/drawing/2014/main" id="{72604D93-3FF1-405F-84C1-39F752962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6761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155</xdr:row>
      <xdr:rowOff>69658</xdr:rowOff>
    </xdr:to>
    <xdr:pic>
      <xdr:nvPicPr>
        <xdr:cNvPr id="31" name="Immagine 30">
          <a:extLst>
            <a:ext uri="{FF2B5EF4-FFF2-40B4-BE49-F238E27FC236}">
              <a16:creationId xmlns:a16="http://schemas.microsoft.com/office/drawing/2014/main" id="{BFEDD406-E7EB-4DEC-B0CB-14A7E1C2D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115</xdr:row>
      <xdr:rowOff>41042</xdr:rowOff>
    </xdr:to>
    <xdr:pic>
      <xdr:nvPicPr>
        <xdr:cNvPr id="32" name="Immagine 31">
          <a:extLst>
            <a:ext uri="{FF2B5EF4-FFF2-40B4-BE49-F238E27FC236}">
              <a16:creationId xmlns:a16="http://schemas.microsoft.com/office/drawing/2014/main" id="{80579245-23B9-4C2E-A1A9-DF139E151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64418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153</xdr:row>
      <xdr:rowOff>79183</xdr:rowOff>
    </xdr:to>
    <xdr:pic>
      <xdr:nvPicPr>
        <xdr:cNvPr id="33" name="Immagine 32">
          <a:extLst>
            <a:ext uri="{FF2B5EF4-FFF2-40B4-BE49-F238E27FC236}">
              <a16:creationId xmlns:a16="http://schemas.microsoft.com/office/drawing/2014/main" id="{BCFA4627-6BC1-4998-A452-DF45EDBF5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61523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1035203</xdr:colOff>
      <xdr:row>110</xdr:row>
      <xdr:rowOff>155342</xdr:rowOff>
    </xdr:to>
    <xdr:pic>
      <xdr:nvPicPr>
        <xdr:cNvPr id="34" name="Immagine 33">
          <a:extLst>
            <a:ext uri="{FF2B5EF4-FFF2-40B4-BE49-F238E27FC236}">
              <a16:creationId xmlns:a16="http://schemas.microsoft.com/office/drawing/2014/main" id="{86F2C223-AAF6-4B91-836F-4E8F7B4CF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15808478" cy="57560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654251</xdr:colOff>
      <xdr:row>149</xdr:row>
      <xdr:rowOff>79183</xdr:rowOff>
    </xdr:to>
    <xdr:pic>
      <xdr:nvPicPr>
        <xdr:cNvPr id="35" name="Immagine 34">
          <a:extLst>
            <a:ext uri="{FF2B5EF4-FFF2-40B4-BE49-F238E27FC236}">
              <a16:creationId xmlns:a16="http://schemas.microsoft.com/office/drawing/2014/main" id="{6607136B-44D1-42B6-9CB6-6A4166363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15427526" cy="55122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1035203</xdr:colOff>
      <xdr:row>110</xdr:row>
      <xdr:rowOff>155342</xdr:rowOff>
    </xdr:to>
    <xdr:pic>
      <xdr:nvPicPr>
        <xdr:cNvPr id="36" name="Immagine 35">
          <a:extLst>
            <a:ext uri="{FF2B5EF4-FFF2-40B4-BE49-F238E27FC236}">
              <a16:creationId xmlns:a16="http://schemas.microsoft.com/office/drawing/2014/main" id="{53DDF86F-C587-43E5-AC80-AB11B09A3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15808478" cy="57560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654251</xdr:colOff>
      <xdr:row>149</xdr:row>
      <xdr:rowOff>79183</xdr:rowOff>
    </xdr:to>
    <xdr:pic>
      <xdr:nvPicPr>
        <xdr:cNvPr id="37" name="Immagine 36">
          <a:extLst>
            <a:ext uri="{FF2B5EF4-FFF2-40B4-BE49-F238E27FC236}">
              <a16:creationId xmlns:a16="http://schemas.microsoft.com/office/drawing/2014/main" id="{8C3BCFC1-235B-4B36-B2C3-CE8A759F3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15427526" cy="55122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23</xdr:col>
      <xdr:colOff>368453</xdr:colOff>
      <xdr:row>122</xdr:row>
      <xdr:rowOff>41042</xdr:rowOff>
    </xdr:to>
    <xdr:pic>
      <xdr:nvPicPr>
        <xdr:cNvPr id="38" name="Immagine 37">
          <a:extLst>
            <a:ext uri="{FF2B5EF4-FFF2-40B4-BE49-F238E27FC236}">
              <a16:creationId xmlns:a16="http://schemas.microsoft.com/office/drawing/2014/main" id="{261E571B-B3ED-4AAE-A10B-BC5A7FEDD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6705078" cy="75619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739976</xdr:colOff>
      <xdr:row>160</xdr:row>
      <xdr:rowOff>31558</xdr:rowOff>
    </xdr:to>
    <xdr:pic>
      <xdr:nvPicPr>
        <xdr:cNvPr id="39" name="Immagine 38">
          <a:extLst>
            <a:ext uri="{FF2B5EF4-FFF2-40B4-BE49-F238E27FC236}">
              <a16:creationId xmlns:a16="http://schemas.microsoft.com/office/drawing/2014/main" id="{18C2EC3E-F142-4332-93A1-034D1CD1B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6095526" cy="7226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117</xdr:row>
      <xdr:rowOff>41042</xdr:rowOff>
    </xdr:to>
    <xdr:pic>
      <xdr:nvPicPr>
        <xdr:cNvPr id="40" name="Immagine 39">
          <a:extLst>
            <a:ext uri="{FF2B5EF4-FFF2-40B4-BE49-F238E27FC236}">
              <a16:creationId xmlns:a16="http://schemas.microsoft.com/office/drawing/2014/main" id="{88193054-E1CB-4093-9735-541D97FF2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6761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155</xdr:row>
      <xdr:rowOff>69658</xdr:rowOff>
    </xdr:to>
    <xdr:pic>
      <xdr:nvPicPr>
        <xdr:cNvPr id="41" name="Immagine 40">
          <a:extLst>
            <a:ext uri="{FF2B5EF4-FFF2-40B4-BE49-F238E27FC236}">
              <a16:creationId xmlns:a16="http://schemas.microsoft.com/office/drawing/2014/main" id="{F306847E-A427-41F4-947A-044BA9782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117</xdr:row>
      <xdr:rowOff>41042</xdr:rowOff>
    </xdr:to>
    <xdr:pic>
      <xdr:nvPicPr>
        <xdr:cNvPr id="42" name="Immagine 41">
          <a:extLst>
            <a:ext uri="{FF2B5EF4-FFF2-40B4-BE49-F238E27FC236}">
              <a16:creationId xmlns:a16="http://schemas.microsoft.com/office/drawing/2014/main" id="{6F4D6D78-A35C-48AC-B8C6-8CC91F7D6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6761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155</xdr:row>
      <xdr:rowOff>69658</xdr:rowOff>
    </xdr:to>
    <xdr:pic>
      <xdr:nvPicPr>
        <xdr:cNvPr id="43" name="Immagine 42">
          <a:extLst>
            <a:ext uri="{FF2B5EF4-FFF2-40B4-BE49-F238E27FC236}">
              <a16:creationId xmlns:a16="http://schemas.microsoft.com/office/drawing/2014/main" id="{287B1A8B-4FC6-46D5-8FAF-A3EAD62E2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646474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48</xdr:row>
      <xdr:rowOff>28575</xdr:rowOff>
    </xdr:from>
    <xdr:to>
      <xdr:col>39</xdr:col>
      <xdr:colOff>95467</xdr:colOff>
      <xdr:row>71</xdr:row>
      <xdr:rowOff>155691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12A265DC-A82D-445C-BBD5-DC832BBF5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38896507" cy="38056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23</xdr:col>
      <xdr:colOff>364643</xdr:colOff>
      <xdr:row>114</xdr:row>
      <xdr:rowOff>155342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03C9294A-33E0-44D8-9B6F-8702E0657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6705078" cy="63942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743786</xdr:colOff>
      <xdr:row>152</xdr:row>
      <xdr:rowOff>155383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0994E366-EE46-438B-8ADD-C898204CB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6095526" cy="60685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28575</xdr:rowOff>
    </xdr:from>
    <xdr:to>
      <xdr:col>26</xdr:col>
      <xdr:colOff>57367</xdr:colOff>
      <xdr:row>69</xdr:row>
      <xdr:rowOff>68061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970BE9DD-67A9-4711-BC22-A3BFCF089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29333407" cy="34018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324638</xdr:colOff>
      <xdr:row>110</xdr:row>
      <xdr:rowOff>105812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A3F96C6-E4DD-4803-9341-5CC01EA92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57103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1391486</xdr:colOff>
      <xdr:row>148</xdr:row>
      <xdr:rowOff>155383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E885819F-FB0D-4CAE-A522-CB49EBFA4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54284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28575</xdr:rowOff>
    </xdr:from>
    <xdr:to>
      <xdr:col>26</xdr:col>
      <xdr:colOff>57367</xdr:colOff>
      <xdr:row>69</xdr:row>
      <xdr:rowOff>68061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E9DA24D5-821B-4C57-AD4D-A2BBCE55D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29333407" cy="34018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324638</xdr:colOff>
      <xdr:row>110</xdr:row>
      <xdr:rowOff>105812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D2EEEFD6-9E8A-4E1B-A1B1-E9F806435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57103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1391486</xdr:colOff>
      <xdr:row>148</xdr:row>
      <xdr:rowOff>155383</xdr:rowOff>
    </xdr:to>
    <xdr:pic>
      <xdr:nvPicPr>
        <xdr:cNvPr id="10" name="Immagine 9">
          <a:extLst>
            <a:ext uri="{FF2B5EF4-FFF2-40B4-BE49-F238E27FC236}">
              <a16:creationId xmlns:a16="http://schemas.microsoft.com/office/drawing/2014/main" id="{55317B8D-D2E5-48F0-BC6A-F5543ED99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54284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324638</xdr:colOff>
      <xdr:row>108</xdr:row>
      <xdr:rowOff>155342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D8E2F41D-4F52-4E08-A644-563DC09E2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54360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1391486</xdr:colOff>
      <xdr:row>147</xdr:row>
      <xdr:rowOff>67753</xdr:rowOff>
    </xdr:to>
    <xdr:pic>
      <xdr:nvPicPr>
        <xdr:cNvPr id="12" name="Immagine 11">
          <a:extLst>
            <a:ext uri="{FF2B5EF4-FFF2-40B4-BE49-F238E27FC236}">
              <a16:creationId xmlns:a16="http://schemas.microsoft.com/office/drawing/2014/main" id="{87BCC536-9819-406D-A278-6C8031CC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51845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1037108</xdr:colOff>
      <xdr:row>105</xdr:row>
      <xdr:rowOff>41042</xdr:rowOff>
    </xdr:to>
    <xdr:pic>
      <xdr:nvPicPr>
        <xdr:cNvPr id="13" name="Immagine 12">
          <a:extLst>
            <a:ext uri="{FF2B5EF4-FFF2-40B4-BE49-F238E27FC236}">
              <a16:creationId xmlns:a16="http://schemas.microsoft.com/office/drawing/2014/main" id="{48DE16FD-1A77-422A-93B8-DA05B3596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15808478" cy="48416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656156</xdr:colOff>
      <xdr:row>144</xdr:row>
      <xdr:rowOff>2983</xdr:rowOff>
    </xdr:to>
    <xdr:pic>
      <xdr:nvPicPr>
        <xdr:cNvPr id="14" name="Immagine 13">
          <a:extLst>
            <a:ext uri="{FF2B5EF4-FFF2-40B4-BE49-F238E27FC236}">
              <a16:creationId xmlns:a16="http://schemas.microsoft.com/office/drawing/2014/main" id="{6D210BF8-3F4F-4534-8236-3B2DD61CE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15427526" cy="46359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1037108</xdr:colOff>
      <xdr:row>105</xdr:row>
      <xdr:rowOff>41042</xdr:rowOff>
    </xdr:to>
    <xdr:pic>
      <xdr:nvPicPr>
        <xdr:cNvPr id="15" name="Immagine 14">
          <a:extLst>
            <a:ext uri="{FF2B5EF4-FFF2-40B4-BE49-F238E27FC236}">
              <a16:creationId xmlns:a16="http://schemas.microsoft.com/office/drawing/2014/main" id="{653530F8-70B8-4960-9BAB-5F558547E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15808478" cy="48416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656156</xdr:colOff>
      <xdr:row>144</xdr:row>
      <xdr:rowOff>2983</xdr:rowOff>
    </xdr:to>
    <xdr:pic>
      <xdr:nvPicPr>
        <xdr:cNvPr id="16" name="Immagine 15">
          <a:extLst>
            <a:ext uri="{FF2B5EF4-FFF2-40B4-BE49-F238E27FC236}">
              <a16:creationId xmlns:a16="http://schemas.microsoft.com/office/drawing/2014/main" id="{C9FCCD64-DE0F-4026-BEE4-F530DEF10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15427526" cy="46359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23</xdr:col>
      <xdr:colOff>364643</xdr:colOff>
      <xdr:row>114</xdr:row>
      <xdr:rowOff>155342</xdr:rowOff>
    </xdr:to>
    <xdr:pic>
      <xdr:nvPicPr>
        <xdr:cNvPr id="17" name="Immagine 16">
          <a:extLst>
            <a:ext uri="{FF2B5EF4-FFF2-40B4-BE49-F238E27FC236}">
              <a16:creationId xmlns:a16="http://schemas.microsoft.com/office/drawing/2014/main" id="{DF604C08-3227-41FF-9BA0-DA00EA52C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6705078" cy="63942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743786</xdr:colOff>
      <xdr:row>152</xdr:row>
      <xdr:rowOff>155383</xdr:rowOff>
    </xdr:to>
    <xdr:pic>
      <xdr:nvPicPr>
        <xdr:cNvPr id="18" name="Immagine 17">
          <a:extLst>
            <a:ext uri="{FF2B5EF4-FFF2-40B4-BE49-F238E27FC236}">
              <a16:creationId xmlns:a16="http://schemas.microsoft.com/office/drawing/2014/main" id="{F567F7CE-2C8E-4A80-8587-917BB2CA5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6095526" cy="60685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324638</xdr:colOff>
      <xdr:row>110</xdr:row>
      <xdr:rowOff>105812</xdr:rowOff>
    </xdr:to>
    <xdr:pic>
      <xdr:nvPicPr>
        <xdr:cNvPr id="19" name="Immagine 18">
          <a:extLst>
            <a:ext uri="{FF2B5EF4-FFF2-40B4-BE49-F238E27FC236}">
              <a16:creationId xmlns:a16="http://schemas.microsoft.com/office/drawing/2014/main" id="{655EBC2A-B34A-4BD0-AF21-20B788A59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57103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1391486</xdr:colOff>
      <xdr:row>148</xdr:row>
      <xdr:rowOff>155383</xdr:rowOff>
    </xdr:to>
    <xdr:pic>
      <xdr:nvPicPr>
        <xdr:cNvPr id="20" name="Immagine 19">
          <a:extLst>
            <a:ext uri="{FF2B5EF4-FFF2-40B4-BE49-F238E27FC236}">
              <a16:creationId xmlns:a16="http://schemas.microsoft.com/office/drawing/2014/main" id="{389C067A-9B6B-4CDB-AED0-41B694F60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54284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324638</xdr:colOff>
      <xdr:row>110</xdr:row>
      <xdr:rowOff>105812</xdr:rowOff>
    </xdr:to>
    <xdr:pic>
      <xdr:nvPicPr>
        <xdr:cNvPr id="21" name="Immagine 20">
          <a:extLst>
            <a:ext uri="{FF2B5EF4-FFF2-40B4-BE49-F238E27FC236}">
              <a16:creationId xmlns:a16="http://schemas.microsoft.com/office/drawing/2014/main" id="{42906074-4DBB-4525-9946-359E41255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57103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1391486</xdr:colOff>
      <xdr:row>148</xdr:row>
      <xdr:rowOff>155383</xdr:rowOff>
    </xdr:to>
    <xdr:pic>
      <xdr:nvPicPr>
        <xdr:cNvPr id="22" name="Immagine 21">
          <a:extLst>
            <a:ext uri="{FF2B5EF4-FFF2-40B4-BE49-F238E27FC236}">
              <a16:creationId xmlns:a16="http://schemas.microsoft.com/office/drawing/2014/main" id="{A300844B-EC31-411C-A5FF-7EAD870B0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542842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48</xdr:row>
      <xdr:rowOff>28575</xdr:rowOff>
    </xdr:from>
    <xdr:to>
      <xdr:col>39</xdr:col>
      <xdr:colOff>101182</xdr:colOff>
      <xdr:row>68</xdr:row>
      <xdr:rowOff>31866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3CDCFA48-8D82-4A40-B8B9-F1D8BBA43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38911747" cy="320369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23</xdr:col>
      <xdr:colOff>387503</xdr:colOff>
      <xdr:row>108</xdr:row>
      <xdr:rowOff>117242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07DB52E8-C9AD-419B-95B4-DB24589BE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6720318" cy="53979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749501</xdr:colOff>
      <xdr:row>146</xdr:row>
      <xdr:rowOff>145858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6E74BDF-F5C0-4992-8893-F99D80288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6110766" cy="51026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28575</xdr:rowOff>
    </xdr:from>
    <xdr:to>
      <xdr:col>26</xdr:col>
      <xdr:colOff>63082</xdr:colOff>
      <xdr:row>66</xdr:row>
      <xdr:rowOff>3291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A9694998-08EB-4421-B141-C78DB6A91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29348647" cy="28531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104</xdr:row>
      <xdr:rowOff>155342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D9F52D28-015A-4108-86FE-E0F5CDB5A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47959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143</xdr:row>
      <xdr:rowOff>117283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C9860A47-8A95-4BB0-B49D-283F1F18B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45902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28575</xdr:rowOff>
    </xdr:from>
    <xdr:to>
      <xdr:col>26</xdr:col>
      <xdr:colOff>63082</xdr:colOff>
      <xdr:row>66</xdr:row>
      <xdr:rowOff>3291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30E2023-9545-4C58-A6BD-091C390C6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29348647" cy="28531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104</xdr:row>
      <xdr:rowOff>155342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5328F574-D083-4D46-B557-2E4A28DDB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47959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143</xdr:row>
      <xdr:rowOff>117283</xdr:rowOff>
    </xdr:to>
    <xdr:pic>
      <xdr:nvPicPr>
        <xdr:cNvPr id="10" name="Immagine 9">
          <a:extLst>
            <a:ext uri="{FF2B5EF4-FFF2-40B4-BE49-F238E27FC236}">
              <a16:creationId xmlns:a16="http://schemas.microsoft.com/office/drawing/2014/main" id="{4DBD6C55-13C3-4DA7-A150-DA4E3A5DC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45902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103</xdr:row>
      <xdr:rowOff>117242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2C4D9D9B-9A66-470C-BE94-919FA75D2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45978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142</xdr:row>
      <xdr:rowOff>41083</xdr:rowOff>
    </xdr:to>
    <xdr:pic>
      <xdr:nvPicPr>
        <xdr:cNvPr id="12" name="Immagine 11">
          <a:extLst>
            <a:ext uri="{FF2B5EF4-FFF2-40B4-BE49-F238E27FC236}">
              <a16:creationId xmlns:a16="http://schemas.microsoft.com/office/drawing/2014/main" id="{94A2767C-7F10-44AE-ABAD-D12F0EBAC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43540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1035203</xdr:colOff>
      <xdr:row>100</xdr:row>
      <xdr:rowOff>79142</xdr:rowOff>
    </xdr:to>
    <xdr:pic>
      <xdr:nvPicPr>
        <xdr:cNvPr id="13" name="Immagine 12">
          <a:extLst>
            <a:ext uri="{FF2B5EF4-FFF2-40B4-BE49-F238E27FC236}">
              <a16:creationId xmlns:a16="http://schemas.microsoft.com/office/drawing/2014/main" id="{6AF7D7C7-B4BC-44C4-AAC9-8ECB9E843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15808478" cy="40796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654251</xdr:colOff>
      <xdr:row>139</xdr:row>
      <xdr:rowOff>79183</xdr:rowOff>
    </xdr:to>
    <xdr:pic>
      <xdr:nvPicPr>
        <xdr:cNvPr id="14" name="Immagine 13">
          <a:extLst>
            <a:ext uri="{FF2B5EF4-FFF2-40B4-BE49-F238E27FC236}">
              <a16:creationId xmlns:a16="http://schemas.microsoft.com/office/drawing/2014/main" id="{38A55B3F-04CE-4591-8F31-D865ACAD5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15427526" cy="39101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1035203</xdr:colOff>
      <xdr:row>100</xdr:row>
      <xdr:rowOff>79142</xdr:rowOff>
    </xdr:to>
    <xdr:pic>
      <xdr:nvPicPr>
        <xdr:cNvPr id="15" name="Immagine 14">
          <a:extLst>
            <a:ext uri="{FF2B5EF4-FFF2-40B4-BE49-F238E27FC236}">
              <a16:creationId xmlns:a16="http://schemas.microsoft.com/office/drawing/2014/main" id="{1307CCC2-247B-4271-811D-B7DFB8984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15808478" cy="40796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654251</xdr:colOff>
      <xdr:row>139</xdr:row>
      <xdr:rowOff>79183</xdr:rowOff>
    </xdr:to>
    <xdr:pic>
      <xdr:nvPicPr>
        <xdr:cNvPr id="16" name="Immagine 15">
          <a:extLst>
            <a:ext uri="{FF2B5EF4-FFF2-40B4-BE49-F238E27FC236}">
              <a16:creationId xmlns:a16="http://schemas.microsoft.com/office/drawing/2014/main" id="{9393B954-6E85-47DF-91CF-9D952AF44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15427526" cy="39101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23</xdr:col>
      <xdr:colOff>387503</xdr:colOff>
      <xdr:row>108</xdr:row>
      <xdr:rowOff>117242</xdr:rowOff>
    </xdr:to>
    <xdr:pic>
      <xdr:nvPicPr>
        <xdr:cNvPr id="17" name="Immagine 16">
          <a:extLst>
            <a:ext uri="{FF2B5EF4-FFF2-40B4-BE49-F238E27FC236}">
              <a16:creationId xmlns:a16="http://schemas.microsoft.com/office/drawing/2014/main" id="{2720D3C1-0D47-457C-AE7F-C704BE63A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6720318" cy="53979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749501</xdr:colOff>
      <xdr:row>146</xdr:row>
      <xdr:rowOff>145858</xdr:rowOff>
    </xdr:to>
    <xdr:pic>
      <xdr:nvPicPr>
        <xdr:cNvPr id="18" name="Immagine 17">
          <a:extLst>
            <a:ext uri="{FF2B5EF4-FFF2-40B4-BE49-F238E27FC236}">
              <a16:creationId xmlns:a16="http://schemas.microsoft.com/office/drawing/2014/main" id="{D1E6D0E1-2207-471E-BB7E-108F47C29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6110766" cy="51026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104</xdr:row>
      <xdr:rowOff>155342</xdr:rowOff>
    </xdr:to>
    <xdr:pic>
      <xdr:nvPicPr>
        <xdr:cNvPr id="19" name="Immagine 18">
          <a:extLst>
            <a:ext uri="{FF2B5EF4-FFF2-40B4-BE49-F238E27FC236}">
              <a16:creationId xmlns:a16="http://schemas.microsoft.com/office/drawing/2014/main" id="{FEA70BEB-1977-4F6D-8994-AAED7C672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47959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143</xdr:row>
      <xdr:rowOff>117283</xdr:rowOff>
    </xdr:to>
    <xdr:pic>
      <xdr:nvPicPr>
        <xdr:cNvPr id="20" name="Immagine 19">
          <a:extLst>
            <a:ext uri="{FF2B5EF4-FFF2-40B4-BE49-F238E27FC236}">
              <a16:creationId xmlns:a16="http://schemas.microsoft.com/office/drawing/2014/main" id="{11219F89-95EF-4826-BE41-5D3EF8CCE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45902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104</xdr:row>
      <xdr:rowOff>155342</xdr:rowOff>
    </xdr:to>
    <xdr:pic>
      <xdr:nvPicPr>
        <xdr:cNvPr id="21" name="Immagine 20">
          <a:extLst>
            <a:ext uri="{FF2B5EF4-FFF2-40B4-BE49-F238E27FC236}">
              <a16:creationId xmlns:a16="http://schemas.microsoft.com/office/drawing/2014/main" id="{8434965D-DD90-4278-AA48-E4C0FF257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47959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143</xdr:row>
      <xdr:rowOff>117283</xdr:rowOff>
    </xdr:to>
    <xdr:pic>
      <xdr:nvPicPr>
        <xdr:cNvPr id="22" name="Immagine 21">
          <a:extLst>
            <a:ext uri="{FF2B5EF4-FFF2-40B4-BE49-F238E27FC236}">
              <a16:creationId xmlns:a16="http://schemas.microsoft.com/office/drawing/2014/main" id="{9DED0ACE-F51B-480F-A094-32E51E4E4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459022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48</xdr:row>
      <xdr:rowOff>28575</xdr:rowOff>
    </xdr:from>
    <xdr:to>
      <xdr:col>39</xdr:col>
      <xdr:colOff>95467</xdr:colOff>
      <xdr:row>76</xdr:row>
      <xdr:rowOff>79491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19A0EBC3-6D8F-4E29-87BB-D115EBBBC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38896507" cy="4529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23</xdr:col>
      <xdr:colOff>364643</xdr:colOff>
      <xdr:row>122</xdr:row>
      <xdr:rowOff>41042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D5906549-D2D9-4FFB-9011-CDE3BABF0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6705078" cy="75619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743786</xdr:colOff>
      <xdr:row>160</xdr:row>
      <xdr:rowOff>29653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F345A552-6669-465F-A80F-AC35087CF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6095526" cy="7226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28575</xdr:rowOff>
    </xdr:from>
    <xdr:to>
      <xdr:col>26</xdr:col>
      <xdr:colOff>57367</xdr:colOff>
      <xdr:row>73</xdr:row>
      <xdr:rowOff>75681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8753B0D3-E8E1-4D3C-94B4-E2B2263CD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29333407" cy="40457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324638</xdr:colOff>
      <xdr:row>117</xdr:row>
      <xdr:rowOff>41042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C39D157F-0B4B-44CC-876F-30A9F6498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6761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1391486</xdr:colOff>
      <xdr:row>155</xdr:row>
      <xdr:rowOff>67753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D66A7476-F93C-4910-8FAC-F07926C6E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28575</xdr:rowOff>
    </xdr:from>
    <xdr:to>
      <xdr:col>26</xdr:col>
      <xdr:colOff>57367</xdr:colOff>
      <xdr:row>73</xdr:row>
      <xdr:rowOff>75681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ED87F272-8B32-4520-AE3C-86C223534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29333407" cy="40457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324638</xdr:colOff>
      <xdr:row>117</xdr:row>
      <xdr:rowOff>41042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EC27C7C4-5C41-47D5-81B6-16AE036F8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6761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1391486</xdr:colOff>
      <xdr:row>155</xdr:row>
      <xdr:rowOff>67753</xdr:rowOff>
    </xdr:to>
    <xdr:pic>
      <xdr:nvPicPr>
        <xdr:cNvPr id="10" name="Immagine 9">
          <a:extLst>
            <a:ext uri="{FF2B5EF4-FFF2-40B4-BE49-F238E27FC236}">
              <a16:creationId xmlns:a16="http://schemas.microsoft.com/office/drawing/2014/main" id="{2163CE3E-CE5C-45A5-BC00-215C58B2F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324638</xdr:colOff>
      <xdr:row>115</xdr:row>
      <xdr:rowOff>41042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41F0411D-E107-4C7A-9566-19708D345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64418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1391486</xdr:colOff>
      <xdr:row>153</xdr:row>
      <xdr:rowOff>79183</xdr:rowOff>
    </xdr:to>
    <xdr:pic>
      <xdr:nvPicPr>
        <xdr:cNvPr id="12" name="Immagine 11">
          <a:extLst>
            <a:ext uri="{FF2B5EF4-FFF2-40B4-BE49-F238E27FC236}">
              <a16:creationId xmlns:a16="http://schemas.microsoft.com/office/drawing/2014/main" id="{22F1BFDD-A15A-421F-9201-78EEBB081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61523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1037108</xdr:colOff>
      <xdr:row>110</xdr:row>
      <xdr:rowOff>155342</xdr:rowOff>
    </xdr:to>
    <xdr:pic>
      <xdr:nvPicPr>
        <xdr:cNvPr id="13" name="Immagine 12">
          <a:extLst>
            <a:ext uri="{FF2B5EF4-FFF2-40B4-BE49-F238E27FC236}">
              <a16:creationId xmlns:a16="http://schemas.microsoft.com/office/drawing/2014/main" id="{DDF8CF6E-A7A0-4E19-ABAA-530F75866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15808478" cy="57560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656156</xdr:colOff>
      <xdr:row>149</xdr:row>
      <xdr:rowOff>79183</xdr:rowOff>
    </xdr:to>
    <xdr:pic>
      <xdr:nvPicPr>
        <xdr:cNvPr id="14" name="Immagine 13">
          <a:extLst>
            <a:ext uri="{FF2B5EF4-FFF2-40B4-BE49-F238E27FC236}">
              <a16:creationId xmlns:a16="http://schemas.microsoft.com/office/drawing/2014/main" id="{34B68F60-70CB-449C-BB94-1D3679E46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15427526" cy="55122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1037108</xdr:colOff>
      <xdr:row>110</xdr:row>
      <xdr:rowOff>155342</xdr:rowOff>
    </xdr:to>
    <xdr:pic>
      <xdr:nvPicPr>
        <xdr:cNvPr id="15" name="Immagine 14">
          <a:extLst>
            <a:ext uri="{FF2B5EF4-FFF2-40B4-BE49-F238E27FC236}">
              <a16:creationId xmlns:a16="http://schemas.microsoft.com/office/drawing/2014/main" id="{2FFF3EC8-62E5-400A-A23D-D757A1395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15808478" cy="57560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656156</xdr:colOff>
      <xdr:row>149</xdr:row>
      <xdr:rowOff>79183</xdr:rowOff>
    </xdr:to>
    <xdr:pic>
      <xdr:nvPicPr>
        <xdr:cNvPr id="16" name="Immagine 15">
          <a:extLst>
            <a:ext uri="{FF2B5EF4-FFF2-40B4-BE49-F238E27FC236}">
              <a16:creationId xmlns:a16="http://schemas.microsoft.com/office/drawing/2014/main" id="{06808B2E-EEF4-4982-BCA4-991435BE2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15427526" cy="55122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23</xdr:col>
      <xdr:colOff>364643</xdr:colOff>
      <xdr:row>122</xdr:row>
      <xdr:rowOff>41042</xdr:rowOff>
    </xdr:to>
    <xdr:pic>
      <xdr:nvPicPr>
        <xdr:cNvPr id="17" name="Immagine 16">
          <a:extLst>
            <a:ext uri="{FF2B5EF4-FFF2-40B4-BE49-F238E27FC236}">
              <a16:creationId xmlns:a16="http://schemas.microsoft.com/office/drawing/2014/main" id="{156BD442-0F38-4C77-8FC0-F3AFB3D2D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6705078" cy="75619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743786</xdr:colOff>
      <xdr:row>160</xdr:row>
      <xdr:rowOff>29653</xdr:rowOff>
    </xdr:to>
    <xdr:pic>
      <xdr:nvPicPr>
        <xdr:cNvPr id="18" name="Immagine 17">
          <a:extLst>
            <a:ext uri="{FF2B5EF4-FFF2-40B4-BE49-F238E27FC236}">
              <a16:creationId xmlns:a16="http://schemas.microsoft.com/office/drawing/2014/main" id="{27012C40-CD25-4CDF-A2E9-C9CC6A5A2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6095526" cy="7226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324638</xdr:colOff>
      <xdr:row>117</xdr:row>
      <xdr:rowOff>41042</xdr:rowOff>
    </xdr:to>
    <xdr:pic>
      <xdr:nvPicPr>
        <xdr:cNvPr id="19" name="Immagine 18">
          <a:extLst>
            <a:ext uri="{FF2B5EF4-FFF2-40B4-BE49-F238E27FC236}">
              <a16:creationId xmlns:a16="http://schemas.microsoft.com/office/drawing/2014/main" id="{3B0F81EC-FAF2-4A14-B681-D1CBD3D05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6761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1391486</xdr:colOff>
      <xdr:row>155</xdr:row>
      <xdr:rowOff>67753</xdr:rowOff>
    </xdr:to>
    <xdr:pic>
      <xdr:nvPicPr>
        <xdr:cNvPr id="20" name="Immagine 19">
          <a:extLst>
            <a:ext uri="{FF2B5EF4-FFF2-40B4-BE49-F238E27FC236}">
              <a16:creationId xmlns:a16="http://schemas.microsoft.com/office/drawing/2014/main" id="{0E779977-E07E-4368-8F2A-D1FF25903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324638</xdr:colOff>
      <xdr:row>117</xdr:row>
      <xdr:rowOff>41042</xdr:rowOff>
    </xdr:to>
    <xdr:pic>
      <xdr:nvPicPr>
        <xdr:cNvPr id="21" name="Immagine 20">
          <a:extLst>
            <a:ext uri="{FF2B5EF4-FFF2-40B4-BE49-F238E27FC236}">
              <a16:creationId xmlns:a16="http://schemas.microsoft.com/office/drawing/2014/main" id="{596F32AE-A057-4E9C-A911-F7FF16896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6761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1391486</xdr:colOff>
      <xdr:row>155</xdr:row>
      <xdr:rowOff>67753</xdr:rowOff>
    </xdr:to>
    <xdr:pic>
      <xdr:nvPicPr>
        <xdr:cNvPr id="22" name="Immagine 21">
          <a:extLst>
            <a:ext uri="{FF2B5EF4-FFF2-40B4-BE49-F238E27FC236}">
              <a16:creationId xmlns:a16="http://schemas.microsoft.com/office/drawing/2014/main" id="{C8DE99A6-465B-4CB1-9366-6D920FFEA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28575</xdr:rowOff>
    </xdr:from>
    <xdr:to>
      <xdr:col>39</xdr:col>
      <xdr:colOff>95467</xdr:colOff>
      <xdr:row>76</xdr:row>
      <xdr:rowOff>79491</xdr:rowOff>
    </xdr:to>
    <xdr:pic>
      <xdr:nvPicPr>
        <xdr:cNvPr id="23" name="Immagine 22">
          <a:extLst>
            <a:ext uri="{FF2B5EF4-FFF2-40B4-BE49-F238E27FC236}">
              <a16:creationId xmlns:a16="http://schemas.microsoft.com/office/drawing/2014/main" id="{CF1F84FF-9D51-4924-81C8-72360B107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38896507" cy="4529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23</xdr:col>
      <xdr:colOff>364643</xdr:colOff>
      <xdr:row>122</xdr:row>
      <xdr:rowOff>41042</xdr:rowOff>
    </xdr:to>
    <xdr:pic>
      <xdr:nvPicPr>
        <xdr:cNvPr id="24" name="Immagine 23">
          <a:extLst>
            <a:ext uri="{FF2B5EF4-FFF2-40B4-BE49-F238E27FC236}">
              <a16:creationId xmlns:a16="http://schemas.microsoft.com/office/drawing/2014/main" id="{B42C3F0F-C4B7-4263-BE59-85DD4B493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6705078" cy="75619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743786</xdr:colOff>
      <xdr:row>160</xdr:row>
      <xdr:rowOff>29653</xdr:rowOff>
    </xdr:to>
    <xdr:pic>
      <xdr:nvPicPr>
        <xdr:cNvPr id="25" name="Immagine 24">
          <a:extLst>
            <a:ext uri="{FF2B5EF4-FFF2-40B4-BE49-F238E27FC236}">
              <a16:creationId xmlns:a16="http://schemas.microsoft.com/office/drawing/2014/main" id="{D55F51E4-8D44-46D9-8DED-C5E2FBED7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6095526" cy="7226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28575</xdr:rowOff>
    </xdr:from>
    <xdr:to>
      <xdr:col>26</xdr:col>
      <xdr:colOff>57367</xdr:colOff>
      <xdr:row>73</xdr:row>
      <xdr:rowOff>75681</xdr:rowOff>
    </xdr:to>
    <xdr:pic>
      <xdr:nvPicPr>
        <xdr:cNvPr id="26" name="Immagine 25">
          <a:extLst>
            <a:ext uri="{FF2B5EF4-FFF2-40B4-BE49-F238E27FC236}">
              <a16:creationId xmlns:a16="http://schemas.microsoft.com/office/drawing/2014/main" id="{1CE52E31-EB4B-4702-A3C0-B841F7EEA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29333407" cy="40457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324638</xdr:colOff>
      <xdr:row>117</xdr:row>
      <xdr:rowOff>41042</xdr:rowOff>
    </xdr:to>
    <xdr:pic>
      <xdr:nvPicPr>
        <xdr:cNvPr id="27" name="Immagine 26">
          <a:extLst>
            <a:ext uri="{FF2B5EF4-FFF2-40B4-BE49-F238E27FC236}">
              <a16:creationId xmlns:a16="http://schemas.microsoft.com/office/drawing/2014/main" id="{03305523-2E3D-4D9D-A93C-F8EDD7BAF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6761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1391486</xdr:colOff>
      <xdr:row>155</xdr:row>
      <xdr:rowOff>67753</xdr:rowOff>
    </xdr:to>
    <xdr:pic>
      <xdr:nvPicPr>
        <xdr:cNvPr id="28" name="Immagine 27">
          <a:extLst>
            <a:ext uri="{FF2B5EF4-FFF2-40B4-BE49-F238E27FC236}">
              <a16:creationId xmlns:a16="http://schemas.microsoft.com/office/drawing/2014/main" id="{91E8DC35-D6E7-465F-BF4A-F2E60FEDC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28575</xdr:rowOff>
    </xdr:from>
    <xdr:to>
      <xdr:col>26</xdr:col>
      <xdr:colOff>57367</xdr:colOff>
      <xdr:row>73</xdr:row>
      <xdr:rowOff>75681</xdr:rowOff>
    </xdr:to>
    <xdr:pic>
      <xdr:nvPicPr>
        <xdr:cNvPr id="29" name="Immagine 28">
          <a:extLst>
            <a:ext uri="{FF2B5EF4-FFF2-40B4-BE49-F238E27FC236}">
              <a16:creationId xmlns:a16="http://schemas.microsoft.com/office/drawing/2014/main" id="{34E8F3A5-0751-45C9-9D5C-D7ECD99F7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29333407" cy="40457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324638</xdr:colOff>
      <xdr:row>117</xdr:row>
      <xdr:rowOff>41042</xdr:rowOff>
    </xdr:to>
    <xdr:pic>
      <xdr:nvPicPr>
        <xdr:cNvPr id="30" name="Immagine 29">
          <a:extLst>
            <a:ext uri="{FF2B5EF4-FFF2-40B4-BE49-F238E27FC236}">
              <a16:creationId xmlns:a16="http://schemas.microsoft.com/office/drawing/2014/main" id="{771CA786-A50D-42E7-A4CB-FA6715862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6761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1391486</xdr:colOff>
      <xdr:row>155</xdr:row>
      <xdr:rowOff>67753</xdr:rowOff>
    </xdr:to>
    <xdr:pic>
      <xdr:nvPicPr>
        <xdr:cNvPr id="31" name="Immagine 30">
          <a:extLst>
            <a:ext uri="{FF2B5EF4-FFF2-40B4-BE49-F238E27FC236}">
              <a16:creationId xmlns:a16="http://schemas.microsoft.com/office/drawing/2014/main" id="{7F0EE37A-59DB-4FEB-9DA5-3B96152BE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324638</xdr:colOff>
      <xdr:row>115</xdr:row>
      <xdr:rowOff>41042</xdr:rowOff>
    </xdr:to>
    <xdr:pic>
      <xdr:nvPicPr>
        <xdr:cNvPr id="32" name="Immagine 31">
          <a:extLst>
            <a:ext uri="{FF2B5EF4-FFF2-40B4-BE49-F238E27FC236}">
              <a16:creationId xmlns:a16="http://schemas.microsoft.com/office/drawing/2014/main" id="{15DEC0EA-DDBF-44ED-BD68-71720FB37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64418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1391486</xdr:colOff>
      <xdr:row>153</xdr:row>
      <xdr:rowOff>79183</xdr:rowOff>
    </xdr:to>
    <xdr:pic>
      <xdr:nvPicPr>
        <xdr:cNvPr id="33" name="Immagine 32">
          <a:extLst>
            <a:ext uri="{FF2B5EF4-FFF2-40B4-BE49-F238E27FC236}">
              <a16:creationId xmlns:a16="http://schemas.microsoft.com/office/drawing/2014/main" id="{A8D579BE-9F38-49AC-BF67-58FB4CBF1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61523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1037108</xdr:colOff>
      <xdr:row>110</xdr:row>
      <xdr:rowOff>155342</xdr:rowOff>
    </xdr:to>
    <xdr:pic>
      <xdr:nvPicPr>
        <xdr:cNvPr id="34" name="Immagine 33">
          <a:extLst>
            <a:ext uri="{FF2B5EF4-FFF2-40B4-BE49-F238E27FC236}">
              <a16:creationId xmlns:a16="http://schemas.microsoft.com/office/drawing/2014/main" id="{9490ADD8-EF1B-4D0F-859B-2959BC8B4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15808478" cy="57560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656156</xdr:colOff>
      <xdr:row>149</xdr:row>
      <xdr:rowOff>79183</xdr:rowOff>
    </xdr:to>
    <xdr:pic>
      <xdr:nvPicPr>
        <xdr:cNvPr id="35" name="Immagine 34">
          <a:extLst>
            <a:ext uri="{FF2B5EF4-FFF2-40B4-BE49-F238E27FC236}">
              <a16:creationId xmlns:a16="http://schemas.microsoft.com/office/drawing/2014/main" id="{EA465448-9275-4D05-A6A9-66A943617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15427526" cy="55122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1037108</xdr:colOff>
      <xdr:row>110</xdr:row>
      <xdr:rowOff>155342</xdr:rowOff>
    </xdr:to>
    <xdr:pic>
      <xdr:nvPicPr>
        <xdr:cNvPr id="36" name="Immagine 35">
          <a:extLst>
            <a:ext uri="{FF2B5EF4-FFF2-40B4-BE49-F238E27FC236}">
              <a16:creationId xmlns:a16="http://schemas.microsoft.com/office/drawing/2014/main" id="{315B55E8-B841-44EA-B24B-422B12A59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15808478" cy="57560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656156</xdr:colOff>
      <xdr:row>149</xdr:row>
      <xdr:rowOff>79183</xdr:rowOff>
    </xdr:to>
    <xdr:pic>
      <xdr:nvPicPr>
        <xdr:cNvPr id="37" name="Immagine 36">
          <a:extLst>
            <a:ext uri="{FF2B5EF4-FFF2-40B4-BE49-F238E27FC236}">
              <a16:creationId xmlns:a16="http://schemas.microsoft.com/office/drawing/2014/main" id="{7621D6D8-795B-4DB7-A23E-733D9E487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15427526" cy="55122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23</xdr:col>
      <xdr:colOff>364643</xdr:colOff>
      <xdr:row>122</xdr:row>
      <xdr:rowOff>41042</xdr:rowOff>
    </xdr:to>
    <xdr:pic>
      <xdr:nvPicPr>
        <xdr:cNvPr id="38" name="Immagine 37">
          <a:extLst>
            <a:ext uri="{FF2B5EF4-FFF2-40B4-BE49-F238E27FC236}">
              <a16:creationId xmlns:a16="http://schemas.microsoft.com/office/drawing/2014/main" id="{7FBD66BE-4F0E-4B33-8B13-6F6636384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6705078" cy="75619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743786</xdr:colOff>
      <xdr:row>160</xdr:row>
      <xdr:rowOff>29653</xdr:rowOff>
    </xdr:to>
    <xdr:pic>
      <xdr:nvPicPr>
        <xdr:cNvPr id="39" name="Immagine 38">
          <a:extLst>
            <a:ext uri="{FF2B5EF4-FFF2-40B4-BE49-F238E27FC236}">
              <a16:creationId xmlns:a16="http://schemas.microsoft.com/office/drawing/2014/main" id="{3029DD14-01CD-40C2-BD29-D18C15537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6095526" cy="7226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324638</xdr:colOff>
      <xdr:row>117</xdr:row>
      <xdr:rowOff>41042</xdr:rowOff>
    </xdr:to>
    <xdr:pic>
      <xdr:nvPicPr>
        <xdr:cNvPr id="40" name="Immagine 39">
          <a:extLst>
            <a:ext uri="{FF2B5EF4-FFF2-40B4-BE49-F238E27FC236}">
              <a16:creationId xmlns:a16="http://schemas.microsoft.com/office/drawing/2014/main" id="{F56A396E-4F73-41A7-948D-2245C750F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6761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1391486</xdr:colOff>
      <xdr:row>155</xdr:row>
      <xdr:rowOff>67753</xdr:rowOff>
    </xdr:to>
    <xdr:pic>
      <xdr:nvPicPr>
        <xdr:cNvPr id="41" name="Immagine 40">
          <a:extLst>
            <a:ext uri="{FF2B5EF4-FFF2-40B4-BE49-F238E27FC236}">
              <a16:creationId xmlns:a16="http://schemas.microsoft.com/office/drawing/2014/main" id="{937906F8-4860-45B7-B201-E757096F3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324638</xdr:colOff>
      <xdr:row>117</xdr:row>
      <xdr:rowOff>41042</xdr:rowOff>
    </xdr:to>
    <xdr:pic>
      <xdr:nvPicPr>
        <xdr:cNvPr id="42" name="Immagine 41">
          <a:extLst>
            <a:ext uri="{FF2B5EF4-FFF2-40B4-BE49-F238E27FC236}">
              <a16:creationId xmlns:a16="http://schemas.microsoft.com/office/drawing/2014/main" id="{3F9DC875-D43A-42F5-AF9A-62FE21836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6761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1391486</xdr:colOff>
      <xdr:row>155</xdr:row>
      <xdr:rowOff>67753</xdr:rowOff>
    </xdr:to>
    <xdr:pic>
      <xdr:nvPicPr>
        <xdr:cNvPr id="43" name="Immagine 42">
          <a:extLst>
            <a:ext uri="{FF2B5EF4-FFF2-40B4-BE49-F238E27FC236}">
              <a16:creationId xmlns:a16="http://schemas.microsoft.com/office/drawing/2014/main" id="{22FD9950-5319-4813-9A15-338BAD2E8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646474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48</xdr:row>
      <xdr:rowOff>28575</xdr:rowOff>
    </xdr:from>
    <xdr:to>
      <xdr:col>39</xdr:col>
      <xdr:colOff>91657</xdr:colOff>
      <xdr:row>71</xdr:row>
      <xdr:rowOff>155691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83A95110-5790-4F4C-BFB8-738CED18D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38896507" cy="38056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23</xdr:col>
      <xdr:colOff>368453</xdr:colOff>
      <xdr:row>114</xdr:row>
      <xdr:rowOff>155342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E53BEB18-230E-4D27-AC78-8B8C8E7B5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6705078" cy="63961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739976</xdr:colOff>
      <xdr:row>152</xdr:row>
      <xdr:rowOff>155383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267638A0-B92B-48B9-80E3-F40C468F1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6095526" cy="60685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28575</xdr:rowOff>
    </xdr:from>
    <xdr:to>
      <xdr:col>26</xdr:col>
      <xdr:colOff>53557</xdr:colOff>
      <xdr:row>69</xdr:row>
      <xdr:rowOff>69966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62EF6EC0-887B-4D6B-A052-45AB31249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29333407" cy="34018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110</xdr:row>
      <xdr:rowOff>107717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A28833BC-8F72-4C10-9F80-A388C8976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57103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148</xdr:row>
      <xdr:rowOff>155383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4C1D3885-C4A6-4DCF-9EAC-9B8CB3EB6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54284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28575</xdr:rowOff>
    </xdr:from>
    <xdr:to>
      <xdr:col>26</xdr:col>
      <xdr:colOff>53557</xdr:colOff>
      <xdr:row>69</xdr:row>
      <xdr:rowOff>69966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46DBB88E-622D-4875-BA29-637B18A8D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29333407" cy="34018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110</xdr:row>
      <xdr:rowOff>107717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2E105131-B3CC-4B25-908B-8C80A4274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57103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148</xdr:row>
      <xdr:rowOff>155383</xdr:rowOff>
    </xdr:to>
    <xdr:pic>
      <xdr:nvPicPr>
        <xdr:cNvPr id="10" name="Immagine 9">
          <a:extLst>
            <a:ext uri="{FF2B5EF4-FFF2-40B4-BE49-F238E27FC236}">
              <a16:creationId xmlns:a16="http://schemas.microsoft.com/office/drawing/2014/main" id="{62CFDD1C-8717-4B96-86F8-B383EF357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54284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108</xdr:row>
      <xdr:rowOff>155342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72E16791-EE4D-4EB8-883E-316BC2627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54360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147</xdr:row>
      <xdr:rowOff>69658</xdr:rowOff>
    </xdr:to>
    <xdr:pic>
      <xdr:nvPicPr>
        <xdr:cNvPr id="12" name="Immagine 11">
          <a:extLst>
            <a:ext uri="{FF2B5EF4-FFF2-40B4-BE49-F238E27FC236}">
              <a16:creationId xmlns:a16="http://schemas.microsoft.com/office/drawing/2014/main" id="{35AB4C61-8143-437F-85EA-1703A0516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51845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1035203</xdr:colOff>
      <xdr:row>105</xdr:row>
      <xdr:rowOff>41042</xdr:rowOff>
    </xdr:to>
    <xdr:pic>
      <xdr:nvPicPr>
        <xdr:cNvPr id="13" name="Immagine 12">
          <a:extLst>
            <a:ext uri="{FF2B5EF4-FFF2-40B4-BE49-F238E27FC236}">
              <a16:creationId xmlns:a16="http://schemas.microsoft.com/office/drawing/2014/main" id="{D3FAB45B-6ACD-46AE-B691-6D92972C4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15808478" cy="48416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654251</xdr:colOff>
      <xdr:row>144</xdr:row>
      <xdr:rowOff>2983</xdr:rowOff>
    </xdr:to>
    <xdr:pic>
      <xdr:nvPicPr>
        <xdr:cNvPr id="14" name="Immagine 13">
          <a:extLst>
            <a:ext uri="{FF2B5EF4-FFF2-40B4-BE49-F238E27FC236}">
              <a16:creationId xmlns:a16="http://schemas.microsoft.com/office/drawing/2014/main" id="{394F35F0-C92E-4C1B-90CA-A7E8FD669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15427526" cy="46359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1035203</xdr:colOff>
      <xdr:row>105</xdr:row>
      <xdr:rowOff>41042</xdr:rowOff>
    </xdr:to>
    <xdr:pic>
      <xdr:nvPicPr>
        <xdr:cNvPr id="15" name="Immagine 14">
          <a:extLst>
            <a:ext uri="{FF2B5EF4-FFF2-40B4-BE49-F238E27FC236}">
              <a16:creationId xmlns:a16="http://schemas.microsoft.com/office/drawing/2014/main" id="{9A3FF4C2-5EB9-4966-94DC-94A5BDF1E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15808478" cy="48416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654251</xdr:colOff>
      <xdr:row>144</xdr:row>
      <xdr:rowOff>2983</xdr:rowOff>
    </xdr:to>
    <xdr:pic>
      <xdr:nvPicPr>
        <xdr:cNvPr id="16" name="Immagine 15">
          <a:extLst>
            <a:ext uri="{FF2B5EF4-FFF2-40B4-BE49-F238E27FC236}">
              <a16:creationId xmlns:a16="http://schemas.microsoft.com/office/drawing/2014/main" id="{5849E4E1-7533-4B5C-9FC9-5FE354848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15427526" cy="46359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23</xdr:col>
      <xdr:colOff>368453</xdr:colOff>
      <xdr:row>114</xdr:row>
      <xdr:rowOff>155342</xdr:rowOff>
    </xdr:to>
    <xdr:pic>
      <xdr:nvPicPr>
        <xdr:cNvPr id="17" name="Immagine 16">
          <a:extLst>
            <a:ext uri="{FF2B5EF4-FFF2-40B4-BE49-F238E27FC236}">
              <a16:creationId xmlns:a16="http://schemas.microsoft.com/office/drawing/2014/main" id="{30B0CDF6-1751-4A5F-8E25-7DBC99EDC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6705078" cy="63961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739976</xdr:colOff>
      <xdr:row>152</xdr:row>
      <xdr:rowOff>155383</xdr:rowOff>
    </xdr:to>
    <xdr:pic>
      <xdr:nvPicPr>
        <xdr:cNvPr id="18" name="Immagine 17">
          <a:extLst>
            <a:ext uri="{FF2B5EF4-FFF2-40B4-BE49-F238E27FC236}">
              <a16:creationId xmlns:a16="http://schemas.microsoft.com/office/drawing/2014/main" id="{34375D3D-5CB2-4FDA-9683-7BB9B3849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6095526" cy="60685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110</xdr:row>
      <xdr:rowOff>107717</xdr:rowOff>
    </xdr:to>
    <xdr:pic>
      <xdr:nvPicPr>
        <xdr:cNvPr id="19" name="Immagine 18">
          <a:extLst>
            <a:ext uri="{FF2B5EF4-FFF2-40B4-BE49-F238E27FC236}">
              <a16:creationId xmlns:a16="http://schemas.microsoft.com/office/drawing/2014/main" id="{C8F50709-4BDD-4080-8A3C-AA6629D63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57103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148</xdr:row>
      <xdr:rowOff>155383</xdr:rowOff>
    </xdr:to>
    <xdr:pic>
      <xdr:nvPicPr>
        <xdr:cNvPr id="20" name="Immagine 19">
          <a:extLst>
            <a:ext uri="{FF2B5EF4-FFF2-40B4-BE49-F238E27FC236}">
              <a16:creationId xmlns:a16="http://schemas.microsoft.com/office/drawing/2014/main" id="{941FCAD0-6254-44DC-AAC8-9AEFDB752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54284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110</xdr:row>
      <xdr:rowOff>107717</xdr:rowOff>
    </xdr:to>
    <xdr:pic>
      <xdr:nvPicPr>
        <xdr:cNvPr id="21" name="Immagine 20">
          <a:extLst>
            <a:ext uri="{FF2B5EF4-FFF2-40B4-BE49-F238E27FC236}">
              <a16:creationId xmlns:a16="http://schemas.microsoft.com/office/drawing/2014/main" id="{96CD5410-1B1D-4CBE-8CCA-DD841921C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57103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148</xdr:row>
      <xdr:rowOff>155383</xdr:rowOff>
    </xdr:to>
    <xdr:pic>
      <xdr:nvPicPr>
        <xdr:cNvPr id="22" name="Immagine 21">
          <a:extLst>
            <a:ext uri="{FF2B5EF4-FFF2-40B4-BE49-F238E27FC236}">
              <a16:creationId xmlns:a16="http://schemas.microsoft.com/office/drawing/2014/main" id="{EA717BE9-06F1-4206-B39C-EC068AAFA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542842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48</xdr:row>
      <xdr:rowOff>28575</xdr:rowOff>
    </xdr:from>
    <xdr:to>
      <xdr:col>39</xdr:col>
      <xdr:colOff>101182</xdr:colOff>
      <xdr:row>68</xdr:row>
      <xdr:rowOff>31866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9846E5BB-ACAE-4EEA-A0AD-087582826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38911747" cy="320369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23</xdr:col>
      <xdr:colOff>387503</xdr:colOff>
      <xdr:row>108</xdr:row>
      <xdr:rowOff>117242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6DFD1DA3-3D2D-4F72-A8B3-7F8FDAE0F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6720318" cy="53979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749501</xdr:colOff>
      <xdr:row>146</xdr:row>
      <xdr:rowOff>145858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DED37F46-E888-4211-93FD-25CD2A332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6110766" cy="51007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28575</xdr:rowOff>
    </xdr:from>
    <xdr:to>
      <xdr:col>26</xdr:col>
      <xdr:colOff>63082</xdr:colOff>
      <xdr:row>66</xdr:row>
      <xdr:rowOff>3291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F7308815-68CB-454B-B461-A409BA4A7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29348647" cy="28531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104</xdr:row>
      <xdr:rowOff>155342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C1F1089-434E-4D7C-BB6F-432B29945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47959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143</xdr:row>
      <xdr:rowOff>117283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32DD76D7-753B-4307-A3AB-94F3C7139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45902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28575</xdr:rowOff>
    </xdr:from>
    <xdr:to>
      <xdr:col>26</xdr:col>
      <xdr:colOff>63082</xdr:colOff>
      <xdr:row>66</xdr:row>
      <xdr:rowOff>3291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59F09EDD-9738-4D6E-85F9-842E79AFC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29348647" cy="28531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104</xdr:row>
      <xdr:rowOff>155342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4A6A1C59-53F6-4A17-BE97-2085EC7B8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47959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143</xdr:row>
      <xdr:rowOff>117283</xdr:rowOff>
    </xdr:to>
    <xdr:pic>
      <xdr:nvPicPr>
        <xdr:cNvPr id="10" name="Immagine 9">
          <a:extLst>
            <a:ext uri="{FF2B5EF4-FFF2-40B4-BE49-F238E27FC236}">
              <a16:creationId xmlns:a16="http://schemas.microsoft.com/office/drawing/2014/main" id="{C0CB882E-151B-439D-8500-C190FB2F7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45902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103</xdr:row>
      <xdr:rowOff>117242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046D5A95-EBBE-4778-82C6-E3F82E525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45978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142</xdr:row>
      <xdr:rowOff>41083</xdr:rowOff>
    </xdr:to>
    <xdr:pic>
      <xdr:nvPicPr>
        <xdr:cNvPr id="12" name="Immagine 11">
          <a:extLst>
            <a:ext uri="{FF2B5EF4-FFF2-40B4-BE49-F238E27FC236}">
              <a16:creationId xmlns:a16="http://schemas.microsoft.com/office/drawing/2014/main" id="{DDA297C7-FEE4-4B6B-8D12-637FD62A5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43540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1035203</xdr:colOff>
      <xdr:row>100</xdr:row>
      <xdr:rowOff>79142</xdr:rowOff>
    </xdr:to>
    <xdr:pic>
      <xdr:nvPicPr>
        <xdr:cNvPr id="13" name="Immagine 12">
          <a:extLst>
            <a:ext uri="{FF2B5EF4-FFF2-40B4-BE49-F238E27FC236}">
              <a16:creationId xmlns:a16="http://schemas.microsoft.com/office/drawing/2014/main" id="{F25F7DF0-2365-4384-8F4C-E88704894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15808478" cy="40796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654251</xdr:colOff>
      <xdr:row>139</xdr:row>
      <xdr:rowOff>79183</xdr:rowOff>
    </xdr:to>
    <xdr:pic>
      <xdr:nvPicPr>
        <xdr:cNvPr id="14" name="Immagine 13">
          <a:extLst>
            <a:ext uri="{FF2B5EF4-FFF2-40B4-BE49-F238E27FC236}">
              <a16:creationId xmlns:a16="http://schemas.microsoft.com/office/drawing/2014/main" id="{CEBE31D3-8D4E-4DAC-90C5-D53495793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15427526" cy="39120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1035203</xdr:colOff>
      <xdr:row>100</xdr:row>
      <xdr:rowOff>79142</xdr:rowOff>
    </xdr:to>
    <xdr:pic>
      <xdr:nvPicPr>
        <xdr:cNvPr id="15" name="Immagine 14">
          <a:extLst>
            <a:ext uri="{FF2B5EF4-FFF2-40B4-BE49-F238E27FC236}">
              <a16:creationId xmlns:a16="http://schemas.microsoft.com/office/drawing/2014/main" id="{2148F7FB-8B0F-4E79-828B-88E71098A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15808478" cy="40796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654251</xdr:colOff>
      <xdr:row>139</xdr:row>
      <xdr:rowOff>79183</xdr:rowOff>
    </xdr:to>
    <xdr:pic>
      <xdr:nvPicPr>
        <xdr:cNvPr id="16" name="Immagine 15">
          <a:extLst>
            <a:ext uri="{FF2B5EF4-FFF2-40B4-BE49-F238E27FC236}">
              <a16:creationId xmlns:a16="http://schemas.microsoft.com/office/drawing/2014/main" id="{0421B084-124F-4D7D-9771-3EFC312D8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15427526" cy="39120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23</xdr:col>
      <xdr:colOff>387503</xdr:colOff>
      <xdr:row>108</xdr:row>
      <xdr:rowOff>117242</xdr:rowOff>
    </xdr:to>
    <xdr:pic>
      <xdr:nvPicPr>
        <xdr:cNvPr id="17" name="Immagine 16">
          <a:extLst>
            <a:ext uri="{FF2B5EF4-FFF2-40B4-BE49-F238E27FC236}">
              <a16:creationId xmlns:a16="http://schemas.microsoft.com/office/drawing/2014/main" id="{3CDD34EE-F058-4E89-B6AF-DCD11BDEF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6720318" cy="53979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749501</xdr:colOff>
      <xdr:row>146</xdr:row>
      <xdr:rowOff>145858</xdr:rowOff>
    </xdr:to>
    <xdr:pic>
      <xdr:nvPicPr>
        <xdr:cNvPr id="18" name="Immagine 17">
          <a:extLst>
            <a:ext uri="{FF2B5EF4-FFF2-40B4-BE49-F238E27FC236}">
              <a16:creationId xmlns:a16="http://schemas.microsoft.com/office/drawing/2014/main" id="{8271B064-5C7D-4EDE-AE4B-B10D12A0A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6110766" cy="51007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104</xdr:row>
      <xdr:rowOff>155342</xdr:rowOff>
    </xdr:to>
    <xdr:pic>
      <xdr:nvPicPr>
        <xdr:cNvPr id="19" name="Immagine 18">
          <a:extLst>
            <a:ext uri="{FF2B5EF4-FFF2-40B4-BE49-F238E27FC236}">
              <a16:creationId xmlns:a16="http://schemas.microsoft.com/office/drawing/2014/main" id="{374E9844-366F-4E13-9FC0-6C2FE1F3D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47959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143</xdr:row>
      <xdr:rowOff>117283</xdr:rowOff>
    </xdr:to>
    <xdr:pic>
      <xdr:nvPicPr>
        <xdr:cNvPr id="20" name="Immagine 19">
          <a:extLst>
            <a:ext uri="{FF2B5EF4-FFF2-40B4-BE49-F238E27FC236}">
              <a16:creationId xmlns:a16="http://schemas.microsoft.com/office/drawing/2014/main" id="{1EB6D6FC-408B-4F0E-BC90-8551DCCF5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45902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104</xdr:row>
      <xdr:rowOff>155342</xdr:rowOff>
    </xdr:to>
    <xdr:pic>
      <xdr:nvPicPr>
        <xdr:cNvPr id="21" name="Immagine 20">
          <a:extLst>
            <a:ext uri="{FF2B5EF4-FFF2-40B4-BE49-F238E27FC236}">
              <a16:creationId xmlns:a16="http://schemas.microsoft.com/office/drawing/2014/main" id="{B85E65B8-3E57-4FC7-858D-F53ABD97A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47959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143</xdr:row>
      <xdr:rowOff>117283</xdr:rowOff>
    </xdr:to>
    <xdr:pic>
      <xdr:nvPicPr>
        <xdr:cNvPr id="22" name="Immagine 21">
          <a:extLst>
            <a:ext uri="{FF2B5EF4-FFF2-40B4-BE49-F238E27FC236}">
              <a16:creationId xmlns:a16="http://schemas.microsoft.com/office/drawing/2014/main" id="{FE9B3CF9-BF41-43DB-A729-BEADE8ECF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459022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48</xdr:row>
      <xdr:rowOff>28575</xdr:rowOff>
    </xdr:from>
    <xdr:to>
      <xdr:col>39</xdr:col>
      <xdr:colOff>91657</xdr:colOff>
      <xdr:row>76</xdr:row>
      <xdr:rowOff>79491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951A5C0A-269C-4780-9E7C-5F5B400D9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38896507" cy="4529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23</xdr:col>
      <xdr:colOff>368453</xdr:colOff>
      <xdr:row>122</xdr:row>
      <xdr:rowOff>41042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08689A24-288A-4FB2-A358-CD4ABF905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6705078" cy="75619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739976</xdr:colOff>
      <xdr:row>160</xdr:row>
      <xdr:rowOff>31558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D465BA3B-05D4-4C46-B7D6-ED85E6858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6095526" cy="7226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28575</xdr:rowOff>
    </xdr:from>
    <xdr:to>
      <xdr:col>26</xdr:col>
      <xdr:colOff>53557</xdr:colOff>
      <xdr:row>73</xdr:row>
      <xdr:rowOff>75681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315EB46E-A762-42BB-A66E-F5729F4BF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29333407" cy="40457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117</xdr:row>
      <xdr:rowOff>41042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E43126B2-77D4-4703-8723-4277A606F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6761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155</xdr:row>
      <xdr:rowOff>69658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F7358614-FAD5-4B9C-92D0-1A3372CA1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28575</xdr:rowOff>
    </xdr:from>
    <xdr:to>
      <xdr:col>26</xdr:col>
      <xdr:colOff>53557</xdr:colOff>
      <xdr:row>73</xdr:row>
      <xdr:rowOff>75681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BB91DE67-84E5-44B7-AB65-36131DFB0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29333407" cy="40457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117</xdr:row>
      <xdr:rowOff>41042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4CB6C61C-95A0-4F5C-AE81-97551AAEC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6761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155</xdr:row>
      <xdr:rowOff>69658</xdr:rowOff>
    </xdr:to>
    <xdr:pic>
      <xdr:nvPicPr>
        <xdr:cNvPr id="10" name="Immagine 9">
          <a:extLst>
            <a:ext uri="{FF2B5EF4-FFF2-40B4-BE49-F238E27FC236}">
              <a16:creationId xmlns:a16="http://schemas.microsoft.com/office/drawing/2014/main" id="{430BB9DC-DABA-4907-B7D4-4D3EF327F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115</xdr:row>
      <xdr:rowOff>41042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5A3D392C-43A4-48BE-A017-535C161E2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64418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153</xdr:row>
      <xdr:rowOff>79183</xdr:rowOff>
    </xdr:to>
    <xdr:pic>
      <xdr:nvPicPr>
        <xdr:cNvPr id="12" name="Immagine 11">
          <a:extLst>
            <a:ext uri="{FF2B5EF4-FFF2-40B4-BE49-F238E27FC236}">
              <a16:creationId xmlns:a16="http://schemas.microsoft.com/office/drawing/2014/main" id="{C42F58BB-1A86-42EF-97B3-F1155E747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61523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1035203</xdr:colOff>
      <xdr:row>110</xdr:row>
      <xdr:rowOff>155342</xdr:rowOff>
    </xdr:to>
    <xdr:pic>
      <xdr:nvPicPr>
        <xdr:cNvPr id="13" name="Immagine 12">
          <a:extLst>
            <a:ext uri="{FF2B5EF4-FFF2-40B4-BE49-F238E27FC236}">
              <a16:creationId xmlns:a16="http://schemas.microsoft.com/office/drawing/2014/main" id="{F935DAE7-3EF1-4C74-9414-E308309F0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15808478" cy="57560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654251</xdr:colOff>
      <xdr:row>149</xdr:row>
      <xdr:rowOff>79183</xdr:rowOff>
    </xdr:to>
    <xdr:pic>
      <xdr:nvPicPr>
        <xdr:cNvPr id="14" name="Immagine 13">
          <a:extLst>
            <a:ext uri="{FF2B5EF4-FFF2-40B4-BE49-F238E27FC236}">
              <a16:creationId xmlns:a16="http://schemas.microsoft.com/office/drawing/2014/main" id="{7E4E954E-439A-4F88-8F45-A7A8826CA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15427526" cy="55122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1035203</xdr:colOff>
      <xdr:row>110</xdr:row>
      <xdr:rowOff>155342</xdr:rowOff>
    </xdr:to>
    <xdr:pic>
      <xdr:nvPicPr>
        <xdr:cNvPr id="15" name="Immagine 14">
          <a:extLst>
            <a:ext uri="{FF2B5EF4-FFF2-40B4-BE49-F238E27FC236}">
              <a16:creationId xmlns:a16="http://schemas.microsoft.com/office/drawing/2014/main" id="{BFCC2BFC-7F69-46E1-91CA-2805903D0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15808478" cy="57560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654251</xdr:colOff>
      <xdr:row>149</xdr:row>
      <xdr:rowOff>79183</xdr:rowOff>
    </xdr:to>
    <xdr:pic>
      <xdr:nvPicPr>
        <xdr:cNvPr id="16" name="Immagine 15">
          <a:extLst>
            <a:ext uri="{FF2B5EF4-FFF2-40B4-BE49-F238E27FC236}">
              <a16:creationId xmlns:a16="http://schemas.microsoft.com/office/drawing/2014/main" id="{9A6B2B2A-8B42-4371-8858-C669C2C79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15427526" cy="55122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23</xdr:col>
      <xdr:colOff>368453</xdr:colOff>
      <xdr:row>122</xdr:row>
      <xdr:rowOff>41042</xdr:rowOff>
    </xdr:to>
    <xdr:pic>
      <xdr:nvPicPr>
        <xdr:cNvPr id="17" name="Immagine 16">
          <a:extLst>
            <a:ext uri="{FF2B5EF4-FFF2-40B4-BE49-F238E27FC236}">
              <a16:creationId xmlns:a16="http://schemas.microsoft.com/office/drawing/2014/main" id="{08D6304A-8B29-4131-A2D7-EF7199E36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6705078" cy="75619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739976</xdr:colOff>
      <xdr:row>160</xdr:row>
      <xdr:rowOff>31558</xdr:rowOff>
    </xdr:to>
    <xdr:pic>
      <xdr:nvPicPr>
        <xdr:cNvPr id="18" name="Immagine 17">
          <a:extLst>
            <a:ext uri="{FF2B5EF4-FFF2-40B4-BE49-F238E27FC236}">
              <a16:creationId xmlns:a16="http://schemas.microsoft.com/office/drawing/2014/main" id="{31B9EDDD-20CD-4C4F-A0ED-93B3D9891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6095526" cy="7226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117</xdr:row>
      <xdr:rowOff>41042</xdr:rowOff>
    </xdr:to>
    <xdr:pic>
      <xdr:nvPicPr>
        <xdr:cNvPr id="19" name="Immagine 18">
          <a:extLst>
            <a:ext uri="{FF2B5EF4-FFF2-40B4-BE49-F238E27FC236}">
              <a16:creationId xmlns:a16="http://schemas.microsoft.com/office/drawing/2014/main" id="{6F4265FC-C7AF-46D3-82F8-03F68D7A7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6761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155</xdr:row>
      <xdr:rowOff>69658</xdr:rowOff>
    </xdr:to>
    <xdr:pic>
      <xdr:nvPicPr>
        <xdr:cNvPr id="20" name="Immagine 19">
          <a:extLst>
            <a:ext uri="{FF2B5EF4-FFF2-40B4-BE49-F238E27FC236}">
              <a16:creationId xmlns:a16="http://schemas.microsoft.com/office/drawing/2014/main" id="{8783DFCA-A748-4E3C-ADB2-EE2CD3A6E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117</xdr:row>
      <xdr:rowOff>41042</xdr:rowOff>
    </xdr:to>
    <xdr:pic>
      <xdr:nvPicPr>
        <xdr:cNvPr id="21" name="Immagine 20">
          <a:extLst>
            <a:ext uri="{FF2B5EF4-FFF2-40B4-BE49-F238E27FC236}">
              <a16:creationId xmlns:a16="http://schemas.microsoft.com/office/drawing/2014/main" id="{4E69F4B2-8F12-4489-8E2B-3951D191F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6761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155</xdr:row>
      <xdr:rowOff>69658</xdr:rowOff>
    </xdr:to>
    <xdr:pic>
      <xdr:nvPicPr>
        <xdr:cNvPr id="22" name="Immagine 21">
          <a:extLst>
            <a:ext uri="{FF2B5EF4-FFF2-40B4-BE49-F238E27FC236}">
              <a16:creationId xmlns:a16="http://schemas.microsoft.com/office/drawing/2014/main" id="{B73856AB-1263-4BDB-A346-ED18B401D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28575</xdr:rowOff>
    </xdr:from>
    <xdr:to>
      <xdr:col>39</xdr:col>
      <xdr:colOff>91657</xdr:colOff>
      <xdr:row>76</xdr:row>
      <xdr:rowOff>79491</xdr:rowOff>
    </xdr:to>
    <xdr:pic>
      <xdr:nvPicPr>
        <xdr:cNvPr id="23" name="Immagine 22">
          <a:extLst>
            <a:ext uri="{FF2B5EF4-FFF2-40B4-BE49-F238E27FC236}">
              <a16:creationId xmlns:a16="http://schemas.microsoft.com/office/drawing/2014/main" id="{6D091666-CBE4-480C-8436-E2D74A27C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38896507" cy="4529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23</xdr:col>
      <xdr:colOff>368453</xdr:colOff>
      <xdr:row>122</xdr:row>
      <xdr:rowOff>41042</xdr:rowOff>
    </xdr:to>
    <xdr:pic>
      <xdr:nvPicPr>
        <xdr:cNvPr id="24" name="Immagine 23">
          <a:extLst>
            <a:ext uri="{FF2B5EF4-FFF2-40B4-BE49-F238E27FC236}">
              <a16:creationId xmlns:a16="http://schemas.microsoft.com/office/drawing/2014/main" id="{6769948E-84A9-481C-BB1C-E169FA6EF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6705078" cy="75619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739976</xdr:colOff>
      <xdr:row>160</xdr:row>
      <xdr:rowOff>31558</xdr:rowOff>
    </xdr:to>
    <xdr:pic>
      <xdr:nvPicPr>
        <xdr:cNvPr id="25" name="Immagine 24">
          <a:extLst>
            <a:ext uri="{FF2B5EF4-FFF2-40B4-BE49-F238E27FC236}">
              <a16:creationId xmlns:a16="http://schemas.microsoft.com/office/drawing/2014/main" id="{04A125B1-8996-470D-BE05-9878D4DA7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6095526" cy="7226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28575</xdr:rowOff>
    </xdr:from>
    <xdr:to>
      <xdr:col>26</xdr:col>
      <xdr:colOff>53557</xdr:colOff>
      <xdr:row>73</xdr:row>
      <xdr:rowOff>75681</xdr:rowOff>
    </xdr:to>
    <xdr:pic>
      <xdr:nvPicPr>
        <xdr:cNvPr id="26" name="Immagine 25">
          <a:extLst>
            <a:ext uri="{FF2B5EF4-FFF2-40B4-BE49-F238E27FC236}">
              <a16:creationId xmlns:a16="http://schemas.microsoft.com/office/drawing/2014/main" id="{9B478354-240B-4F45-AE52-FAC044D3E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29333407" cy="40457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117</xdr:row>
      <xdr:rowOff>41042</xdr:rowOff>
    </xdr:to>
    <xdr:pic>
      <xdr:nvPicPr>
        <xdr:cNvPr id="27" name="Immagine 26">
          <a:extLst>
            <a:ext uri="{FF2B5EF4-FFF2-40B4-BE49-F238E27FC236}">
              <a16:creationId xmlns:a16="http://schemas.microsoft.com/office/drawing/2014/main" id="{4E0474A0-99A5-40FA-8447-09D1D767F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6761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155</xdr:row>
      <xdr:rowOff>69658</xdr:rowOff>
    </xdr:to>
    <xdr:pic>
      <xdr:nvPicPr>
        <xdr:cNvPr id="28" name="Immagine 27">
          <a:extLst>
            <a:ext uri="{FF2B5EF4-FFF2-40B4-BE49-F238E27FC236}">
              <a16:creationId xmlns:a16="http://schemas.microsoft.com/office/drawing/2014/main" id="{5FE4C313-2F30-4F9A-974C-3B4E8ACF4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28575</xdr:rowOff>
    </xdr:from>
    <xdr:to>
      <xdr:col>26</xdr:col>
      <xdr:colOff>53557</xdr:colOff>
      <xdr:row>73</xdr:row>
      <xdr:rowOff>75681</xdr:rowOff>
    </xdr:to>
    <xdr:pic>
      <xdr:nvPicPr>
        <xdr:cNvPr id="29" name="Immagine 28">
          <a:extLst>
            <a:ext uri="{FF2B5EF4-FFF2-40B4-BE49-F238E27FC236}">
              <a16:creationId xmlns:a16="http://schemas.microsoft.com/office/drawing/2014/main" id="{089E4AAF-4DFB-4ECC-BBFC-DC4FCABC9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29333407" cy="40457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117</xdr:row>
      <xdr:rowOff>41042</xdr:rowOff>
    </xdr:to>
    <xdr:pic>
      <xdr:nvPicPr>
        <xdr:cNvPr id="30" name="Immagine 29">
          <a:extLst>
            <a:ext uri="{FF2B5EF4-FFF2-40B4-BE49-F238E27FC236}">
              <a16:creationId xmlns:a16="http://schemas.microsoft.com/office/drawing/2014/main" id="{675049F5-71AC-451F-B901-8B2C79A6F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6761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155</xdr:row>
      <xdr:rowOff>69658</xdr:rowOff>
    </xdr:to>
    <xdr:pic>
      <xdr:nvPicPr>
        <xdr:cNvPr id="31" name="Immagine 30">
          <a:extLst>
            <a:ext uri="{FF2B5EF4-FFF2-40B4-BE49-F238E27FC236}">
              <a16:creationId xmlns:a16="http://schemas.microsoft.com/office/drawing/2014/main" id="{5D740AD0-DE2B-470B-83D4-EC4B3D7BE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115</xdr:row>
      <xdr:rowOff>41042</xdr:rowOff>
    </xdr:to>
    <xdr:pic>
      <xdr:nvPicPr>
        <xdr:cNvPr id="32" name="Immagine 31">
          <a:extLst>
            <a:ext uri="{FF2B5EF4-FFF2-40B4-BE49-F238E27FC236}">
              <a16:creationId xmlns:a16="http://schemas.microsoft.com/office/drawing/2014/main" id="{755843C3-57D4-4CD1-8A60-8CBCA0AD9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64418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153</xdr:row>
      <xdr:rowOff>79183</xdr:rowOff>
    </xdr:to>
    <xdr:pic>
      <xdr:nvPicPr>
        <xdr:cNvPr id="33" name="Immagine 32">
          <a:extLst>
            <a:ext uri="{FF2B5EF4-FFF2-40B4-BE49-F238E27FC236}">
              <a16:creationId xmlns:a16="http://schemas.microsoft.com/office/drawing/2014/main" id="{0A33DE99-7E7E-4501-9475-88ADB69E0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61523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1035203</xdr:colOff>
      <xdr:row>110</xdr:row>
      <xdr:rowOff>155342</xdr:rowOff>
    </xdr:to>
    <xdr:pic>
      <xdr:nvPicPr>
        <xdr:cNvPr id="34" name="Immagine 33">
          <a:extLst>
            <a:ext uri="{FF2B5EF4-FFF2-40B4-BE49-F238E27FC236}">
              <a16:creationId xmlns:a16="http://schemas.microsoft.com/office/drawing/2014/main" id="{6E596B7E-EA76-4423-9DAC-7891A1CCE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15808478" cy="57560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654251</xdr:colOff>
      <xdr:row>149</xdr:row>
      <xdr:rowOff>79183</xdr:rowOff>
    </xdr:to>
    <xdr:pic>
      <xdr:nvPicPr>
        <xdr:cNvPr id="35" name="Immagine 34">
          <a:extLst>
            <a:ext uri="{FF2B5EF4-FFF2-40B4-BE49-F238E27FC236}">
              <a16:creationId xmlns:a16="http://schemas.microsoft.com/office/drawing/2014/main" id="{67EC452A-C7AA-4563-8F3F-D7F5ABD05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15427526" cy="55122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1035203</xdr:colOff>
      <xdr:row>110</xdr:row>
      <xdr:rowOff>155342</xdr:rowOff>
    </xdr:to>
    <xdr:pic>
      <xdr:nvPicPr>
        <xdr:cNvPr id="36" name="Immagine 35">
          <a:extLst>
            <a:ext uri="{FF2B5EF4-FFF2-40B4-BE49-F238E27FC236}">
              <a16:creationId xmlns:a16="http://schemas.microsoft.com/office/drawing/2014/main" id="{4A14034A-1801-4888-8239-55DC89E82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15808478" cy="57560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654251</xdr:colOff>
      <xdr:row>149</xdr:row>
      <xdr:rowOff>79183</xdr:rowOff>
    </xdr:to>
    <xdr:pic>
      <xdr:nvPicPr>
        <xdr:cNvPr id="37" name="Immagine 36">
          <a:extLst>
            <a:ext uri="{FF2B5EF4-FFF2-40B4-BE49-F238E27FC236}">
              <a16:creationId xmlns:a16="http://schemas.microsoft.com/office/drawing/2014/main" id="{89131BE8-503B-4268-BFF6-546C27A22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15427526" cy="55122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23</xdr:col>
      <xdr:colOff>368453</xdr:colOff>
      <xdr:row>122</xdr:row>
      <xdr:rowOff>41042</xdr:rowOff>
    </xdr:to>
    <xdr:pic>
      <xdr:nvPicPr>
        <xdr:cNvPr id="38" name="Immagine 37">
          <a:extLst>
            <a:ext uri="{FF2B5EF4-FFF2-40B4-BE49-F238E27FC236}">
              <a16:creationId xmlns:a16="http://schemas.microsoft.com/office/drawing/2014/main" id="{C726EAA0-C47B-4B64-A15D-65FEEA83E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6705078" cy="75619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739976</xdr:colOff>
      <xdr:row>160</xdr:row>
      <xdr:rowOff>31558</xdr:rowOff>
    </xdr:to>
    <xdr:pic>
      <xdr:nvPicPr>
        <xdr:cNvPr id="39" name="Immagine 38">
          <a:extLst>
            <a:ext uri="{FF2B5EF4-FFF2-40B4-BE49-F238E27FC236}">
              <a16:creationId xmlns:a16="http://schemas.microsoft.com/office/drawing/2014/main" id="{18B878E4-B42E-48F8-B7DD-FECE90D1D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6095526" cy="7226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117</xdr:row>
      <xdr:rowOff>41042</xdr:rowOff>
    </xdr:to>
    <xdr:pic>
      <xdr:nvPicPr>
        <xdr:cNvPr id="40" name="Immagine 39">
          <a:extLst>
            <a:ext uri="{FF2B5EF4-FFF2-40B4-BE49-F238E27FC236}">
              <a16:creationId xmlns:a16="http://schemas.microsoft.com/office/drawing/2014/main" id="{226B72CE-BC99-4BEE-81E2-76C141A0E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6761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155</xdr:row>
      <xdr:rowOff>69658</xdr:rowOff>
    </xdr:to>
    <xdr:pic>
      <xdr:nvPicPr>
        <xdr:cNvPr id="41" name="Immagine 40">
          <a:extLst>
            <a:ext uri="{FF2B5EF4-FFF2-40B4-BE49-F238E27FC236}">
              <a16:creationId xmlns:a16="http://schemas.microsoft.com/office/drawing/2014/main" id="{9D01E94D-EE6D-4262-84B0-F07C19DB2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117</xdr:row>
      <xdr:rowOff>41042</xdr:rowOff>
    </xdr:to>
    <xdr:pic>
      <xdr:nvPicPr>
        <xdr:cNvPr id="42" name="Immagine 41">
          <a:extLst>
            <a:ext uri="{FF2B5EF4-FFF2-40B4-BE49-F238E27FC236}">
              <a16:creationId xmlns:a16="http://schemas.microsoft.com/office/drawing/2014/main" id="{C0A7917F-6265-466C-9C54-3557EA2E7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6761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155</xdr:row>
      <xdr:rowOff>69658</xdr:rowOff>
    </xdr:to>
    <xdr:pic>
      <xdr:nvPicPr>
        <xdr:cNvPr id="43" name="Immagine 42">
          <a:extLst>
            <a:ext uri="{FF2B5EF4-FFF2-40B4-BE49-F238E27FC236}">
              <a16:creationId xmlns:a16="http://schemas.microsoft.com/office/drawing/2014/main" id="{45841144-73DE-4F96-9AA2-7AE4F254E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6464743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48</xdr:row>
      <xdr:rowOff>28575</xdr:rowOff>
    </xdr:from>
    <xdr:to>
      <xdr:col>39</xdr:col>
      <xdr:colOff>91657</xdr:colOff>
      <xdr:row>71</xdr:row>
      <xdr:rowOff>155691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D20312F8-482D-4BB9-811D-D2E4778A4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38896507" cy="38056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23</xdr:col>
      <xdr:colOff>368453</xdr:colOff>
      <xdr:row>114</xdr:row>
      <xdr:rowOff>155342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EB7A939E-AD87-4920-825D-DBAD34824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6705078" cy="63961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739976</xdr:colOff>
      <xdr:row>152</xdr:row>
      <xdr:rowOff>155383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9EEC5953-973F-4A12-9D9A-CC4894448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6095526" cy="60685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28575</xdr:rowOff>
    </xdr:from>
    <xdr:to>
      <xdr:col>26</xdr:col>
      <xdr:colOff>53557</xdr:colOff>
      <xdr:row>69</xdr:row>
      <xdr:rowOff>69966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FA8CC4D3-9B15-4F94-9C26-6ED84343F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29333407" cy="34018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110</xdr:row>
      <xdr:rowOff>107717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C4E7210A-5398-402F-9C80-7C451A69D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57103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148</xdr:row>
      <xdr:rowOff>155383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54065B0A-80D4-4F22-A40D-1D1ACA2C7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54284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28575</xdr:rowOff>
    </xdr:from>
    <xdr:to>
      <xdr:col>26</xdr:col>
      <xdr:colOff>53557</xdr:colOff>
      <xdr:row>69</xdr:row>
      <xdr:rowOff>69966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1CBCEDEF-440E-4E90-ACA9-066ACA2E9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29333407" cy="34018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110</xdr:row>
      <xdr:rowOff>107717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7ED99CBE-FB8C-4FD6-A2FD-57957BAF7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57103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148</xdr:row>
      <xdr:rowOff>155383</xdr:rowOff>
    </xdr:to>
    <xdr:pic>
      <xdr:nvPicPr>
        <xdr:cNvPr id="10" name="Immagine 9">
          <a:extLst>
            <a:ext uri="{FF2B5EF4-FFF2-40B4-BE49-F238E27FC236}">
              <a16:creationId xmlns:a16="http://schemas.microsoft.com/office/drawing/2014/main" id="{D2308C2A-7559-4715-9B5F-7DAF8091E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54284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108</xdr:row>
      <xdr:rowOff>155342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760F833E-B58C-40D3-96A0-77D0955AC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54360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147</xdr:row>
      <xdr:rowOff>69658</xdr:rowOff>
    </xdr:to>
    <xdr:pic>
      <xdr:nvPicPr>
        <xdr:cNvPr id="12" name="Immagine 11">
          <a:extLst>
            <a:ext uri="{FF2B5EF4-FFF2-40B4-BE49-F238E27FC236}">
              <a16:creationId xmlns:a16="http://schemas.microsoft.com/office/drawing/2014/main" id="{B2874136-6E92-4E91-A89B-5C6B11390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51845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1035203</xdr:colOff>
      <xdr:row>105</xdr:row>
      <xdr:rowOff>41042</xdr:rowOff>
    </xdr:to>
    <xdr:pic>
      <xdr:nvPicPr>
        <xdr:cNvPr id="13" name="Immagine 12">
          <a:extLst>
            <a:ext uri="{FF2B5EF4-FFF2-40B4-BE49-F238E27FC236}">
              <a16:creationId xmlns:a16="http://schemas.microsoft.com/office/drawing/2014/main" id="{E77628D3-F169-4886-B434-DA9517A2B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15808478" cy="48416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654251</xdr:colOff>
      <xdr:row>144</xdr:row>
      <xdr:rowOff>2983</xdr:rowOff>
    </xdr:to>
    <xdr:pic>
      <xdr:nvPicPr>
        <xdr:cNvPr id="14" name="Immagine 13">
          <a:extLst>
            <a:ext uri="{FF2B5EF4-FFF2-40B4-BE49-F238E27FC236}">
              <a16:creationId xmlns:a16="http://schemas.microsoft.com/office/drawing/2014/main" id="{BD0EDA00-CB0C-45DC-A2EB-6EB778F95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15427526" cy="46359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1035203</xdr:colOff>
      <xdr:row>105</xdr:row>
      <xdr:rowOff>41042</xdr:rowOff>
    </xdr:to>
    <xdr:pic>
      <xdr:nvPicPr>
        <xdr:cNvPr id="15" name="Immagine 14">
          <a:extLst>
            <a:ext uri="{FF2B5EF4-FFF2-40B4-BE49-F238E27FC236}">
              <a16:creationId xmlns:a16="http://schemas.microsoft.com/office/drawing/2014/main" id="{B6864CCD-2DB7-46C5-9B69-28170558D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15808478" cy="48416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654251</xdr:colOff>
      <xdr:row>144</xdr:row>
      <xdr:rowOff>2983</xdr:rowOff>
    </xdr:to>
    <xdr:pic>
      <xdr:nvPicPr>
        <xdr:cNvPr id="16" name="Immagine 15">
          <a:extLst>
            <a:ext uri="{FF2B5EF4-FFF2-40B4-BE49-F238E27FC236}">
              <a16:creationId xmlns:a16="http://schemas.microsoft.com/office/drawing/2014/main" id="{D00EFAB6-482D-4F14-811D-49B305443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15427526" cy="46359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23</xdr:col>
      <xdr:colOff>368453</xdr:colOff>
      <xdr:row>114</xdr:row>
      <xdr:rowOff>155342</xdr:rowOff>
    </xdr:to>
    <xdr:pic>
      <xdr:nvPicPr>
        <xdr:cNvPr id="17" name="Immagine 16">
          <a:extLst>
            <a:ext uri="{FF2B5EF4-FFF2-40B4-BE49-F238E27FC236}">
              <a16:creationId xmlns:a16="http://schemas.microsoft.com/office/drawing/2014/main" id="{17AC2281-ED85-45D7-985C-178E6517C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6705078" cy="63961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739976</xdr:colOff>
      <xdr:row>152</xdr:row>
      <xdr:rowOff>155383</xdr:rowOff>
    </xdr:to>
    <xdr:pic>
      <xdr:nvPicPr>
        <xdr:cNvPr id="18" name="Immagine 17">
          <a:extLst>
            <a:ext uri="{FF2B5EF4-FFF2-40B4-BE49-F238E27FC236}">
              <a16:creationId xmlns:a16="http://schemas.microsoft.com/office/drawing/2014/main" id="{8B1F62A0-2CA8-4EC5-83CA-D1F7713DB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6095526" cy="60685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110</xdr:row>
      <xdr:rowOff>107717</xdr:rowOff>
    </xdr:to>
    <xdr:pic>
      <xdr:nvPicPr>
        <xdr:cNvPr id="19" name="Immagine 18">
          <a:extLst>
            <a:ext uri="{FF2B5EF4-FFF2-40B4-BE49-F238E27FC236}">
              <a16:creationId xmlns:a16="http://schemas.microsoft.com/office/drawing/2014/main" id="{8DDF0CF9-E738-49C6-8E09-70561D581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57103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148</xdr:row>
      <xdr:rowOff>155383</xdr:rowOff>
    </xdr:to>
    <xdr:pic>
      <xdr:nvPicPr>
        <xdr:cNvPr id="20" name="Immagine 19">
          <a:extLst>
            <a:ext uri="{FF2B5EF4-FFF2-40B4-BE49-F238E27FC236}">
              <a16:creationId xmlns:a16="http://schemas.microsoft.com/office/drawing/2014/main" id="{D542B10A-4ADB-4CA9-A3BD-D130227FE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54284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110</xdr:row>
      <xdr:rowOff>107717</xdr:rowOff>
    </xdr:to>
    <xdr:pic>
      <xdr:nvPicPr>
        <xdr:cNvPr id="21" name="Immagine 20">
          <a:extLst>
            <a:ext uri="{FF2B5EF4-FFF2-40B4-BE49-F238E27FC236}">
              <a16:creationId xmlns:a16="http://schemas.microsoft.com/office/drawing/2014/main" id="{7C0FA77A-A5DC-4288-B202-713E6918D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57103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148</xdr:row>
      <xdr:rowOff>155383</xdr:rowOff>
    </xdr:to>
    <xdr:pic>
      <xdr:nvPicPr>
        <xdr:cNvPr id="22" name="Immagine 21">
          <a:extLst>
            <a:ext uri="{FF2B5EF4-FFF2-40B4-BE49-F238E27FC236}">
              <a16:creationId xmlns:a16="http://schemas.microsoft.com/office/drawing/2014/main" id="{33826DF7-5A9D-4726-B0FD-0601B2222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5428423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48</xdr:row>
      <xdr:rowOff>28575</xdr:rowOff>
    </xdr:from>
    <xdr:to>
      <xdr:col>39</xdr:col>
      <xdr:colOff>97372</xdr:colOff>
      <xdr:row>68</xdr:row>
      <xdr:rowOff>29961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1419819A-C147-4DB5-BF7B-2E81DBC08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38911747" cy="320369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23</xdr:col>
      <xdr:colOff>389408</xdr:colOff>
      <xdr:row>108</xdr:row>
      <xdr:rowOff>117242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40D937C4-7929-4B7D-A957-763855ADF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6720318" cy="53979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745691</xdr:colOff>
      <xdr:row>146</xdr:row>
      <xdr:rowOff>143953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E5B0C5C0-5FE3-43C8-9C4B-4A59833EA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6110766" cy="51007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28575</xdr:rowOff>
    </xdr:from>
    <xdr:to>
      <xdr:col>26</xdr:col>
      <xdr:colOff>59272</xdr:colOff>
      <xdr:row>66</xdr:row>
      <xdr:rowOff>3291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FEC3C372-C9C8-42C2-B6ED-0395F2181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29348647" cy="28531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324638</xdr:colOff>
      <xdr:row>104</xdr:row>
      <xdr:rowOff>155342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55EBC7EA-E806-4556-8AC8-F05A9D98E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47959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1391486</xdr:colOff>
      <xdr:row>143</xdr:row>
      <xdr:rowOff>117283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3E26066D-0200-40B5-AFB8-9A4171026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45902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28575</xdr:rowOff>
    </xdr:from>
    <xdr:to>
      <xdr:col>26</xdr:col>
      <xdr:colOff>59272</xdr:colOff>
      <xdr:row>66</xdr:row>
      <xdr:rowOff>3291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AB616B98-D91D-40D5-BD01-42A23BEE5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29348647" cy="28531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324638</xdr:colOff>
      <xdr:row>104</xdr:row>
      <xdr:rowOff>155342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C8DCDE4B-67C3-41CC-812C-FB847FE6C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47959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1391486</xdr:colOff>
      <xdr:row>143</xdr:row>
      <xdr:rowOff>117283</xdr:rowOff>
    </xdr:to>
    <xdr:pic>
      <xdr:nvPicPr>
        <xdr:cNvPr id="10" name="Immagine 9">
          <a:extLst>
            <a:ext uri="{FF2B5EF4-FFF2-40B4-BE49-F238E27FC236}">
              <a16:creationId xmlns:a16="http://schemas.microsoft.com/office/drawing/2014/main" id="{AAE22F10-BA31-4FBB-99BA-4265509D2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45902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324638</xdr:colOff>
      <xdr:row>103</xdr:row>
      <xdr:rowOff>117242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037E47AC-4242-40D2-8FAC-A7D2FF83E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45978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1391486</xdr:colOff>
      <xdr:row>142</xdr:row>
      <xdr:rowOff>41083</xdr:rowOff>
    </xdr:to>
    <xdr:pic>
      <xdr:nvPicPr>
        <xdr:cNvPr id="12" name="Immagine 11">
          <a:extLst>
            <a:ext uri="{FF2B5EF4-FFF2-40B4-BE49-F238E27FC236}">
              <a16:creationId xmlns:a16="http://schemas.microsoft.com/office/drawing/2014/main" id="{0A5DFB77-9F7A-4041-BB90-85B1A173E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43540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1037108</xdr:colOff>
      <xdr:row>100</xdr:row>
      <xdr:rowOff>79142</xdr:rowOff>
    </xdr:to>
    <xdr:pic>
      <xdr:nvPicPr>
        <xdr:cNvPr id="13" name="Immagine 12">
          <a:extLst>
            <a:ext uri="{FF2B5EF4-FFF2-40B4-BE49-F238E27FC236}">
              <a16:creationId xmlns:a16="http://schemas.microsoft.com/office/drawing/2014/main" id="{E3C242B3-E8B1-4FC4-8CC4-644F28DA2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15808478" cy="40796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656156</xdr:colOff>
      <xdr:row>139</xdr:row>
      <xdr:rowOff>79183</xdr:rowOff>
    </xdr:to>
    <xdr:pic>
      <xdr:nvPicPr>
        <xdr:cNvPr id="14" name="Immagine 13">
          <a:extLst>
            <a:ext uri="{FF2B5EF4-FFF2-40B4-BE49-F238E27FC236}">
              <a16:creationId xmlns:a16="http://schemas.microsoft.com/office/drawing/2014/main" id="{53A1704F-29D2-400F-877D-99B937783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15427526" cy="39120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1037108</xdr:colOff>
      <xdr:row>100</xdr:row>
      <xdr:rowOff>79142</xdr:rowOff>
    </xdr:to>
    <xdr:pic>
      <xdr:nvPicPr>
        <xdr:cNvPr id="15" name="Immagine 14">
          <a:extLst>
            <a:ext uri="{FF2B5EF4-FFF2-40B4-BE49-F238E27FC236}">
              <a16:creationId xmlns:a16="http://schemas.microsoft.com/office/drawing/2014/main" id="{E2D1BAEF-A389-4913-91A6-895D4D5E8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15808478" cy="40796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656156</xdr:colOff>
      <xdr:row>139</xdr:row>
      <xdr:rowOff>79183</xdr:rowOff>
    </xdr:to>
    <xdr:pic>
      <xdr:nvPicPr>
        <xdr:cNvPr id="16" name="Immagine 15">
          <a:extLst>
            <a:ext uri="{FF2B5EF4-FFF2-40B4-BE49-F238E27FC236}">
              <a16:creationId xmlns:a16="http://schemas.microsoft.com/office/drawing/2014/main" id="{47B7A956-474F-4E22-8FFC-DB09AB6B0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15427526" cy="39120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23</xdr:col>
      <xdr:colOff>389408</xdr:colOff>
      <xdr:row>108</xdr:row>
      <xdr:rowOff>117242</xdr:rowOff>
    </xdr:to>
    <xdr:pic>
      <xdr:nvPicPr>
        <xdr:cNvPr id="17" name="Immagine 16">
          <a:extLst>
            <a:ext uri="{FF2B5EF4-FFF2-40B4-BE49-F238E27FC236}">
              <a16:creationId xmlns:a16="http://schemas.microsoft.com/office/drawing/2014/main" id="{5AAC3B8E-0138-447E-B24A-2AC520616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6720318" cy="53979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745691</xdr:colOff>
      <xdr:row>146</xdr:row>
      <xdr:rowOff>143953</xdr:rowOff>
    </xdr:to>
    <xdr:pic>
      <xdr:nvPicPr>
        <xdr:cNvPr id="18" name="Immagine 17">
          <a:extLst>
            <a:ext uri="{FF2B5EF4-FFF2-40B4-BE49-F238E27FC236}">
              <a16:creationId xmlns:a16="http://schemas.microsoft.com/office/drawing/2014/main" id="{9C34E3A3-F399-48E8-9C5C-45134AD5C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6110766" cy="51007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324638</xdr:colOff>
      <xdr:row>104</xdr:row>
      <xdr:rowOff>155342</xdr:rowOff>
    </xdr:to>
    <xdr:pic>
      <xdr:nvPicPr>
        <xdr:cNvPr id="19" name="Immagine 18">
          <a:extLst>
            <a:ext uri="{FF2B5EF4-FFF2-40B4-BE49-F238E27FC236}">
              <a16:creationId xmlns:a16="http://schemas.microsoft.com/office/drawing/2014/main" id="{3CC59F28-5F04-4E41-9E6D-3217EF1AD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47959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1391486</xdr:colOff>
      <xdr:row>143</xdr:row>
      <xdr:rowOff>117283</xdr:rowOff>
    </xdr:to>
    <xdr:pic>
      <xdr:nvPicPr>
        <xdr:cNvPr id="20" name="Immagine 19">
          <a:extLst>
            <a:ext uri="{FF2B5EF4-FFF2-40B4-BE49-F238E27FC236}">
              <a16:creationId xmlns:a16="http://schemas.microsoft.com/office/drawing/2014/main" id="{25FC7FE2-0123-4887-AAFD-E5B3251D9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45902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324638</xdr:colOff>
      <xdr:row>104</xdr:row>
      <xdr:rowOff>155342</xdr:rowOff>
    </xdr:to>
    <xdr:pic>
      <xdr:nvPicPr>
        <xdr:cNvPr id="21" name="Immagine 20">
          <a:extLst>
            <a:ext uri="{FF2B5EF4-FFF2-40B4-BE49-F238E27FC236}">
              <a16:creationId xmlns:a16="http://schemas.microsoft.com/office/drawing/2014/main" id="{ECAB0113-EDA1-4CCD-B568-A58636D0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47959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1391486</xdr:colOff>
      <xdr:row>143</xdr:row>
      <xdr:rowOff>117283</xdr:rowOff>
    </xdr:to>
    <xdr:pic>
      <xdr:nvPicPr>
        <xdr:cNvPr id="22" name="Immagine 21">
          <a:extLst>
            <a:ext uri="{FF2B5EF4-FFF2-40B4-BE49-F238E27FC236}">
              <a16:creationId xmlns:a16="http://schemas.microsoft.com/office/drawing/2014/main" id="{C7B1B875-4370-4378-B7B3-33A0B199A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4590223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48</xdr:row>
      <xdr:rowOff>28575</xdr:rowOff>
    </xdr:from>
    <xdr:to>
      <xdr:col>39</xdr:col>
      <xdr:colOff>91657</xdr:colOff>
      <xdr:row>76</xdr:row>
      <xdr:rowOff>79491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8721FA3E-D520-488B-8726-CA55F7D9E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38896507" cy="4529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23</xdr:col>
      <xdr:colOff>368453</xdr:colOff>
      <xdr:row>122</xdr:row>
      <xdr:rowOff>41042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866EDAB5-507A-4AED-9BB6-B6223584F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6705078" cy="75619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739976</xdr:colOff>
      <xdr:row>160</xdr:row>
      <xdr:rowOff>31558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BC54E0E7-FC5D-4396-A7F3-F403BF89B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6095526" cy="7226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28575</xdr:rowOff>
    </xdr:from>
    <xdr:to>
      <xdr:col>26</xdr:col>
      <xdr:colOff>53557</xdr:colOff>
      <xdr:row>73</xdr:row>
      <xdr:rowOff>75681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A0AF1457-0CF9-40EB-B13B-0FBD9F93B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29333407" cy="40457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117</xdr:row>
      <xdr:rowOff>41042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F28EAA74-9F48-4359-9CAE-7405A1D6C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6761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155</xdr:row>
      <xdr:rowOff>69658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B80E235A-0A87-4CE9-8145-029789734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28575</xdr:rowOff>
    </xdr:from>
    <xdr:to>
      <xdr:col>26</xdr:col>
      <xdr:colOff>53557</xdr:colOff>
      <xdr:row>73</xdr:row>
      <xdr:rowOff>75681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0EE43B75-1E50-4C67-A7F9-2FE04215D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29333407" cy="40457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117</xdr:row>
      <xdr:rowOff>41042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09C38375-5BD7-42D1-A482-07C938717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6761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155</xdr:row>
      <xdr:rowOff>69658</xdr:rowOff>
    </xdr:to>
    <xdr:pic>
      <xdr:nvPicPr>
        <xdr:cNvPr id="10" name="Immagine 9">
          <a:extLst>
            <a:ext uri="{FF2B5EF4-FFF2-40B4-BE49-F238E27FC236}">
              <a16:creationId xmlns:a16="http://schemas.microsoft.com/office/drawing/2014/main" id="{1B07F090-DB74-4632-B2E5-22EF8263F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115</xdr:row>
      <xdr:rowOff>41042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82113B7E-7DB5-43FA-AB39-28ADAEA8F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64418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153</xdr:row>
      <xdr:rowOff>79183</xdr:rowOff>
    </xdr:to>
    <xdr:pic>
      <xdr:nvPicPr>
        <xdr:cNvPr id="12" name="Immagine 11">
          <a:extLst>
            <a:ext uri="{FF2B5EF4-FFF2-40B4-BE49-F238E27FC236}">
              <a16:creationId xmlns:a16="http://schemas.microsoft.com/office/drawing/2014/main" id="{7BD9CA86-7ECF-48FA-9BE7-1A218C5C7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61523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1035203</xdr:colOff>
      <xdr:row>110</xdr:row>
      <xdr:rowOff>155342</xdr:rowOff>
    </xdr:to>
    <xdr:pic>
      <xdr:nvPicPr>
        <xdr:cNvPr id="13" name="Immagine 12">
          <a:extLst>
            <a:ext uri="{FF2B5EF4-FFF2-40B4-BE49-F238E27FC236}">
              <a16:creationId xmlns:a16="http://schemas.microsoft.com/office/drawing/2014/main" id="{A883D2E6-80E9-461F-B89A-CFBBA736C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15808478" cy="57560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654251</xdr:colOff>
      <xdr:row>149</xdr:row>
      <xdr:rowOff>79183</xdr:rowOff>
    </xdr:to>
    <xdr:pic>
      <xdr:nvPicPr>
        <xdr:cNvPr id="14" name="Immagine 13">
          <a:extLst>
            <a:ext uri="{FF2B5EF4-FFF2-40B4-BE49-F238E27FC236}">
              <a16:creationId xmlns:a16="http://schemas.microsoft.com/office/drawing/2014/main" id="{DADCCAB5-12A2-422B-B66B-157C82935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15427526" cy="55122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1035203</xdr:colOff>
      <xdr:row>110</xdr:row>
      <xdr:rowOff>155342</xdr:rowOff>
    </xdr:to>
    <xdr:pic>
      <xdr:nvPicPr>
        <xdr:cNvPr id="15" name="Immagine 14">
          <a:extLst>
            <a:ext uri="{FF2B5EF4-FFF2-40B4-BE49-F238E27FC236}">
              <a16:creationId xmlns:a16="http://schemas.microsoft.com/office/drawing/2014/main" id="{CB3D180F-4CB7-4B1D-8A00-C47479A78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15808478" cy="57560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654251</xdr:colOff>
      <xdr:row>149</xdr:row>
      <xdr:rowOff>79183</xdr:rowOff>
    </xdr:to>
    <xdr:pic>
      <xdr:nvPicPr>
        <xdr:cNvPr id="16" name="Immagine 15">
          <a:extLst>
            <a:ext uri="{FF2B5EF4-FFF2-40B4-BE49-F238E27FC236}">
              <a16:creationId xmlns:a16="http://schemas.microsoft.com/office/drawing/2014/main" id="{AF0F11DB-77B0-4935-84F7-92C4B9431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15427526" cy="55122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23</xdr:col>
      <xdr:colOff>368453</xdr:colOff>
      <xdr:row>122</xdr:row>
      <xdr:rowOff>41042</xdr:rowOff>
    </xdr:to>
    <xdr:pic>
      <xdr:nvPicPr>
        <xdr:cNvPr id="17" name="Immagine 16">
          <a:extLst>
            <a:ext uri="{FF2B5EF4-FFF2-40B4-BE49-F238E27FC236}">
              <a16:creationId xmlns:a16="http://schemas.microsoft.com/office/drawing/2014/main" id="{C7A8036A-8764-4B90-AC24-B75CFF27B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6705078" cy="75619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739976</xdr:colOff>
      <xdr:row>160</xdr:row>
      <xdr:rowOff>31558</xdr:rowOff>
    </xdr:to>
    <xdr:pic>
      <xdr:nvPicPr>
        <xdr:cNvPr id="18" name="Immagine 17">
          <a:extLst>
            <a:ext uri="{FF2B5EF4-FFF2-40B4-BE49-F238E27FC236}">
              <a16:creationId xmlns:a16="http://schemas.microsoft.com/office/drawing/2014/main" id="{684174F1-7A11-408C-863D-1BFACC179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6095526" cy="7226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117</xdr:row>
      <xdr:rowOff>41042</xdr:rowOff>
    </xdr:to>
    <xdr:pic>
      <xdr:nvPicPr>
        <xdr:cNvPr id="19" name="Immagine 18">
          <a:extLst>
            <a:ext uri="{FF2B5EF4-FFF2-40B4-BE49-F238E27FC236}">
              <a16:creationId xmlns:a16="http://schemas.microsoft.com/office/drawing/2014/main" id="{8203B16D-B31E-427E-B7A2-1B75184F9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6761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155</xdr:row>
      <xdr:rowOff>69658</xdr:rowOff>
    </xdr:to>
    <xdr:pic>
      <xdr:nvPicPr>
        <xdr:cNvPr id="20" name="Immagine 19">
          <a:extLst>
            <a:ext uri="{FF2B5EF4-FFF2-40B4-BE49-F238E27FC236}">
              <a16:creationId xmlns:a16="http://schemas.microsoft.com/office/drawing/2014/main" id="{52E739C3-D098-4113-8EC2-FB5493781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117</xdr:row>
      <xdr:rowOff>41042</xdr:rowOff>
    </xdr:to>
    <xdr:pic>
      <xdr:nvPicPr>
        <xdr:cNvPr id="21" name="Immagine 20">
          <a:extLst>
            <a:ext uri="{FF2B5EF4-FFF2-40B4-BE49-F238E27FC236}">
              <a16:creationId xmlns:a16="http://schemas.microsoft.com/office/drawing/2014/main" id="{C1C1C8A7-1739-4ED5-B193-1330502C9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6761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155</xdr:row>
      <xdr:rowOff>69658</xdr:rowOff>
    </xdr:to>
    <xdr:pic>
      <xdr:nvPicPr>
        <xdr:cNvPr id="22" name="Immagine 21">
          <a:extLst>
            <a:ext uri="{FF2B5EF4-FFF2-40B4-BE49-F238E27FC236}">
              <a16:creationId xmlns:a16="http://schemas.microsoft.com/office/drawing/2014/main" id="{1F0DFC93-6E54-4C4D-951D-AD30EDEF3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28575</xdr:rowOff>
    </xdr:from>
    <xdr:to>
      <xdr:col>39</xdr:col>
      <xdr:colOff>91657</xdr:colOff>
      <xdr:row>76</xdr:row>
      <xdr:rowOff>79491</xdr:rowOff>
    </xdr:to>
    <xdr:pic>
      <xdr:nvPicPr>
        <xdr:cNvPr id="23" name="Immagine 22">
          <a:extLst>
            <a:ext uri="{FF2B5EF4-FFF2-40B4-BE49-F238E27FC236}">
              <a16:creationId xmlns:a16="http://schemas.microsoft.com/office/drawing/2014/main" id="{890FE31E-0ADF-4E74-A559-6F0BAF4E8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38896507" cy="4529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23</xdr:col>
      <xdr:colOff>368453</xdr:colOff>
      <xdr:row>122</xdr:row>
      <xdr:rowOff>41042</xdr:rowOff>
    </xdr:to>
    <xdr:pic>
      <xdr:nvPicPr>
        <xdr:cNvPr id="24" name="Immagine 23">
          <a:extLst>
            <a:ext uri="{FF2B5EF4-FFF2-40B4-BE49-F238E27FC236}">
              <a16:creationId xmlns:a16="http://schemas.microsoft.com/office/drawing/2014/main" id="{5B280176-6AB0-42F3-A9B9-DB199D044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6705078" cy="75619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739976</xdr:colOff>
      <xdr:row>160</xdr:row>
      <xdr:rowOff>31558</xdr:rowOff>
    </xdr:to>
    <xdr:pic>
      <xdr:nvPicPr>
        <xdr:cNvPr id="25" name="Immagine 24">
          <a:extLst>
            <a:ext uri="{FF2B5EF4-FFF2-40B4-BE49-F238E27FC236}">
              <a16:creationId xmlns:a16="http://schemas.microsoft.com/office/drawing/2014/main" id="{80322CFD-A639-479C-A616-2735FF1BD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6095526" cy="7226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28575</xdr:rowOff>
    </xdr:from>
    <xdr:to>
      <xdr:col>26</xdr:col>
      <xdr:colOff>53557</xdr:colOff>
      <xdr:row>73</xdr:row>
      <xdr:rowOff>75681</xdr:rowOff>
    </xdr:to>
    <xdr:pic>
      <xdr:nvPicPr>
        <xdr:cNvPr id="26" name="Immagine 25">
          <a:extLst>
            <a:ext uri="{FF2B5EF4-FFF2-40B4-BE49-F238E27FC236}">
              <a16:creationId xmlns:a16="http://schemas.microsoft.com/office/drawing/2014/main" id="{E8A8EB4C-2FF4-483F-8460-0D2E12F25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29333407" cy="40457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117</xdr:row>
      <xdr:rowOff>41042</xdr:rowOff>
    </xdr:to>
    <xdr:pic>
      <xdr:nvPicPr>
        <xdr:cNvPr id="27" name="Immagine 26">
          <a:extLst>
            <a:ext uri="{FF2B5EF4-FFF2-40B4-BE49-F238E27FC236}">
              <a16:creationId xmlns:a16="http://schemas.microsoft.com/office/drawing/2014/main" id="{F975DE27-A76A-4B81-852A-3D74B96E1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6761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155</xdr:row>
      <xdr:rowOff>69658</xdr:rowOff>
    </xdr:to>
    <xdr:pic>
      <xdr:nvPicPr>
        <xdr:cNvPr id="28" name="Immagine 27">
          <a:extLst>
            <a:ext uri="{FF2B5EF4-FFF2-40B4-BE49-F238E27FC236}">
              <a16:creationId xmlns:a16="http://schemas.microsoft.com/office/drawing/2014/main" id="{4F50DE35-15E2-4E7F-825F-8C710066E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28575</xdr:rowOff>
    </xdr:from>
    <xdr:to>
      <xdr:col>26</xdr:col>
      <xdr:colOff>53557</xdr:colOff>
      <xdr:row>73</xdr:row>
      <xdr:rowOff>75681</xdr:rowOff>
    </xdr:to>
    <xdr:pic>
      <xdr:nvPicPr>
        <xdr:cNvPr id="29" name="Immagine 28">
          <a:extLst>
            <a:ext uri="{FF2B5EF4-FFF2-40B4-BE49-F238E27FC236}">
              <a16:creationId xmlns:a16="http://schemas.microsoft.com/office/drawing/2014/main" id="{C58A25B7-0B67-406E-BF94-533FA902C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6840"/>
          <a:ext cx="29333407" cy="40457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117</xdr:row>
      <xdr:rowOff>41042</xdr:rowOff>
    </xdr:to>
    <xdr:pic>
      <xdr:nvPicPr>
        <xdr:cNvPr id="30" name="Immagine 29">
          <a:extLst>
            <a:ext uri="{FF2B5EF4-FFF2-40B4-BE49-F238E27FC236}">
              <a16:creationId xmlns:a16="http://schemas.microsoft.com/office/drawing/2014/main" id="{6504AD73-ECD9-44E3-AF0F-D9B459427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6761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155</xdr:row>
      <xdr:rowOff>69658</xdr:rowOff>
    </xdr:to>
    <xdr:pic>
      <xdr:nvPicPr>
        <xdr:cNvPr id="31" name="Immagine 30">
          <a:extLst>
            <a:ext uri="{FF2B5EF4-FFF2-40B4-BE49-F238E27FC236}">
              <a16:creationId xmlns:a16="http://schemas.microsoft.com/office/drawing/2014/main" id="{60878A3D-EEC0-4F69-A8A3-81C00C103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115</xdr:row>
      <xdr:rowOff>41042</xdr:rowOff>
    </xdr:to>
    <xdr:pic>
      <xdr:nvPicPr>
        <xdr:cNvPr id="32" name="Immagine 31">
          <a:extLst>
            <a:ext uri="{FF2B5EF4-FFF2-40B4-BE49-F238E27FC236}">
              <a16:creationId xmlns:a16="http://schemas.microsoft.com/office/drawing/2014/main" id="{77BF1A2E-7D01-4DEA-8A6E-06F896F21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64418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153</xdr:row>
      <xdr:rowOff>79183</xdr:rowOff>
    </xdr:to>
    <xdr:pic>
      <xdr:nvPicPr>
        <xdr:cNvPr id="33" name="Immagine 32">
          <a:extLst>
            <a:ext uri="{FF2B5EF4-FFF2-40B4-BE49-F238E27FC236}">
              <a16:creationId xmlns:a16="http://schemas.microsoft.com/office/drawing/2014/main" id="{06052404-55B9-444B-927F-AA4BD88E1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61523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1035203</xdr:colOff>
      <xdr:row>110</xdr:row>
      <xdr:rowOff>155342</xdr:rowOff>
    </xdr:to>
    <xdr:pic>
      <xdr:nvPicPr>
        <xdr:cNvPr id="34" name="Immagine 33">
          <a:extLst>
            <a:ext uri="{FF2B5EF4-FFF2-40B4-BE49-F238E27FC236}">
              <a16:creationId xmlns:a16="http://schemas.microsoft.com/office/drawing/2014/main" id="{75ECA8E6-DDFD-423A-9C59-35EF395F6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15808478" cy="57560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654251</xdr:colOff>
      <xdr:row>149</xdr:row>
      <xdr:rowOff>79183</xdr:rowOff>
    </xdr:to>
    <xdr:pic>
      <xdr:nvPicPr>
        <xdr:cNvPr id="35" name="Immagine 34">
          <a:extLst>
            <a:ext uri="{FF2B5EF4-FFF2-40B4-BE49-F238E27FC236}">
              <a16:creationId xmlns:a16="http://schemas.microsoft.com/office/drawing/2014/main" id="{3F7DF394-2815-4408-89B8-86D83CB6F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15427526" cy="55122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1035203</xdr:colOff>
      <xdr:row>110</xdr:row>
      <xdr:rowOff>155342</xdr:rowOff>
    </xdr:to>
    <xdr:pic>
      <xdr:nvPicPr>
        <xdr:cNvPr id="36" name="Immagine 35">
          <a:extLst>
            <a:ext uri="{FF2B5EF4-FFF2-40B4-BE49-F238E27FC236}">
              <a16:creationId xmlns:a16="http://schemas.microsoft.com/office/drawing/2014/main" id="{233C7339-E091-45EB-BF81-1F170244E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15808478" cy="57560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654251</xdr:colOff>
      <xdr:row>149</xdr:row>
      <xdr:rowOff>79183</xdr:rowOff>
    </xdr:to>
    <xdr:pic>
      <xdr:nvPicPr>
        <xdr:cNvPr id="37" name="Immagine 36">
          <a:extLst>
            <a:ext uri="{FF2B5EF4-FFF2-40B4-BE49-F238E27FC236}">
              <a16:creationId xmlns:a16="http://schemas.microsoft.com/office/drawing/2014/main" id="{C02BC444-5647-4F6D-BA0A-A3F141835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15427526" cy="55122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23</xdr:col>
      <xdr:colOff>368453</xdr:colOff>
      <xdr:row>122</xdr:row>
      <xdr:rowOff>41042</xdr:rowOff>
    </xdr:to>
    <xdr:pic>
      <xdr:nvPicPr>
        <xdr:cNvPr id="38" name="Immagine 37">
          <a:extLst>
            <a:ext uri="{FF2B5EF4-FFF2-40B4-BE49-F238E27FC236}">
              <a16:creationId xmlns:a16="http://schemas.microsoft.com/office/drawing/2014/main" id="{F1E6FB72-1DE1-47CC-900F-CAD6E4E64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6705078" cy="75619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739976</xdr:colOff>
      <xdr:row>160</xdr:row>
      <xdr:rowOff>31558</xdr:rowOff>
    </xdr:to>
    <xdr:pic>
      <xdr:nvPicPr>
        <xdr:cNvPr id="39" name="Immagine 38">
          <a:extLst>
            <a:ext uri="{FF2B5EF4-FFF2-40B4-BE49-F238E27FC236}">
              <a16:creationId xmlns:a16="http://schemas.microsoft.com/office/drawing/2014/main" id="{E8BE26C0-F5F4-4041-9727-CF42DE17F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6095526" cy="7226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117</xdr:row>
      <xdr:rowOff>41042</xdr:rowOff>
    </xdr:to>
    <xdr:pic>
      <xdr:nvPicPr>
        <xdr:cNvPr id="40" name="Immagine 39">
          <a:extLst>
            <a:ext uri="{FF2B5EF4-FFF2-40B4-BE49-F238E27FC236}">
              <a16:creationId xmlns:a16="http://schemas.microsoft.com/office/drawing/2014/main" id="{EB0FC16A-A3B8-43A9-8F5C-2481248B2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6761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155</xdr:row>
      <xdr:rowOff>69658</xdr:rowOff>
    </xdr:to>
    <xdr:pic>
      <xdr:nvPicPr>
        <xdr:cNvPr id="41" name="Immagine 40">
          <a:extLst>
            <a:ext uri="{FF2B5EF4-FFF2-40B4-BE49-F238E27FC236}">
              <a16:creationId xmlns:a16="http://schemas.microsoft.com/office/drawing/2014/main" id="{BA0ABC91-9280-4E2E-AAD0-4F1ECABDD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117</xdr:row>
      <xdr:rowOff>41042</xdr:rowOff>
    </xdr:to>
    <xdr:pic>
      <xdr:nvPicPr>
        <xdr:cNvPr id="42" name="Immagine 41">
          <a:extLst>
            <a:ext uri="{FF2B5EF4-FFF2-40B4-BE49-F238E27FC236}">
              <a16:creationId xmlns:a16="http://schemas.microsoft.com/office/drawing/2014/main" id="{ADC3F73F-2522-480B-AC85-97CD4A29C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900"/>
          <a:ext cx="20601458" cy="6761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155</xdr:row>
      <xdr:rowOff>69658</xdr:rowOff>
    </xdr:to>
    <xdr:pic>
      <xdr:nvPicPr>
        <xdr:cNvPr id="43" name="Immagine 42">
          <a:extLst>
            <a:ext uri="{FF2B5EF4-FFF2-40B4-BE49-F238E27FC236}">
              <a16:creationId xmlns:a16="http://schemas.microsoft.com/office/drawing/2014/main" id="{6671DF99-0029-4384-A1C4-323802ABA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05320"/>
          <a:ext cx="20037626" cy="6464743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75</xdr:row>
      <xdr:rowOff>0</xdr:rowOff>
    </xdr:from>
    <xdr:to>
      <xdr:col>23</xdr:col>
      <xdr:colOff>644678</xdr:colOff>
      <xdr:row>114</xdr:row>
      <xdr:rowOff>155342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648238AF-9326-44BC-845D-DEFA2B007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6705078" cy="63961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23</xdr:col>
      <xdr:colOff>16076</xdr:colOff>
      <xdr:row>152</xdr:row>
      <xdr:rowOff>155383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1E333956-2814-4308-9C6E-7FB1F7BA3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6095526" cy="60685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587528</xdr:colOff>
      <xdr:row>110</xdr:row>
      <xdr:rowOff>107717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4BA70407-1DE2-4A08-90AC-3C2774E17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0601458" cy="57103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1654376</xdr:colOff>
      <xdr:row>148</xdr:row>
      <xdr:rowOff>155383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4D25ED6B-E9CD-43D1-ACDE-5EAA92F4C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0037626" cy="54284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587528</xdr:colOff>
      <xdr:row>110</xdr:row>
      <xdr:rowOff>107717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022DD268-88FF-42F6-BD0C-08DDF114E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0601458" cy="57103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1654376</xdr:colOff>
      <xdr:row>148</xdr:row>
      <xdr:rowOff>155383</xdr:rowOff>
    </xdr:to>
    <xdr:pic>
      <xdr:nvPicPr>
        <xdr:cNvPr id="10" name="Immagine 9">
          <a:extLst>
            <a:ext uri="{FF2B5EF4-FFF2-40B4-BE49-F238E27FC236}">
              <a16:creationId xmlns:a16="http://schemas.microsoft.com/office/drawing/2014/main" id="{43EBE30A-BA8B-40CA-9A28-C92F43C5D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0037626" cy="54284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587528</xdr:colOff>
      <xdr:row>108</xdr:row>
      <xdr:rowOff>155342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523E3F6F-52C2-4AC2-BBC6-197981940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0601458" cy="54360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1654376</xdr:colOff>
      <xdr:row>147</xdr:row>
      <xdr:rowOff>69658</xdr:rowOff>
    </xdr:to>
    <xdr:pic>
      <xdr:nvPicPr>
        <xdr:cNvPr id="12" name="Immagine 11">
          <a:extLst>
            <a:ext uri="{FF2B5EF4-FFF2-40B4-BE49-F238E27FC236}">
              <a16:creationId xmlns:a16="http://schemas.microsoft.com/office/drawing/2014/main" id="{6F1CAFA2-B59F-4512-8018-C899DCA6A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0037626" cy="51845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1311428</xdr:colOff>
      <xdr:row>105</xdr:row>
      <xdr:rowOff>41042</xdr:rowOff>
    </xdr:to>
    <xdr:pic>
      <xdr:nvPicPr>
        <xdr:cNvPr id="13" name="Immagine 12">
          <a:extLst>
            <a:ext uri="{FF2B5EF4-FFF2-40B4-BE49-F238E27FC236}">
              <a16:creationId xmlns:a16="http://schemas.microsoft.com/office/drawing/2014/main" id="{18272E92-FA3A-445C-8054-FCA282233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15808478" cy="48416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930476</xdr:colOff>
      <xdr:row>144</xdr:row>
      <xdr:rowOff>2983</xdr:rowOff>
    </xdr:to>
    <xdr:pic>
      <xdr:nvPicPr>
        <xdr:cNvPr id="14" name="Immagine 13">
          <a:extLst>
            <a:ext uri="{FF2B5EF4-FFF2-40B4-BE49-F238E27FC236}">
              <a16:creationId xmlns:a16="http://schemas.microsoft.com/office/drawing/2014/main" id="{11FDC71B-2455-4B36-A7B5-FB868D269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15427526" cy="46359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1311428</xdr:colOff>
      <xdr:row>105</xdr:row>
      <xdr:rowOff>41042</xdr:rowOff>
    </xdr:to>
    <xdr:pic>
      <xdr:nvPicPr>
        <xdr:cNvPr id="15" name="Immagine 14">
          <a:extLst>
            <a:ext uri="{FF2B5EF4-FFF2-40B4-BE49-F238E27FC236}">
              <a16:creationId xmlns:a16="http://schemas.microsoft.com/office/drawing/2014/main" id="{12905B14-B1AB-4040-8BE4-614046898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15808478" cy="48416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930476</xdr:colOff>
      <xdr:row>144</xdr:row>
      <xdr:rowOff>2983</xdr:rowOff>
    </xdr:to>
    <xdr:pic>
      <xdr:nvPicPr>
        <xdr:cNvPr id="16" name="Immagine 15">
          <a:extLst>
            <a:ext uri="{FF2B5EF4-FFF2-40B4-BE49-F238E27FC236}">
              <a16:creationId xmlns:a16="http://schemas.microsoft.com/office/drawing/2014/main" id="{1C2D0D87-7325-4DFE-AC66-3E042F578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15427526" cy="46359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23</xdr:col>
      <xdr:colOff>644678</xdr:colOff>
      <xdr:row>114</xdr:row>
      <xdr:rowOff>155342</xdr:rowOff>
    </xdr:to>
    <xdr:pic>
      <xdr:nvPicPr>
        <xdr:cNvPr id="17" name="Immagine 16">
          <a:extLst>
            <a:ext uri="{FF2B5EF4-FFF2-40B4-BE49-F238E27FC236}">
              <a16:creationId xmlns:a16="http://schemas.microsoft.com/office/drawing/2014/main" id="{47933F52-E25C-45C3-91BC-C9B297B21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6705078" cy="63961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23</xdr:col>
      <xdr:colOff>16076</xdr:colOff>
      <xdr:row>152</xdr:row>
      <xdr:rowOff>155383</xdr:rowOff>
    </xdr:to>
    <xdr:pic>
      <xdr:nvPicPr>
        <xdr:cNvPr id="18" name="Immagine 17">
          <a:extLst>
            <a:ext uri="{FF2B5EF4-FFF2-40B4-BE49-F238E27FC236}">
              <a16:creationId xmlns:a16="http://schemas.microsoft.com/office/drawing/2014/main" id="{6DBEBD5F-FD8F-48C4-8E17-72E7E0DA9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6095526" cy="60685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587528</xdr:colOff>
      <xdr:row>110</xdr:row>
      <xdr:rowOff>107717</xdr:rowOff>
    </xdr:to>
    <xdr:pic>
      <xdr:nvPicPr>
        <xdr:cNvPr id="19" name="Immagine 18">
          <a:extLst>
            <a:ext uri="{FF2B5EF4-FFF2-40B4-BE49-F238E27FC236}">
              <a16:creationId xmlns:a16="http://schemas.microsoft.com/office/drawing/2014/main" id="{807984AF-56B7-44E2-B0AB-296E7D77F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0601458" cy="57103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1654376</xdr:colOff>
      <xdr:row>148</xdr:row>
      <xdr:rowOff>155383</xdr:rowOff>
    </xdr:to>
    <xdr:pic>
      <xdr:nvPicPr>
        <xdr:cNvPr id="20" name="Immagine 19">
          <a:extLst>
            <a:ext uri="{FF2B5EF4-FFF2-40B4-BE49-F238E27FC236}">
              <a16:creationId xmlns:a16="http://schemas.microsoft.com/office/drawing/2014/main" id="{1AAB745C-6DF6-4305-8B9D-3FFA4A195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0037626" cy="54284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587528</xdr:colOff>
      <xdr:row>110</xdr:row>
      <xdr:rowOff>107717</xdr:rowOff>
    </xdr:to>
    <xdr:pic>
      <xdr:nvPicPr>
        <xdr:cNvPr id="21" name="Immagine 20">
          <a:extLst>
            <a:ext uri="{FF2B5EF4-FFF2-40B4-BE49-F238E27FC236}">
              <a16:creationId xmlns:a16="http://schemas.microsoft.com/office/drawing/2014/main" id="{9FDFD0DF-4087-48A7-A8E3-41B361C90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0601458" cy="57103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1654376</xdr:colOff>
      <xdr:row>148</xdr:row>
      <xdr:rowOff>155383</xdr:rowOff>
    </xdr:to>
    <xdr:pic>
      <xdr:nvPicPr>
        <xdr:cNvPr id="22" name="Immagine 21">
          <a:extLst>
            <a:ext uri="{FF2B5EF4-FFF2-40B4-BE49-F238E27FC236}">
              <a16:creationId xmlns:a16="http://schemas.microsoft.com/office/drawing/2014/main" id="{DA90E5CE-1DFC-4B3F-9161-44F0F7E7E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0037626" cy="5428423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75</xdr:row>
      <xdr:rowOff>0</xdr:rowOff>
    </xdr:from>
    <xdr:to>
      <xdr:col>23</xdr:col>
      <xdr:colOff>387503</xdr:colOff>
      <xdr:row>108</xdr:row>
      <xdr:rowOff>117242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C5C08FF0-B25D-4DFF-888D-F3E078CFF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6720318" cy="53979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749501</xdr:colOff>
      <xdr:row>146</xdr:row>
      <xdr:rowOff>145858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7FDB3CBB-6CF5-4865-8B86-B509D206E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6110766" cy="51007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104</xdr:row>
      <xdr:rowOff>155342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6F8783FE-F8B9-44E3-A157-5235587F1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0601458" cy="47959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143</xdr:row>
      <xdr:rowOff>117283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CA81BF19-F93B-479E-A90A-46FB2F067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0037626" cy="45902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104</xdr:row>
      <xdr:rowOff>155342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ABA13D2E-2FD1-4677-A44B-B87086A9E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0601458" cy="47959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143</xdr:row>
      <xdr:rowOff>117283</xdr:rowOff>
    </xdr:to>
    <xdr:pic>
      <xdr:nvPicPr>
        <xdr:cNvPr id="10" name="Immagine 9">
          <a:extLst>
            <a:ext uri="{FF2B5EF4-FFF2-40B4-BE49-F238E27FC236}">
              <a16:creationId xmlns:a16="http://schemas.microsoft.com/office/drawing/2014/main" id="{232093C8-9FAB-4A43-8FB9-08B101AD7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0037626" cy="45902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103</xdr:row>
      <xdr:rowOff>117242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24C9FFCB-5873-4C8A-A3E7-2F17A7DE4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0601458" cy="45978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142</xdr:row>
      <xdr:rowOff>41083</xdr:rowOff>
    </xdr:to>
    <xdr:pic>
      <xdr:nvPicPr>
        <xdr:cNvPr id="12" name="Immagine 11">
          <a:extLst>
            <a:ext uri="{FF2B5EF4-FFF2-40B4-BE49-F238E27FC236}">
              <a16:creationId xmlns:a16="http://schemas.microsoft.com/office/drawing/2014/main" id="{551D8F61-7852-4ED3-99BA-47623320D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0037626" cy="43540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1035203</xdr:colOff>
      <xdr:row>100</xdr:row>
      <xdr:rowOff>79142</xdr:rowOff>
    </xdr:to>
    <xdr:pic>
      <xdr:nvPicPr>
        <xdr:cNvPr id="13" name="Immagine 12">
          <a:extLst>
            <a:ext uri="{FF2B5EF4-FFF2-40B4-BE49-F238E27FC236}">
              <a16:creationId xmlns:a16="http://schemas.microsoft.com/office/drawing/2014/main" id="{9565B20C-866A-4CAE-8666-7473FB317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15808478" cy="40796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654251</xdr:colOff>
      <xdr:row>139</xdr:row>
      <xdr:rowOff>79183</xdr:rowOff>
    </xdr:to>
    <xdr:pic>
      <xdr:nvPicPr>
        <xdr:cNvPr id="14" name="Immagine 13">
          <a:extLst>
            <a:ext uri="{FF2B5EF4-FFF2-40B4-BE49-F238E27FC236}">
              <a16:creationId xmlns:a16="http://schemas.microsoft.com/office/drawing/2014/main" id="{D9600916-D165-4AE1-941E-0C69C043E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15427526" cy="39120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1035203</xdr:colOff>
      <xdr:row>100</xdr:row>
      <xdr:rowOff>79142</xdr:rowOff>
    </xdr:to>
    <xdr:pic>
      <xdr:nvPicPr>
        <xdr:cNvPr id="15" name="Immagine 14">
          <a:extLst>
            <a:ext uri="{FF2B5EF4-FFF2-40B4-BE49-F238E27FC236}">
              <a16:creationId xmlns:a16="http://schemas.microsoft.com/office/drawing/2014/main" id="{3E834C0E-8EF0-422B-929F-15AAE3CB8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15808478" cy="40796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654251</xdr:colOff>
      <xdr:row>139</xdr:row>
      <xdr:rowOff>79183</xdr:rowOff>
    </xdr:to>
    <xdr:pic>
      <xdr:nvPicPr>
        <xdr:cNvPr id="16" name="Immagine 15">
          <a:extLst>
            <a:ext uri="{FF2B5EF4-FFF2-40B4-BE49-F238E27FC236}">
              <a16:creationId xmlns:a16="http://schemas.microsoft.com/office/drawing/2014/main" id="{6BCB348B-0EB7-423C-A985-5E255159B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15427526" cy="39120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23</xdr:col>
      <xdr:colOff>387503</xdr:colOff>
      <xdr:row>108</xdr:row>
      <xdr:rowOff>117242</xdr:rowOff>
    </xdr:to>
    <xdr:pic>
      <xdr:nvPicPr>
        <xdr:cNvPr id="17" name="Immagine 16">
          <a:extLst>
            <a:ext uri="{FF2B5EF4-FFF2-40B4-BE49-F238E27FC236}">
              <a16:creationId xmlns:a16="http://schemas.microsoft.com/office/drawing/2014/main" id="{EBECC7C2-3B8E-4E7B-811C-AEA9B4E6C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6720318" cy="53979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749501</xdr:colOff>
      <xdr:row>146</xdr:row>
      <xdr:rowOff>145858</xdr:rowOff>
    </xdr:to>
    <xdr:pic>
      <xdr:nvPicPr>
        <xdr:cNvPr id="18" name="Immagine 17">
          <a:extLst>
            <a:ext uri="{FF2B5EF4-FFF2-40B4-BE49-F238E27FC236}">
              <a16:creationId xmlns:a16="http://schemas.microsoft.com/office/drawing/2014/main" id="{D9DCAE2C-162D-4FAA-895F-181FF64E7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6110766" cy="51007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104</xdr:row>
      <xdr:rowOff>155342</xdr:rowOff>
    </xdr:to>
    <xdr:pic>
      <xdr:nvPicPr>
        <xdr:cNvPr id="19" name="Immagine 18">
          <a:extLst>
            <a:ext uri="{FF2B5EF4-FFF2-40B4-BE49-F238E27FC236}">
              <a16:creationId xmlns:a16="http://schemas.microsoft.com/office/drawing/2014/main" id="{D70A4FD9-9B76-445D-9D30-12F4D8CC3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0601458" cy="47959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143</xdr:row>
      <xdr:rowOff>117283</xdr:rowOff>
    </xdr:to>
    <xdr:pic>
      <xdr:nvPicPr>
        <xdr:cNvPr id="20" name="Immagine 19">
          <a:extLst>
            <a:ext uri="{FF2B5EF4-FFF2-40B4-BE49-F238E27FC236}">
              <a16:creationId xmlns:a16="http://schemas.microsoft.com/office/drawing/2014/main" id="{6092FD11-D97F-4B5B-9B36-C0FB9527B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0037626" cy="45902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104</xdr:row>
      <xdr:rowOff>155342</xdr:rowOff>
    </xdr:to>
    <xdr:pic>
      <xdr:nvPicPr>
        <xdr:cNvPr id="21" name="Immagine 20">
          <a:extLst>
            <a:ext uri="{FF2B5EF4-FFF2-40B4-BE49-F238E27FC236}">
              <a16:creationId xmlns:a16="http://schemas.microsoft.com/office/drawing/2014/main" id="{70C964D0-7EEC-4B48-9043-10AC653D9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0601458" cy="47959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143</xdr:row>
      <xdr:rowOff>117283</xdr:rowOff>
    </xdr:to>
    <xdr:pic>
      <xdr:nvPicPr>
        <xdr:cNvPr id="22" name="Immagine 21">
          <a:extLst>
            <a:ext uri="{FF2B5EF4-FFF2-40B4-BE49-F238E27FC236}">
              <a16:creationId xmlns:a16="http://schemas.microsoft.com/office/drawing/2014/main" id="{C455064D-6A2B-44E4-9D96-AA6DBA923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0037626" cy="4590223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75</xdr:row>
      <xdr:rowOff>0</xdr:rowOff>
    </xdr:from>
    <xdr:to>
      <xdr:col>23</xdr:col>
      <xdr:colOff>368453</xdr:colOff>
      <xdr:row>122</xdr:row>
      <xdr:rowOff>41042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FA79A6FB-807D-4C15-87F4-60548094C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6705078" cy="75619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739976</xdr:colOff>
      <xdr:row>160</xdr:row>
      <xdr:rowOff>31558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77C03190-4C62-44D0-B74C-1FFBC6142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6095526" cy="7226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117</xdr:row>
      <xdr:rowOff>41042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D216B04D-E34E-4BAF-9841-5A7D3503A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0601458" cy="6761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155</xdr:row>
      <xdr:rowOff>69658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6208A23F-7E55-45D0-B412-C577964F3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0037626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117</xdr:row>
      <xdr:rowOff>41042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0BF88BE6-7856-4B50-8F02-47529B052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0601458" cy="6761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155</xdr:row>
      <xdr:rowOff>69658</xdr:rowOff>
    </xdr:to>
    <xdr:pic>
      <xdr:nvPicPr>
        <xdr:cNvPr id="10" name="Immagine 9">
          <a:extLst>
            <a:ext uri="{FF2B5EF4-FFF2-40B4-BE49-F238E27FC236}">
              <a16:creationId xmlns:a16="http://schemas.microsoft.com/office/drawing/2014/main" id="{5D472B57-5A20-4124-A6E7-E5BDFF13C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0037626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115</xdr:row>
      <xdr:rowOff>41042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A685D8F1-79AD-4407-B34D-7748C4DAE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0601458" cy="64418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153</xdr:row>
      <xdr:rowOff>79183</xdr:rowOff>
    </xdr:to>
    <xdr:pic>
      <xdr:nvPicPr>
        <xdr:cNvPr id="12" name="Immagine 11">
          <a:extLst>
            <a:ext uri="{FF2B5EF4-FFF2-40B4-BE49-F238E27FC236}">
              <a16:creationId xmlns:a16="http://schemas.microsoft.com/office/drawing/2014/main" id="{4D74F98B-6232-44FF-8027-17C442380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0037626" cy="61523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1035203</xdr:colOff>
      <xdr:row>110</xdr:row>
      <xdr:rowOff>155342</xdr:rowOff>
    </xdr:to>
    <xdr:pic>
      <xdr:nvPicPr>
        <xdr:cNvPr id="13" name="Immagine 12">
          <a:extLst>
            <a:ext uri="{FF2B5EF4-FFF2-40B4-BE49-F238E27FC236}">
              <a16:creationId xmlns:a16="http://schemas.microsoft.com/office/drawing/2014/main" id="{9246B8C4-3BB3-47E3-A19C-54CF006F5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15808478" cy="57560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654251</xdr:colOff>
      <xdr:row>149</xdr:row>
      <xdr:rowOff>79183</xdr:rowOff>
    </xdr:to>
    <xdr:pic>
      <xdr:nvPicPr>
        <xdr:cNvPr id="14" name="Immagine 13">
          <a:extLst>
            <a:ext uri="{FF2B5EF4-FFF2-40B4-BE49-F238E27FC236}">
              <a16:creationId xmlns:a16="http://schemas.microsoft.com/office/drawing/2014/main" id="{4D4D085E-5FB8-4D18-A510-B3EDA6F70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15427526" cy="55122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1035203</xdr:colOff>
      <xdr:row>110</xdr:row>
      <xdr:rowOff>155342</xdr:rowOff>
    </xdr:to>
    <xdr:pic>
      <xdr:nvPicPr>
        <xdr:cNvPr id="15" name="Immagine 14">
          <a:extLst>
            <a:ext uri="{FF2B5EF4-FFF2-40B4-BE49-F238E27FC236}">
              <a16:creationId xmlns:a16="http://schemas.microsoft.com/office/drawing/2014/main" id="{D47982C6-E045-49E6-89C6-D87639C68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15808478" cy="57560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654251</xdr:colOff>
      <xdr:row>149</xdr:row>
      <xdr:rowOff>79183</xdr:rowOff>
    </xdr:to>
    <xdr:pic>
      <xdr:nvPicPr>
        <xdr:cNvPr id="16" name="Immagine 15">
          <a:extLst>
            <a:ext uri="{FF2B5EF4-FFF2-40B4-BE49-F238E27FC236}">
              <a16:creationId xmlns:a16="http://schemas.microsoft.com/office/drawing/2014/main" id="{F581AB06-B5EA-427B-986C-2B2C78167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15427526" cy="55122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23</xdr:col>
      <xdr:colOff>368453</xdr:colOff>
      <xdr:row>122</xdr:row>
      <xdr:rowOff>41042</xdr:rowOff>
    </xdr:to>
    <xdr:pic>
      <xdr:nvPicPr>
        <xdr:cNvPr id="17" name="Immagine 16">
          <a:extLst>
            <a:ext uri="{FF2B5EF4-FFF2-40B4-BE49-F238E27FC236}">
              <a16:creationId xmlns:a16="http://schemas.microsoft.com/office/drawing/2014/main" id="{914BCDA3-3802-472A-8AAD-752ADA6A1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6705078" cy="75619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739976</xdr:colOff>
      <xdr:row>160</xdr:row>
      <xdr:rowOff>31558</xdr:rowOff>
    </xdr:to>
    <xdr:pic>
      <xdr:nvPicPr>
        <xdr:cNvPr id="18" name="Immagine 17">
          <a:extLst>
            <a:ext uri="{FF2B5EF4-FFF2-40B4-BE49-F238E27FC236}">
              <a16:creationId xmlns:a16="http://schemas.microsoft.com/office/drawing/2014/main" id="{58D7DEC0-2F03-4173-BBE8-851D3D4C7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6095526" cy="7226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117</xdr:row>
      <xdr:rowOff>41042</xdr:rowOff>
    </xdr:to>
    <xdr:pic>
      <xdr:nvPicPr>
        <xdr:cNvPr id="19" name="Immagine 18">
          <a:extLst>
            <a:ext uri="{FF2B5EF4-FFF2-40B4-BE49-F238E27FC236}">
              <a16:creationId xmlns:a16="http://schemas.microsoft.com/office/drawing/2014/main" id="{3F987DE8-E031-40CE-B460-10336C32B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0601458" cy="6761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155</xdr:row>
      <xdr:rowOff>69658</xdr:rowOff>
    </xdr:to>
    <xdr:pic>
      <xdr:nvPicPr>
        <xdr:cNvPr id="20" name="Immagine 19">
          <a:extLst>
            <a:ext uri="{FF2B5EF4-FFF2-40B4-BE49-F238E27FC236}">
              <a16:creationId xmlns:a16="http://schemas.microsoft.com/office/drawing/2014/main" id="{677A5A61-CFE3-4B75-8150-5B78F1FCA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0037626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117</xdr:row>
      <xdr:rowOff>41042</xdr:rowOff>
    </xdr:to>
    <xdr:pic>
      <xdr:nvPicPr>
        <xdr:cNvPr id="21" name="Immagine 20">
          <a:extLst>
            <a:ext uri="{FF2B5EF4-FFF2-40B4-BE49-F238E27FC236}">
              <a16:creationId xmlns:a16="http://schemas.microsoft.com/office/drawing/2014/main" id="{58C4336E-6148-47C7-A5E3-BAD0F3FD2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0601458" cy="6761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155</xdr:row>
      <xdr:rowOff>69658</xdr:rowOff>
    </xdr:to>
    <xdr:pic>
      <xdr:nvPicPr>
        <xdr:cNvPr id="22" name="Immagine 21">
          <a:extLst>
            <a:ext uri="{FF2B5EF4-FFF2-40B4-BE49-F238E27FC236}">
              <a16:creationId xmlns:a16="http://schemas.microsoft.com/office/drawing/2014/main" id="{5DB67894-4E4C-4B01-BA50-5095E8E53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0037626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23</xdr:col>
      <xdr:colOff>368453</xdr:colOff>
      <xdr:row>122</xdr:row>
      <xdr:rowOff>41042</xdr:rowOff>
    </xdr:to>
    <xdr:pic>
      <xdr:nvPicPr>
        <xdr:cNvPr id="24" name="Immagine 23">
          <a:extLst>
            <a:ext uri="{FF2B5EF4-FFF2-40B4-BE49-F238E27FC236}">
              <a16:creationId xmlns:a16="http://schemas.microsoft.com/office/drawing/2014/main" id="{43EBC3AF-641B-4E6F-8969-61867776C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6705078" cy="75619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739976</xdr:colOff>
      <xdr:row>160</xdr:row>
      <xdr:rowOff>31558</xdr:rowOff>
    </xdr:to>
    <xdr:pic>
      <xdr:nvPicPr>
        <xdr:cNvPr id="25" name="Immagine 24">
          <a:extLst>
            <a:ext uri="{FF2B5EF4-FFF2-40B4-BE49-F238E27FC236}">
              <a16:creationId xmlns:a16="http://schemas.microsoft.com/office/drawing/2014/main" id="{8B33155C-666A-41F5-B059-03C5EAB9A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6095526" cy="7226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117</xdr:row>
      <xdr:rowOff>41042</xdr:rowOff>
    </xdr:to>
    <xdr:pic>
      <xdr:nvPicPr>
        <xdr:cNvPr id="27" name="Immagine 26">
          <a:extLst>
            <a:ext uri="{FF2B5EF4-FFF2-40B4-BE49-F238E27FC236}">
              <a16:creationId xmlns:a16="http://schemas.microsoft.com/office/drawing/2014/main" id="{032B1605-69BC-48B3-83B4-EF44A33D2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0601458" cy="6761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155</xdr:row>
      <xdr:rowOff>69658</xdr:rowOff>
    </xdr:to>
    <xdr:pic>
      <xdr:nvPicPr>
        <xdr:cNvPr id="28" name="Immagine 27">
          <a:extLst>
            <a:ext uri="{FF2B5EF4-FFF2-40B4-BE49-F238E27FC236}">
              <a16:creationId xmlns:a16="http://schemas.microsoft.com/office/drawing/2014/main" id="{DAC77274-EEF1-4D15-91FF-181961669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0037626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117</xdr:row>
      <xdr:rowOff>41042</xdr:rowOff>
    </xdr:to>
    <xdr:pic>
      <xdr:nvPicPr>
        <xdr:cNvPr id="30" name="Immagine 29">
          <a:extLst>
            <a:ext uri="{FF2B5EF4-FFF2-40B4-BE49-F238E27FC236}">
              <a16:creationId xmlns:a16="http://schemas.microsoft.com/office/drawing/2014/main" id="{FB34DCAB-0C04-41C1-832D-C099F738A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0601458" cy="6761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155</xdr:row>
      <xdr:rowOff>69658</xdr:rowOff>
    </xdr:to>
    <xdr:pic>
      <xdr:nvPicPr>
        <xdr:cNvPr id="31" name="Immagine 30">
          <a:extLst>
            <a:ext uri="{FF2B5EF4-FFF2-40B4-BE49-F238E27FC236}">
              <a16:creationId xmlns:a16="http://schemas.microsoft.com/office/drawing/2014/main" id="{3B0ED83F-909A-459D-ABCB-9D842A438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0037626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115</xdr:row>
      <xdr:rowOff>41042</xdr:rowOff>
    </xdr:to>
    <xdr:pic>
      <xdr:nvPicPr>
        <xdr:cNvPr id="32" name="Immagine 31">
          <a:extLst>
            <a:ext uri="{FF2B5EF4-FFF2-40B4-BE49-F238E27FC236}">
              <a16:creationId xmlns:a16="http://schemas.microsoft.com/office/drawing/2014/main" id="{59E6B016-B6B9-4855-B266-445409B3F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0601458" cy="64418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153</xdr:row>
      <xdr:rowOff>79183</xdr:rowOff>
    </xdr:to>
    <xdr:pic>
      <xdr:nvPicPr>
        <xdr:cNvPr id="33" name="Immagine 32">
          <a:extLst>
            <a:ext uri="{FF2B5EF4-FFF2-40B4-BE49-F238E27FC236}">
              <a16:creationId xmlns:a16="http://schemas.microsoft.com/office/drawing/2014/main" id="{5BBEEE32-F404-4226-890A-831D72E15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0037626" cy="61523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1035203</xdr:colOff>
      <xdr:row>110</xdr:row>
      <xdr:rowOff>155342</xdr:rowOff>
    </xdr:to>
    <xdr:pic>
      <xdr:nvPicPr>
        <xdr:cNvPr id="34" name="Immagine 33">
          <a:extLst>
            <a:ext uri="{FF2B5EF4-FFF2-40B4-BE49-F238E27FC236}">
              <a16:creationId xmlns:a16="http://schemas.microsoft.com/office/drawing/2014/main" id="{C72F10F7-21B3-4D33-9249-0D27D33A96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15808478" cy="57560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654251</xdr:colOff>
      <xdr:row>149</xdr:row>
      <xdr:rowOff>79183</xdr:rowOff>
    </xdr:to>
    <xdr:pic>
      <xdr:nvPicPr>
        <xdr:cNvPr id="35" name="Immagine 34">
          <a:extLst>
            <a:ext uri="{FF2B5EF4-FFF2-40B4-BE49-F238E27FC236}">
              <a16:creationId xmlns:a16="http://schemas.microsoft.com/office/drawing/2014/main" id="{37A6293D-07A6-4857-B38F-3319F2A57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15427526" cy="55122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1035203</xdr:colOff>
      <xdr:row>110</xdr:row>
      <xdr:rowOff>155342</xdr:rowOff>
    </xdr:to>
    <xdr:pic>
      <xdr:nvPicPr>
        <xdr:cNvPr id="36" name="Immagine 35">
          <a:extLst>
            <a:ext uri="{FF2B5EF4-FFF2-40B4-BE49-F238E27FC236}">
              <a16:creationId xmlns:a16="http://schemas.microsoft.com/office/drawing/2014/main" id="{F84FB34C-F034-4B1A-8462-74195BA2E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15808478" cy="57560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654251</xdr:colOff>
      <xdr:row>149</xdr:row>
      <xdr:rowOff>79183</xdr:rowOff>
    </xdr:to>
    <xdr:pic>
      <xdr:nvPicPr>
        <xdr:cNvPr id="37" name="Immagine 36">
          <a:extLst>
            <a:ext uri="{FF2B5EF4-FFF2-40B4-BE49-F238E27FC236}">
              <a16:creationId xmlns:a16="http://schemas.microsoft.com/office/drawing/2014/main" id="{BC433F91-2056-4BB5-8C43-436CF0955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15427526" cy="55122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23</xdr:col>
      <xdr:colOff>368453</xdr:colOff>
      <xdr:row>122</xdr:row>
      <xdr:rowOff>41042</xdr:rowOff>
    </xdr:to>
    <xdr:pic>
      <xdr:nvPicPr>
        <xdr:cNvPr id="38" name="Immagine 37">
          <a:extLst>
            <a:ext uri="{FF2B5EF4-FFF2-40B4-BE49-F238E27FC236}">
              <a16:creationId xmlns:a16="http://schemas.microsoft.com/office/drawing/2014/main" id="{87756C1F-CD55-4EE9-8C58-70332C7CD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6705078" cy="75619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739976</xdr:colOff>
      <xdr:row>160</xdr:row>
      <xdr:rowOff>31558</xdr:rowOff>
    </xdr:to>
    <xdr:pic>
      <xdr:nvPicPr>
        <xdr:cNvPr id="39" name="Immagine 38">
          <a:extLst>
            <a:ext uri="{FF2B5EF4-FFF2-40B4-BE49-F238E27FC236}">
              <a16:creationId xmlns:a16="http://schemas.microsoft.com/office/drawing/2014/main" id="{7D7026C7-8D93-4822-BA16-BBCB6B86B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6095526" cy="7226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117</xdr:row>
      <xdr:rowOff>41042</xdr:rowOff>
    </xdr:to>
    <xdr:pic>
      <xdr:nvPicPr>
        <xdr:cNvPr id="40" name="Immagine 39">
          <a:extLst>
            <a:ext uri="{FF2B5EF4-FFF2-40B4-BE49-F238E27FC236}">
              <a16:creationId xmlns:a16="http://schemas.microsoft.com/office/drawing/2014/main" id="{A69AF7B1-12AF-4C35-BF82-E49ACDBF4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0601458" cy="6761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155</xdr:row>
      <xdr:rowOff>69658</xdr:rowOff>
    </xdr:to>
    <xdr:pic>
      <xdr:nvPicPr>
        <xdr:cNvPr id="41" name="Immagine 40">
          <a:extLst>
            <a:ext uri="{FF2B5EF4-FFF2-40B4-BE49-F238E27FC236}">
              <a16:creationId xmlns:a16="http://schemas.microsoft.com/office/drawing/2014/main" id="{3548EA7F-3CF8-4E8F-B65C-A4C495226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0037626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117</xdr:row>
      <xdr:rowOff>41042</xdr:rowOff>
    </xdr:to>
    <xdr:pic>
      <xdr:nvPicPr>
        <xdr:cNvPr id="42" name="Immagine 41">
          <a:extLst>
            <a:ext uri="{FF2B5EF4-FFF2-40B4-BE49-F238E27FC236}">
              <a16:creationId xmlns:a16="http://schemas.microsoft.com/office/drawing/2014/main" id="{B2AD2711-5F4F-4F17-802C-1E9B6F689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0601458" cy="6761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155</xdr:row>
      <xdr:rowOff>69658</xdr:rowOff>
    </xdr:to>
    <xdr:pic>
      <xdr:nvPicPr>
        <xdr:cNvPr id="43" name="Immagine 42">
          <a:extLst>
            <a:ext uri="{FF2B5EF4-FFF2-40B4-BE49-F238E27FC236}">
              <a16:creationId xmlns:a16="http://schemas.microsoft.com/office/drawing/2014/main" id="{4945A5EA-919A-48C7-BD1F-F73D14F27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0037626" cy="6464743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75</xdr:row>
      <xdr:rowOff>0</xdr:rowOff>
    </xdr:from>
    <xdr:to>
      <xdr:col>23</xdr:col>
      <xdr:colOff>368453</xdr:colOff>
      <xdr:row>114</xdr:row>
      <xdr:rowOff>155342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841A6E9C-4F02-4C57-AB6F-CAF8A9B47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6705078" cy="63961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739976</xdr:colOff>
      <xdr:row>152</xdr:row>
      <xdr:rowOff>155383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3E561A0C-24F1-43BB-A3F6-035437251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6095526" cy="60685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110</xdr:row>
      <xdr:rowOff>107717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C78281B1-84F6-49AD-8267-FF4B73128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0601458" cy="57103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148</xdr:row>
      <xdr:rowOff>155383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D0F869A6-0AA6-4971-94AF-644CECDD2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0037626" cy="54284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110</xdr:row>
      <xdr:rowOff>107717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DAF042FD-51B1-462A-BD7C-754CAEDB1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0601458" cy="57103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148</xdr:row>
      <xdr:rowOff>155383</xdr:rowOff>
    </xdr:to>
    <xdr:pic>
      <xdr:nvPicPr>
        <xdr:cNvPr id="10" name="Immagine 9">
          <a:extLst>
            <a:ext uri="{FF2B5EF4-FFF2-40B4-BE49-F238E27FC236}">
              <a16:creationId xmlns:a16="http://schemas.microsoft.com/office/drawing/2014/main" id="{C7EC7845-085F-4A17-9CE5-34D72B8BB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0037626" cy="54284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108</xdr:row>
      <xdr:rowOff>155342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6A15E47C-A4DD-4CC4-9C9F-2288E83A2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0601458" cy="54360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147</xdr:row>
      <xdr:rowOff>69658</xdr:rowOff>
    </xdr:to>
    <xdr:pic>
      <xdr:nvPicPr>
        <xdr:cNvPr id="12" name="Immagine 11">
          <a:extLst>
            <a:ext uri="{FF2B5EF4-FFF2-40B4-BE49-F238E27FC236}">
              <a16:creationId xmlns:a16="http://schemas.microsoft.com/office/drawing/2014/main" id="{16960BBE-1924-4C62-990A-AECF1A262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0037626" cy="51845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1035203</xdr:colOff>
      <xdr:row>105</xdr:row>
      <xdr:rowOff>41042</xdr:rowOff>
    </xdr:to>
    <xdr:pic>
      <xdr:nvPicPr>
        <xdr:cNvPr id="13" name="Immagine 12">
          <a:extLst>
            <a:ext uri="{FF2B5EF4-FFF2-40B4-BE49-F238E27FC236}">
              <a16:creationId xmlns:a16="http://schemas.microsoft.com/office/drawing/2014/main" id="{79AB9654-BF03-4758-B703-A7EFF4CF4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15808478" cy="48416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654251</xdr:colOff>
      <xdr:row>144</xdr:row>
      <xdr:rowOff>2983</xdr:rowOff>
    </xdr:to>
    <xdr:pic>
      <xdr:nvPicPr>
        <xdr:cNvPr id="14" name="Immagine 13">
          <a:extLst>
            <a:ext uri="{FF2B5EF4-FFF2-40B4-BE49-F238E27FC236}">
              <a16:creationId xmlns:a16="http://schemas.microsoft.com/office/drawing/2014/main" id="{30050F58-8022-4C65-8BB7-282FAFF36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15427526" cy="46359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1035203</xdr:colOff>
      <xdr:row>105</xdr:row>
      <xdr:rowOff>41042</xdr:rowOff>
    </xdr:to>
    <xdr:pic>
      <xdr:nvPicPr>
        <xdr:cNvPr id="15" name="Immagine 14">
          <a:extLst>
            <a:ext uri="{FF2B5EF4-FFF2-40B4-BE49-F238E27FC236}">
              <a16:creationId xmlns:a16="http://schemas.microsoft.com/office/drawing/2014/main" id="{B3B0BF1F-DEF5-4313-9B63-41575EE17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15808478" cy="48416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654251</xdr:colOff>
      <xdr:row>144</xdr:row>
      <xdr:rowOff>2983</xdr:rowOff>
    </xdr:to>
    <xdr:pic>
      <xdr:nvPicPr>
        <xdr:cNvPr id="16" name="Immagine 15">
          <a:extLst>
            <a:ext uri="{FF2B5EF4-FFF2-40B4-BE49-F238E27FC236}">
              <a16:creationId xmlns:a16="http://schemas.microsoft.com/office/drawing/2014/main" id="{D0EEF790-10A6-42EF-BE50-B3C6CF11B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15427526" cy="46359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23</xdr:col>
      <xdr:colOff>368453</xdr:colOff>
      <xdr:row>114</xdr:row>
      <xdr:rowOff>155342</xdr:rowOff>
    </xdr:to>
    <xdr:pic>
      <xdr:nvPicPr>
        <xdr:cNvPr id="17" name="Immagine 16">
          <a:extLst>
            <a:ext uri="{FF2B5EF4-FFF2-40B4-BE49-F238E27FC236}">
              <a16:creationId xmlns:a16="http://schemas.microsoft.com/office/drawing/2014/main" id="{35F310F7-A50F-4B3F-A8FA-D312FE6D8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6705078" cy="63961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739976</xdr:colOff>
      <xdr:row>152</xdr:row>
      <xdr:rowOff>155383</xdr:rowOff>
    </xdr:to>
    <xdr:pic>
      <xdr:nvPicPr>
        <xdr:cNvPr id="18" name="Immagine 17">
          <a:extLst>
            <a:ext uri="{FF2B5EF4-FFF2-40B4-BE49-F238E27FC236}">
              <a16:creationId xmlns:a16="http://schemas.microsoft.com/office/drawing/2014/main" id="{2C1AE732-3D5E-451B-8B80-1CF97712A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6095526" cy="60685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110</xdr:row>
      <xdr:rowOff>107717</xdr:rowOff>
    </xdr:to>
    <xdr:pic>
      <xdr:nvPicPr>
        <xdr:cNvPr id="19" name="Immagine 18">
          <a:extLst>
            <a:ext uri="{FF2B5EF4-FFF2-40B4-BE49-F238E27FC236}">
              <a16:creationId xmlns:a16="http://schemas.microsoft.com/office/drawing/2014/main" id="{9C55EC1A-CA72-4931-9042-EFA359259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0601458" cy="57103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148</xdr:row>
      <xdr:rowOff>155383</xdr:rowOff>
    </xdr:to>
    <xdr:pic>
      <xdr:nvPicPr>
        <xdr:cNvPr id="20" name="Immagine 19">
          <a:extLst>
            <a:ext uri="{FF2B5EF4-FFF2-40B4-BE49-F238E27FC236}">
              <a16:creationId xmlns:a16="http://schemas.microsoft.com/office/drawing/2014/main" id="{CCDB5D6E-B26C-49B9-A352-53082CDF0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0037626" cy="54284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110</xdr:row>
      <xdr:rowOff>107717</xdr:rowOff>
    </xdr:to>
    <xdr:pic>
      <xdr:nvPicPr>
        <xdr:cNvPr id="21" name="Immagine 20">
          <a:extLst>
            <a:ext uri="{FF2B5EF4-FFF2-40B4-BE49-F238E27FC236}">
              <a16:creationId xmlns:a16="http://schemas.microsoft.com/office/drawing/2014/main" id="{C0E5AC57-45D0-4E30-8657-07957405A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0601458" cy="57103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148</xdr:row>
      <xdr:rowOff>155383</xdr:rowOff>
    </xdr:to>
    <xdr:pic>
      <xdr:nvPicPr>
        <xdr:cNvPr id="22" name="Immagine 21">
          <a:extLst>
            <a:ext uri="{FF2B5EF4-FFF2-40B4-BE49-F238E27FC236}">
              <a16:creationId xmlns:a16="http://schemas.microsoft.com/office/drawing/2014/main" id="{BD7026B6-96ED-43EC-84C2-5E3486384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0037626" cy="5428423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75</xdr:row>
      <xdr:rowOff>0</xdr:rowOff>
    </xdr:from>
    <xdr:to>
      <xdr:col>23</xdr:col>
      <xdr:colOff>387503</xdr:colOff>
      <xdr:row>108</xdr:row>
      <xdr:rowOff>117242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8F46FF0F-289C-48C7-BE4D-28FEE4DDE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6720318" cy="53979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749501</xdr:colOff>
      <xdr:row>146</xdr:row>
      <xdr:rowOff>145858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86125DF0-7CCB-43E0-A0A1-F4E20EC60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6110766" cy="51007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104</xdr:row>
      <xdr:rowOff>155342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8231318A-67A4-472C-A573-74758E3AB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0601458" cy="47959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143</xdr:row>
      <xdr:rowOff>117283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4C5BF5F9-999A-4719-91CC-0650A1AE3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0037626" cy="45902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104</xdr:row>
      <xdr:rowOff>155342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57243FB5-7CF2-41CA-A344-25AE9CAB0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0601458" cy="47959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143</xdr:row>
      <xdr:rowOff>117283</xdr:rowOff>
    </xdr:to>
    <xdr:pic>
      <xdr:nvPicPr>
        <xdr:cNvPr id="10" name="Immagine 9">
          <a:extLst>
            <a:ext uri="{FF2B5EF4-FFF2-40B4-BE49-F238E27FC236}">
              <a16:creationId xmlns:a16="http://schemas.microsoft.com/office/drawing/2014/main" id="{90B0A16F-2AAC-4C95-B674-23816AB67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0037626" cy="45902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103</xdr:row>
      <xdr:rowOff>117242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98BC1C6F-A439-49D3-BE2B-7FDE4B0D5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0601458" cy="45978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142</xdr:row>
      <xdr:rowOff>41083</xdr:rowOff>
    </xdr:to>
    <xdr:pic>
      <xdr:nvPicPr>
        <xdr:cNvPr id="12" name="Immagine 11">
          <a:extLst>
            <a:ext uri="{FF2B5EF4-FFF2-40B4-BE49-F238E27FC236}">
              <a16:creationId xmlns:a16="http://schemas.microsoft.com/office/drawing/2014/main" id="{ACA970EA-CB42-4F6F-8999-CA2A8C7AC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0037626" cy="43540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1035203</xdr:colOff>
      <xdr:row>100</xdr:row>
      <xdr:rowOff>79142</xdr:rowOff>
    </xdr:to>
    <xdr:pic>
      <xdr:nvPicPr>
        <xdr:cNvPr id="13" name="Immagine 12">
          <a:extLst>
            <a:ext uri="{FF2B5EF4-FFF2-40B4-BE49-F238E27FC236}">
              <a16:creationId xmlns:a16="http://schemas.microsoft.com/office/drawing/2014/main" id="{30215795-6245-419B-97B1-9E7C38CDF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15808478" cy="40796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654251</xdr:colOff>
      <xdr:row>139</xdr:row>
      <xdr:rowOff>79183</xdr:rowOff>
    </xdr:to>
    <xdr:pic>
      <xdr:nvPicPr>
        <xdr:cNvPr id="14" name="Immagine 13">
          <a:extLst>
            <a:ext uri="{FF2B5EF4-FFF2-40B4-BE49-F238E27FC236}">
              <a16:creationId xmlns:a16="http://schemas.microsoft.com/office/drawing/2014/main" id="{84F583D6-F3DE-41F9-AA13-0ECC7F102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15427526" cy="39120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1035203</xdr:colOff>
      <xdr:row>100</xdr:row>
      <xdr:rowOff>79142</xdr:rowOff>
    </xdr:to>
    <xdr:pic>
      <xdr:nvPicPr>
        <xdr:cNvPr id="15" name="Immagine 14">
          <a:extLst>
            <a:ext uri="{FF2B5EF4-FFF2-40B4-BE49-F238E27FC236}">
              <a16:creationId xmlns:a16="http://schemas.microsoft.com/office/drawing/2014/main" id="{B723C839-A773-4EBD-8376-A3AA48CE2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15808478" cy="40796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654251</xdr:colOff>
      <xdr:row>139</xdr:row>
      <xdr:rowOff>79183</xdr:rowOff>
    </xdr:to>
    <xdr:pic>
      <xdr:nvPicPr>
        <xdr:cNvPr id="16" name="Immagine 15">
          <a:extLst>
            <a:ext uri="{FF2B5EF4-FFF2-40B4-BE49-F238E27FC236}">
              <a16:creationId xmlns:a16="http://schemas.microsoft.com/office/drawing/2014/main" id="{3C1C9F6F-05D2-4C36-980B-13A449F7F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15427526" cy="39120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23</xdr:col>
      <xdr:colOff>387503</xdr:colOff>
      <xdr:row>108</xdr:row>
      <xdr:rowOff>117242</xdr:rowOff>
    </xdr:to>
    <xdr:pic>
      <xdr:nvPicPr>
        <xdr:cNvPr id="17" name="Immagine 16">
          <a:extLst>
            <a:ext uri="{FF2B5EF4-FFF2-40B4-BE49-F238E27FC236}">
              <a16:creationId xmlns:a16="http://schemas.microsoft.com/office/drawing/2014/main" id="{69994CF2-284E-4EB9-BC0B-4A3506EA9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6720318" cy="53979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749501</xdr:colOff>
      <xdr:row>146</xdr:row>
      <xdr:rowOff>145858</xdr:rowOff>
    </xdr:to>
    <xdr:pic>
      <xdr:nvPicPr>
        <xdr:cNvPr id="18" name="Immagine 17">
          <a:extLst>
            <a:ext uri="{FF2B5EF4-FFF2-40B4-BE49-F238E27FC236}">
              <a16:creationId xmlns:a16="http://schemas.microsoft.com/office/drawing/2014/main" id="{F2D9A71F-E473-4C7B-BA99-4F89CA710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6110766" cy="51007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104</xdr:row>
      <xdr:rowOff>155342</xdr:rowOff>
    </xdr:to>
    <xdr:pic>
      <xdr:nvPicPr>
        <xdr:cNvPr id="19" name="Immagine 18">
          <a:extLst>
            <a:ext uri="{FF2B5EF4-FFF2-40B4-BE49-F238E27FC236}">
              <a16:creationId xmlns:a16="http://schemas.microsoft.com/office/drawing/2014/main" id="{650C80B5-D617-43C9-B0B0-13668E459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0601458" cy="47959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143</xdr:row>
      <xdr:rowOff>117283</xdr:rowOff>
    </xdr:to>
    <xdr:pic>
      <xdr:nvPicPr>
        <xdr:cNvPr id="20" name="Immagine 19">
          <a:extLst>
            <a:ext uri="{FF2B5EF4-FFF2-40B4-BE49-F238E27FC236}">
              <a16:creationId xmlns:a16="http://schemas.microsoft.com/office/drawing/2014/main" id="{565FCEF8-98D7-4864-9368-02549AFB1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0037626" cy="45902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104</xdr:row>
      <xdr:rowOff>155342</xdr:rowOff>
    </xdr:to>
    <xdr:pic>
      <xdr:nvPicPr>
        <xdr:cNvPr id="21" name="Immagine 20">
          <a:extLst>
            <a:ext uri="{FF2B5EF4-FFF2-40B4-BE49-F238E27FC236}">
              <a16:creationId xmlns:a16="http://schemas.microsoft.com/office/drawing/2014/main" id="{9A608A84-EB8E-4069-9D7F-B668DDC88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0601458" cy="47959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143</xdr:row>
      <xdr:rowOff>117283</xdr:rowOff>
    </xdr:to>
    <xdr:pic>
      <xdr:nvPicPr>
        <xdr:cNvPr id="22" name="Immagine 21">
          <a:extLst>
            <a:ext uri="{FF2B5EF4-FFF2-40B4-BE49-F238E27FC236}">
              <a16:creationId xmlns:a16="http://schemas.microsoft.com/office/drawing/2014/main" id="{728925F4-A16F-4C43-AB86-9ADED2A32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0037626" cy="4590223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75</xdr:row>
      <xdr:rowOff>0</xdr:rowOff>
    </xdr:from>
    <xdr:to>
      <xdr:col>23</xdr:col>
      <xdr:colOff>368453</xdr:colOff>
      <xdr:row>122</xdr:row>
      <xdr:rowOff>41042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7F536FAD-68FD-46E9-8363-A11642860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6705078" cy="75619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739976</xdr:colOff>
      <xdr:row>160</xdr:row>
      <xdr:rowOff>31558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DB134F08-09A2-48E1-8A49-354F24CC7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6095526" cy="7226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117</xdr:row>
      <xdr:rowOff>41042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C0C36C58-F3AF-4D27-A333-B25D6E613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0601458" cy="6761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155</xdr:row>
      <xdr:rowOff>69658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54CCE35C-877D-44FE-B002-204E13238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0037626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117</xdr:row>
      <xdr:rowOff>41042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E53D5F90-45B6-4F7F-B30F-667A4A657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0601458" cy="6761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155</xdr:row>
      <xdr:rowOff>69658</xdr:rowOff>
    </xdr:to>
    <xdr:pic>
      <xdr:nvPicPr>
        <xdr:cNvPr id="10" name="Immagine 9">
          <a:extLst>
            <a:ext uri="{FF2B5EF4-FFF2-40B4-BE49-F238E27FC236}">
              <a16:creationId xmlns:a16="http://schemas.microsoft.com/office/drawing/2014/main" id="{6A62CA16-06F4-4190-8FA2-3CFF64570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0037626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115</xdr:row>
      <xdr:rowOff>41042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771098E0-A24D-448C-82ED-3EF39F8D2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0601458" cy="64418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153</xdr:row>
      <xdr:rowOff>79183</xdr:rowOff>
    </xdr:to>
    <xdr:pic>
      <xdr:nvPicPr>
        <xdr:cNvPr id="12" name="Immagine 11">
          <a:extLst>
            <a:ext uri="{FF2B5EF4-FFF2-40B4-BE49-F238E27FC236}">
              <a16:creationId xmlns:a16="http://schemas.microsoft.com/office/drawing/2014/main" id="{E5705A4E-7767-41E6-BBEF-8D65378E0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0037626" cy="61523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1035203</xdr:colOff>
      <xdr:row>110</xdr:row>
      <xdr:rowOff>155342</xdr:rowOff>
    </xdr:to>
    <xdr:pic>
      <xdr:nvPicPr>
        <xdr:cNvPr id="13" name="Immagine 12">
          <a:extLst>
            <a:ext uri="{FF2B5EF4-FFF2-40B4-BE49-F238E27FC236}">
              <a16:creationId xmlns:a16="http://schemas.microsoft.com/office/drawing/2014/main" id="{E35650C8-5366-4B37-922F-8E567C4EA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15808478" cy="57560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654251</xdr:colOff>
      <xdr:row>149</xdr:row>
      <xdr:rowOff>79183</xdr:rowOff>
    </xdr:to>
    <xdr:pic>
      <xdr:nvPicPr>
        <xdr:cNvPr id="14" name="Immagine 13">
          <a:extLst>
            <a:ext uri="{FF2B5EF4-FFF2-40B4-BE49-F238E27FC236}">
              <a16:creationId xmlns:a16="http://schemas.microsoft.com/office/drawing/2014/main" id="{8B9614DF-3D97-4985-9FDE-D1FF02E84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15427526" cy="55122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1035203</xdr:colOff>
      <xdr:row>110</xdr:row>
      <xdr:rowOff>155342</xdr:rowOff>
    </xdr:to>
    <xdr:pic>
      <xdr:nvPicPr>
        <xdr:cNvPr id="15" name="Immagine 14">
          <a:extLst>
            <a:ext uri="{FF2B5EF4-FFF2-40B4-BE49-F238E27FC236}">
              <a16:creationId xmlns:a16="http://schemas.microsoft.com/office/drawing/2014/main" id="{8BF8490D-5656-4A8A-B5F7-C8EDE26A3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15808478" cy="57560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654251</xdr:colOff>
      <xdr:row>149</xdr:row>
      <xdr:rowOff>79183</xdr:rowOff>
    </xdr:to>
    <xdr:pic>
      <xdr:nvPicPr>
        <xdr:cNvPr id="16" name="Immagine 15">
          <a:extLst>
            <a:ext uri="{FF2B5EF4-FFF2-40B4-BE49-F238E27FC236}">
              <a16:creationId xmlns:a16="http://schemas.microsoft.com/office/drawing/2014/main" id="{0A4C14D8-DBBA-4303-8ECE-050943ACB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15427526" cy="55122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23</xdr:col>
      <xdr:colOff>368453</xdr:colOff>
      <xdr:row>122</xdr:row>
      <xdr:rowOff>41042</xdr:rowOff>
    </xdr:to>
    <xdr:pic>
      <xdr:nvPicPr>
        <xdr:cNvPr id="17" name="Immagine 16">
          <a:extLst>
            <a:ext uri="{FF2B5EF4-FFF2-40B4-BE49-F238E27FC236}">
              <a16:creationId xmlns:a16="http://schemas.microsoft.com/office/drawing/2014/main" id="{1CCCCC1D-448A-4ABC-BFD4-738235A66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6705078" cy="75619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739976</xdr:colOff>
      <xdr:row>160</xdr:row>
      <xdr:rowOff>31558</xdr:rowOff>
    </xdr:to>
    <xdr:pic>
      <xdr:nvPicPr>
        <xdr:cNvPr id="18" name="Immagine 17">
          <a:extLst>
            <a:ext uri="{FF2B5EF4-FFF2-40B4-BE49-F238E27FC236}">
              <a16:creationId xmlns:a16="http://schemas.microsoft.com/office/drawing/2014/main" id="{068056E0-B99D-46E0-BA85-A96D1E560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6095526" cy="7226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117</xdr:row>
      <xdr:rowOff>41042</xdr:rowOff>
    </xdr:to>
    <xdr:pic>
      <xdr:nvPicPr>
        <xdr:cNvPr id="19" name="Immagine 18">
          <a:extLst>
            <a:ext uri="{FF2B5EF4-FFF2-40B4-BE49-F238E27FC236}">
              <a16:creationId xmlns:a16="http://schemas.microsoft.com/office/drawing/2014/main" id="{DBF88179-73AA-46E4-891B-B9ACC1181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0601458" cy="6761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155</xdr:row>
      <xdr:rowOff>69658</xdr:rowOff>
    </xdr:to>
    <xdr:pic>
      <xdr:nvPicPr>
        <xdr:cNvPr id="20" name="Immagine 19">
          <a:extLst>
            <a:ext uri="{FF2B5EF4-FFF2-40B4-BE49-F238E27FC236}">
              <a16:creationId xmlns:a16="http://schemas.microsoft.com/office/drawing/2014/main" id="{68BF27AC-6F59-4CD6-83D3-B63DE469E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0037626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117</xdr:row>
      <xdr:rowOff>41042</xdr:rowOff>
    </xdr:to>
    <xdr:pic>
      <xdr:nvPicPr>
        <xdr:cNvPr id="21" name="Immagine 20">
          <a:extLst>
            <a:ext uri="{FF2B5EF4-FFF2-40B4-BE49-F238E27FC236}">
              <a16:creationId xmlns:a16="http://schemas.microsoft.com/office/drawing/2014/main" id="{4C9DC792-211C-4CE4-AF1D-BD3B9B609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0601458" cy="6761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155</xdr:row>
      <xdr:rowOff>69658</xdr:rowOff>
    </xdr:to>
    <xdr:pic>
      <xdr:nvPicPr>
        <xdr:cNvPr id="22" name="Immagine 21">
          <a:extLst>
            <a:ext uri="{FF2B5EF4-FFF2-40B4-BE49-F238E27FC236}">
              <a16:creationId xmlns:a16="http://schemas.microsoft.com/office/drawing/2014/main" id="{FF87FA88-8BFB-4F63-BB86-A06C53DAA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0037626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23</xdr:col>
      <xdr:colOff>368453</xdr:colOff>
      <xdr:row>122</xdr:row>
      <xdr:rowOff>41042</xdr:rowOff>
    </xdr:to>
    <xdr:pic>
      <xdr:nvPicPr>
        <xdr:cNvPr id="24" name="Immagine 23">
          <a:extLst>
            <a:ext uri="{FF2B5EF4-FFF2-40B4-BE49-F238E27FC236}">
              <a16:creationId xmlns:a16="http://schemas.microsoft.com/office/drawing/2014/main" id="{0B1FD2E0-EF73-4FF8-91D4-F10611241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6705078" cy="75619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739976</xdr:colOff>
      <xdr:row>160</xdr:row>
      <xdr:rowOff>31558</xdr:rowOff>
    </xdr:to>
    <xdr:pic>
      <xdr:nvPicPr>
        <xdr:cNvPr id="25" name="Immagine 24">
          <a:extLst>
            <a:ext uri="{FF2B5EF4-FFF2-40B4-BE49-F238E27FC236}">
              <a16:creationId xmlns:a16="http://schemas.microsoft.com/office/drawing/2014/main" id="{061493C2-3F4F-48BF-A7C6-100A61530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6095526" cy="7226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117</xdr:row>
      <xdr:rowOff>41042</xdr:rowOff>
    </xdr:to>
    <xdr:pic>
      <xdr:nvPicPr>
        <xdr:cNvPr id="27" name="Immagine 26">
          <a:extLst>
            <a:ext uri="{FF2B5EF4-FFF2-40B4-BE49-F238E27FC236}">
              <a16:creationId xmlns:a16="http://schemas.microsoft.com/office/drawing/2014/main" id="{C67ACF67-6453-40CC-87E7-40428CE73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0601458" cy="6761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155</xdr:row>
      <xdr:rowOff>69658</xdr:rowOff>
    </xdr:to>
    <xdr:pic>
      <xdr:nvPicPr>
        <xdr:cNvPr id="28" name="Immagine 27">
          <a:extLst>
            <a:ext uri="{FF2B5EF4-FFF2-40B4-BE49-F238E27FC236}">
              <a16:creationId xmlns:a16="http://schemas.microsoft.com/office/drawing/2014/main" id="{5DC74D1E-0A94-4A0F-AAA4-077E8CC56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0037626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117</xdr:row>
      <xdr:rowOff>41042</xdr:rowOff>
    </xdr:to>
    <xdr:pic>
      <xdr:nvPicPr>
        <xdr:cNvPr id="30" name="Immagine 29">
          <a:extLst>
            <a:ext uri="{FF2B5EF4-FFF2-40B4-BE49-F238E27FC236}">
              <a16:creationId xmlns:a16="http://schemas.microsoft.com/office/drawing/2014/main" id="{A0EE1CBB-0A71-4E46-9A77-A69B54B08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0601458" cy="6761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155</xdr:row>
      <xdr:rowOff>69658</xdr:rowOff>
    </xdr:to>
    <xdr:pic>
      <xdr:nvPicPr>
        <xdr:cNvPr id="31" name="Immagine 30">
          <a:extLst>
            <a:ext uri="{FF2B5EF4-FFF2-40B4-BE49-F238E27FC236}">
              <a16:creationId xmlns:a16="http://schemas.microsoft.com/office/drawing/2014/main" id="{4CB59CE6-B252-456A-ACED-CB916ECA9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0037626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115</xdr:row>
      <xdr:rowOff>41042</xdr:rowOff>
    </xdr:to>
    <xdr:pic>
      <xdr:nvPicPr>
        <xdr:cNvPr id="32" name="Immagine 31">
          <a:extLst>
            <a:ext uri="{FF2B5EF4-FFF2-40B4-BE49-F238E27FC236}">
              <a16:creationId xmlns:a16="http://schemas.microsoft.com/office/drawing/2014/main" id="{9F18F891-CC04-48FA-80BB-A6FE04B7D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0601458" cy="64418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153</xdr:row>
      <xdr:rowOff>79183</xdr:rowOff>
    </xdr:to>
    <xdr:pic>
      <xdr:nvPicPr>
        <xdr:cNvPr id="33" name="Immagine 32">
          <a:extLst>
            <a:ext uri="{FF2B5EF4-FFF2-40B4-BE49-F238E27FC236}">
              <a16:creationId xmlns:a16="http://schemas.microsoft.com/office/drawing/2014/main" id="{9A297A9F-E8B0-4E48-B878-554D83D09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0037626" cy="61523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1035203</xdr:colOff>
      <xdr:row>110</xdr:row>
      <xdr:rowOff>155342</xdr:rowOff>
    </xdr:to>
    <xdr:pic>
      <xdr:nvPicPr>
        <xdr:cNvPr id="34" name="Immagine 33">
          <a:extLst>
            <a:ext uri="{FF2B5EF4-FFF2-40B4-BE49-F238E27FC236}">
              <a16:creationId xmlns:a16="http://schemas.microsoft.com/office/drawing/2014/main" id="{96FBD321-8C1C-42C0-B9A1-822B4D1AD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15808478" cy="57560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654251</xdr:colOff>
      <xdr:row>149</xdr:row>
      <xdr:rowOff>79183</xdr:rowOff>
    </xdr:to>
    <xdr:pic>
      <xdr:nvPicPr>
        <xdr:cNvPr id="35" name="Immagine 34">
          <a:extLst>
            <a:ext uri="{FF2B5EF4-FFF2-40B4-BE49-F238E27FC236}">
              <a16:creationId xmlns:a16="http://schemas.microsoft.com/office/drawing/2014/main" id="{836FCED6-EA82-40F2-94B6-467031361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15427526" cy="55122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1035203</xdr:colOff>
      <xdr:row>110</xdr:row>
      <xdr:rowOff>155342</xdr:rowOff>
    </xdr:to>
    <xdr:pic>
      <xdr:nvPicPr>
        <xdr:cNvPr id="36" name="Immagine 35">
          <a:extLst>
            <a:ext uri="{FF2B5EF4-FFF2-40B4-BE49-F238E27FC236}">
              <a16:creationId xmlns:a16="http://schemas.microsoft.com/office/drawing/2014/main" id="{5B78B8E3-1C80-43AA-AD62-EFDCA9F89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15808478" cy="57560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654251</xdr:colOff>
      <xdr:row>149</xdr:row>
      <xdr:rowOff>79183</xdr:rowOff>
    </xdr:to>
    <xdr:pic>
      <xdr:nvPicPr>
        <xdr:cNvPr id="37" name="Immagine 36">
          <a:extLst>
            <a:ext uri="{FF2B5EF4-FFF2-40B4-BE49-F238E27FC236}">
              <a16:creationId xmlns:a16="http://schemas.microsoft.com/office/drawing/2014/main" id="{DF62E91E-EBCC-496F-89C3-35BD60E7D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15427526" cy="55122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23</xdr:col>
      <xdr:colOff>368453</xdr:colOff>
      <xdr:row>122</xdr:row>
      <xdr:rowOff>41042</xdr:rowOff>
    </xdr:to>
    <xdr:pic>
      <xdr:nvPicPr>
        <xdr:cNvPr id="38" name="Immagine 37">
          <a:extLst>
            <a:ext uri="{FF2B5EF4-FFF2-40B4-BE49-F238E27FC236}">
              <a16:creationId xmlns:a16="http://schemas.microsoft.com/office/drawing/2014/main" id="{2A26F388-74A4-461D-8445-22C6B2CBC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6705078" cy="75619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739976</xdr:colOff>
      <xdr:row>160</xdr:row>
      <xdr:rowOff>31558</xdr:rowOff>
    </xdr:to>
    <xdr:pic>
      <xdr:nvPicPr>
        <xdr:cNvPr id="39" name="Immagine 38">
          <a:extLst>
            <a:ext uri="{FF2B5EF4-FFF2-40B4-BE49-F238E27FC236}">
              <a16:creationId xmlns:a16="http://schemas.microsoft.com/office/drawing/2014/main" id="{909A8673-7BC1-4091-A6B1-3B24B112B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6095526" cy="7226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117</xdr:row>
      <xdr:rowOff>41042</xdr:rowOff>
    </xdr:to>
    <xdr:pic>
      <xdr:nvPicPr>
        <xdr:cNvPr id="40" name="Immagine 39">
          <a:extLst>
            <a:ext uri="{FF2B5EF4-FFF2-40B4-BE49-F238E27FC236}">
              <a16:creationId xmlns:a16="http://schemas.microsoft.com/office/drawing/2014/main" id="{3E19D329-1A05-4F5C-953B-DFDD33D70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0601458" cy="6761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155</xdr:row>
      <xdr:rowOff>69658</xdr:rowOff>
    </xdr:to>
    <xdr:pic>
      <xdr:nvPicPr>
        <xdr:cNvPr id="41" name="Immagine 40">
          <a:extLst>
            <a:ext uri="{FF2B5EF4-FFF2-40B4-BE49-F238E27FC236}">
              <a16:creationId xmlns:a16="http://schemas.microsoft.com/office/drawing/2014/main" id="{E690418D-D172-4DDA-9A8C-1427DF9DF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0037626" cy="6464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117</xdr:row>
      <xdr:rowOff>41042</xdr:rowOff>
    </xdr:to>
    <xdr:pic>
      <xdr:nvPicPr>
        <xdr:cNvPr id="42" name="Immagine 41">
          <a:extLst>
            <a:ext uri="{FF2B5EF4-FFF2-40B4-BE49-F238E27FC236}">
              <a16:creationId xmlns:a16="http://schemas.microsoft.com/office/drawing/2014/main" id="{00F691BE-56AE-4937-9A6B-C1DA95D06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0601458" cy="6761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155</xdr:row>
      <xdr:rowOff>69658</xdr:rowOff>
    </xdr:to>
    <xdr:pic>
      <xdr:nvPicPr>
        <xdr:cNvPr id="43" name="Immagine 42">
          <a:extLst>
            <a:ext uri="{FF2B5EF4-FFF2-40B4-BE49-F238E27FC236}">
              <a16:creationId xmlns:a16="http://schemas.microsoft.com/office/drawing/2014/main" id="{638D2EB8-B437-4209-B44A-9B91B0F25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0037626" cy="6464743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75</xdr:row>
      <xdr:rowOff>0</xdr:rowOff>
    </xdr:from>
    <xdr:to>
      <xdr:col>23</xdr:col>
      <xdr:colOff>368453</xdr:colOff>
      <xdr:row>114</xdr:row>
      <xdr:rowOff>155342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E22F3156-4D1A-4252-9DBC-54791926E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6705078" cy="63961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739976</xdr:colOff>
      <xdr:row>152</xdr:row>
      <xdr:rowOff>155383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2344B2C5-FCD3-407D-805D-C1A90492A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6095526" cy="60685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110</xdr:row>
      <xdr:rowOff>107717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1F8F80B9-F344-471F-B9E1-8B94AA963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0601458" cy="57103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148</xdr:row>
      <xdr:rowOff>155383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AA8898C8-1AEB-49D6-8398-88FD1B423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0037626" cy="54284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110</xdr:row>
      <xdr:rowOff>107717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9AB59591-F4B4-414C-BB8C-ADD5E4294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0601458" cy="57103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148</xdr:row>
      <xdr:rowOff>155383</xdr:rowOff>
    </xdr:to>
    <xdr:pic>
      <xdr:nvPicPr>
        <xdr:cNvPr id="10" name="Immagine 9">
          <a:extLst>
            <a:ext uri="{FF2B5EF4-FFF2-40B4-BE49-F238E27FC236}">
              <a16:creationId xmlns:a16="http://schemas.microsoft.com/office/drawing/2014/main" id="{E3AA674C-0BED-4CFF-A2FC-4D033A62E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0037626" cy="54284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108</xdr:row>
      <xdr:rowOff>155342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E316D12F-7F9A-4DE0-AAD3-D2ACDE435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0601458" cy="54360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147</xdr:row>
      <xdr:rowOff>69658</xdr:rowOff>
    </xdr:to>
    <xdr:pic>
      <xdr:nvPicPr>
        <xdr:cNvPr id="12" name="Immagine 11">
          <a:extLst>
            <a:ext uri="{FF2B5EF4-FFF2-40B4-BE49-F238E27FC236}">
              <a16:creationId xmlns:a16="http://schemas.microsoft.com/office/drawing/2014/main" id="{0281CE36-E7DC-4E00-A391-426129B6F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0037626" cy="51845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1035203</xdr:colOff>
      <xdr:row>105</xdr:row>
      <xdr:rowOff>41042</xdr:rowOff>
    </xdr:to>
    <xdr:pic>
      <xdr:nvPicPr>
        <xdr:cNvPr id="13" name="Immagine 12">
          <a:extLst>
            <a:ext uri="{FF2B5EF4-FFF2-40B4-BE49-F238E27FC236}">
              <a16:creationId xmlns:a16="http://schemas.microsoft.com/office/drawing/2014/main" id="{3C042665-B421-4C17-93CE-334173A70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15808478" cy="48416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654251</xdr:colOff>
      <xdr:row>144</xdr:row>
      <xdr:rowOff>2983</xdr:rowOff>
    </xdr:to>
    <xdr:pic>
      <xdr:nvPicPr>
        <xdr:cNvPr id="14" name="Immagine 13">
          <a:extLst>
            <a:ext uri="{FF2B5EF4-FFF2-40B4-BE49-F238E27FC236}">
              <a16:creationId xmlns:a16="http://schemas.microsoft.com/office/drawing/2014/main" id="{7581D7E8-B612-43F8-B8F9-F6A5B1CFB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15427526" cy="46359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1035203</xdr:colOff>
      <xdr:row>105</xdr:row>
      <xdr:rowOff>41042</xdr:rowOff>
    </xdr:to>
    <xdr:pic>
      <xdr:nvPicPr>
        <xdr:cNvPr id="15" name="Immagine 14">
          <a:extLst>
            <a:ext uri="{FF2B5EF4-FFF2-40B4-BE49-F238E27FC236}">
              <a16:creationId xmlns:a16="http://schemas.microsoft.com/office/drawing/2014/main" id="{9C612882-CD96-4605-9738-F606C8558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15808478" cy="48416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654251</xdr:colOff>
      <xdr:row>144</xdr:row>
      <xdr:rowOff>2983</xdr:rowOff>
    </xdr:to>
    <xdr:pic>
      <xdr:nvPicPr>
        <xdr:cNvPr id="16" name="Immagine 15">
          <a:extLst>
            <a:ext uri="{FF2B5EF4-FFF2-40B4-BE49-F238E27FC236}">
              <a16:creationId xmlns:a16="http://schemas.microsoft.com/office/drawing/2014/main" id="{0A417CA7-897F-41B1-AA7B-FF88131C0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15427526" cy="46359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23</xdr:col>
      <xdr:colOff>368453</xdr:colOff>
      <xdr:row>114</xdr:row>
      <xdr:rowOff>155342</xdr:rowOff>
    </xdr:to>
    <xdr:pic>
      <xdr:nvPicPr>
        <xdr:cNvPr id="17" name="Immagine 16">
          <a:extLst>
            <a:ext uri="{FF2B5EF4-FFF2-40B4-BE49-F238E27FC236}">
              <a16:creationId xmlns:a16="http://schemas.microsoft.com/office/drawing/2014/main" id="{9FE2B78B-D432-4794-9E66-8721AE37B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6705078" cy="63961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739976</xdr:colOff>
      <xdr:row>152</xdr:row>
      <xdr:rowOff>155383</xdr:rowOff>
    </xdr:to>
    <xdr:pic>
      <xdr:nvPicPr>
        <xdr:cNvPr id="18" name="Immagine 17">
          <a:extLst>
            <a:ext uri="{FF2B5EF4-FFF2-40B4-BE49-F238E27FC236}">
              <a16:creationId xmlns:a16="http://schemas.microsoft.com/office/drawing/2014/main" id="{C865262C-E5F6-4E1C-A297-8352771F7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6095526" cy="60685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110</xdr:row>
      <xdr:rowOff>107717</xdr:rowOff>
    </xdr:to>
    <xdr:pic>
      <xdr:nvPicPr>
        <xdr:cNvPr id="19" name="Immagine 18">
          <a:extLst>
            <a:ext uri="{FF2B5EF4-FFF2-40B4-BE49-F238E27FC236}">
              <a16:creationId xmlns:a16="http://schemas.microsoft.com/office/drawing/2014/main" id="{49866B63-3BBA-42F4-8E52-98A999E28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0601458" cy="57103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148</xdr:row>
      <xdr:rowOff>155383</xdr:rowOff>
    </xdr:to>
    <xdr:pic>
      <xdr:nvPicPr>
        <xdr:cNvPr id="20" name="Immagine 19">
          <a:extLst>
            <a:ext uri="{FF2B5EF4-FFF2-40B4-BE49-F238E27FC236}">
              <a16:creationId xmlns:a16="http://schemas.microsoft.com/office/drawing/2014/main" id="{C9960B4A-33E0-4649-AFFC-D4F1DAE52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0037626" cy="54284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110</xdr:row>
      <xdr:rowOff>107717</xdr:rowOff>
    </xdr:to>
    <xdr:pic>
      <xdr:nvPicPr>
        <xdr:cNvPr id="21" name="Immagine 20">
          <a:extLst>
            <a:ext uri="{FF2B5EF4-FFF2-40B4-BE49-F238E27FC236}">
              <a16:creationId xmlns:a16="http://schemas.microsoft.com/office/drawing/2014/main" id="{D29D04E9-9B45-45A1-A3FB-2E35EC658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0601458" cy="57103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148</xdr:row>
      <xdr:rowOff>155383</xdr:rowOff>
    </xdr:to>
    <xdr:pic>
      <xdr:nvPicPr>
        <xdr:cNvPr id="22" name="Immagine 21">
          <a:extLst>
            <a:ext uri="{FF2B5EF4-FFF2-40B4-BE49-F238E27FC236}">
              <a16:creationId xmlns:a16="http://schemas.microsoft.com/office/drawing/2014/main" id="{946B2E60-725F-4571-BCD1-61F1BDABD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0037626" cy="5428423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75</xdr:row>
      <xdr:rowOff>0</xdr:rowOff>
    </xdr:from>
    <xdr:to>
      <xdr:col>23</xdr:col>
      <xdr:colOff>397028</xdr:colOff>
      <xdr:row>108</xdr:row>
      <xdr:rowOff>117242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214F0A71-FF20-4739-936E-F203C1C27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6720318" cy="53979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741881</xdr:colOff>
      <xdr:row>146</xdr:row>
      <xdr:rowOff>136333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7A926A16-C5C5-4F5D-A983-E27B5D55A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6110766" cy="51007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104</xdr:row>
      <xdr:rowOff>155342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3D3744CB-F79B-49DE-8FE7-430ADC02F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0601458" cy="47959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143</xdr:row>
      <xdr:rowOff>117283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4D1840EA-ABC9-4AE5-B7C2-0282FC81B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0037626" cy="45902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104</xdr:row>
      <xdr:rowOff>155342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12467745-33E9-4921-9C6F-FC9AF32FA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0601458" cy="47959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143</xdr:row>
      <xdr:rowOff>117283</xdr:rowOff>
    </xdr:to>
    <xdr:pic>
      <xdr:nvPicPr>
        <xdr:cNvPr id="10" name="Immagine 9">
          <a:extLst>
            <a:ext uri="{FF2B5EF4-FFF2-40B4-BE49-F238E27FC236}">
              <a16:creationId xmlns:a16="http://schemas.microsoft.com/office/drawing/2014/main" id="{1B897B0B-3133-472E-877F-B93982DDF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0037626" cy="45902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103</xdr:row>
      <xdr:rowOff>117242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5E3E1E78-8DDD-40E8-916E-7546AF82C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0601458" cy="45978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142</xdr:row>
      <xdr:rowOff>41083</xdr:rowOff>
    </xdr:to>
    <xdr:pic>
      <xdr:nvPicPr>
        <xdr:cNvPr id="12" name="Immagine 11">
          <a:extLst>
            <a:ext uri="{FF2B5EF4-FFF2-40B4-BE49-F238E27FC236}">
              <a16:creationId xmlns:a16="http://schemas.microsoft.com/office/drawing/2014/main" id="{E412804E-49E2-4DB1-B345-F6DE102BF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0037626" cy="43540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1044728</xdr:colOff>
      <xdr:row>100</xdr:row>
      <xdr:rowOff>79142</xdr:rowOff>
    </xdr:to>
    <xdr:pic>
      <xdr:nvPicPr>
        <xdr:cNvPr id="13" name="Immagine 12">
          <a:extLst>
            <a:ext uri="{FF2B5EF4-FFF2-40B4-BE49-F238E27FC236}">
              <a16:creationId xmlns:a16="http://schemas.microsoft.com/office/drawing/2014/main" id="{3B171C83-E231-49D3-A21E-98C664F6D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15808478" cy="40796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663776</xdr:colOff>
      <xdr:row>139</xdr:row>
      <xdr:rowOff>79183</xdr:rowOff>
    </xdr:to>
    <xdr:pic>
      <xdr:nvPicPr>
        <xdr:cNvPr id="14" name="Immagine 13">
          <a:extLst>
            <a:ext uri="{FF2B5EF4-FFF2-40B4-BE49-F238E27FC236}">
              <a16:creationId xmlns:a16="http://schemas.microsoft.com/office/drawing/2014/main" id="{417A5971-FE63-4F3D-A730-7E78C9BC0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15427526" cy="39120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1044728</xdr:colOff>
      <xdr:row>100</xdr:row>
      <xdr:rowOff>79142</xdr:rowOff>
    </xdr:to>
    <xdr:pic>
      <xdr:nvPicPr>
        <xdr:cNvPr id="15" name="Immagine 14">
          <a:extLst>
            <a:ext uri="{FF2B5EF4-FFF2-40B4-BE49-F238E27FC236}">
              <a16:creationId xmlns:a16="http://schemas.microsoft.com/office/drawing/2014/main" id="{E27CFC9F-5610-45A8-8545-C7411EE5D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15808478" cy="40796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14</xdr:col>
      <xdr:colOff>663776</xdr:colOff>
      <xdr:row>139</xdr:row>
      <xdr:rowOff>79183</xdr:rowOff>
    </xdr:to>
    <xdr:pic>
      <xdr:nvPicPr>
        <xdr:cNvPr id="16" name="Immagine 15">
          <a:extLst>
            <a:ext uri="{FF2B5EF4-FFF2-40B4-BE49-F238E27FC236}">
              <a16:creationId xmlns:a16="http://schemas.microsoft.com/office/drawing/2014/main" id="{256729B8-940B-4209-9CD1-146286C77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15427526" cy="39120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23</xdr:col>
      <xdr:colOff>397028</xdr:colOff>
      <xdr:row>108</xdr:row>
      <xdr:rowOff>117242</xdr:rowOff>
    </xdr:to>
    <xdr:pic>
      <xdr:nvPicPr>
        <xdr:cNvPr id="17" name="Immagine 16">
          <a:extLst>
            <a:ext uri="{FF2B5EF4-FFF2-40B4-BE49-F238E27FC236}">
              <a16:creationId xmlns:a16="http://schemas.microsoft.com/office/drawing/2014/main" id="{154E93F4-5967-4520-9B05-F23E5334A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6720318" cy="53979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22</xdr:col>
      <xdr:colOff>741881</xdr:colOff>
      <xdr:row>146</xdr:row>
      <xdr:rowOff>136333</xdr:rowOff>
    </xdr:to>
    <xdr:pic>
      <xdr:nvPicPr>
        <xdr:cNvPr id="18" name="Immagine 17">
          <a:extLst>
            <a:ext uri="{FF2B5EF4-FFF2-40B4-BE49-F238E27FC236}">
              <a16:creationId xmlns:a16="http://schemas.microsoft.com/office/drawing/2014/main" id="{58086F30-6943-4038-86B3-9A2232A39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6110766" cy="51007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104</xdr:row>
      <xdr:rowOff>155342</xdr:rowOff>
    </xdr:to>
    <xdr:pic>
      <xdr:nvPicPr>
        <xdr:cNvPr id="19" name="Immagine 18">
          <a:extLst>
            <a:ext uri="{FF2B5EF4-FFF2-40B4-BE49-F238E27FC236}">
              <a16:creationId xmlns:a16="http://schemas.microsoft.com/office/drawing/2014/main" id="{C8B0A197-CD6D-4698-BA6D-27E401B73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0601458" cy="47959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143</xdr:row>
      <xdr:rowOff>117283</xdr:rowOff>
    </xdr:to>
    <xdr:pic>
      <xdr:nvPicPr>
        <xdr:cNvPr id="20" name="Immagine 19">
          <a:extLst>
            <a:ext uri="{FF2B5EF4-FFF2-40B4-BE49-F238E27FC236}">
              <a16:creationId xmlns:a16="http://schemas.microsoft.com/office/drawing/2014/main" id="{1A0E8472-AC17-4BD1-818E-F8689F1B4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0037626" cy="45902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18</xdr:col>
      <xdr:colOff>320828</xdr:colOff>
      <xdr:row>104</xdr:row>
      <xdr:rowOff>155342</xdr:rowOff>
    </xdr:to>
    <xdr:pic>
      <xdr:nvPicPr>
        <xdr:cNvPr id="21" name="Immagine 20">
          <a:extLst>
            <a:ext uri="{FF2B5EF4-FFF2-40B4-BE49-F238E27FC236}">
              <a16:creationId xmlns:a16="http://schemas.microsoft.com/office/drawing/2014/main" id="{06D3B9B3-507C-4AF8-A106-E750B38CC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6900"/>
          <a:ext cx="20601458" cy="47959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17</xdr:col>
      <xdr:colOff>1387676</xdr:colOff>
      <xdr:row>143</xdr:row>
      <xdr:rowOff>117283</xdr:rowOff>
    </xdr:to>
    <xdr:pic>
      <xdr:nvPicPr>
        <xdr:cNvPr id="22" name="Immagine 21">
          <a:extLst>
            <a:ext uri="{FF2B5EF4-FFF2-40B4-BE49-F238E27FC236}">
              <a16:creationId xmlns:a16="http://schemas.microsoft.com/office/drawing/2014/main" id="{5708A600-62F0-4244-9426-4D854BF2F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5320"/>
          <a:ext cx="20037626" cy="4590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D4019-8E17-4618-AFC2-DC778524B2CB}">
  <dimension ref="A1:N81"/>
  <sheetViews>
    <sheetView topLeftCell="A14" workbookViewId="0">
      <selection activeCell="M20" sqref="M20"/>
    </sheetView>
  </sheetViews>
  <sheetFormatPr defaultColWidth="9.109375" defaultRowHeight="14.4" x14ac:dyDescent="0.3"/>
  <cols>
    <col min="1" max="1" width="18.109375" style="9" bestFit="1" customWidth="1"/>
    <col min="2" max="2" width="10.44140625" style="9" bestFit="1" customWidth="1"/>
    <col min="3" max="3" width="35.44140625" style="9" customWidth="1"/>
    <col min="4" max="9" width="9.109375" style="9"/>
    <col min="10" max="10" width="9.88671875" style="9" bestFit="1" customWidth="1"/>
    <col min="11" max="11" width="13.44140625" style="9" customWidth="1"/>
    <col min="12" max="12" width="12.88671875" style="9" bestFit="1" customWidth="1"/>
    <col min="13" max="13" width="7.21875" style="9" bestFit="1" customWidth="1"/>
    <col min="14" max="14" width="10" style="9" bestFit="1" customWidth="1"/>
    <col min="15" max="16384" width="9.109375" style="9"/>
  </cols>
  <sheetData>
    <row r="1" spans="1:14" x14ac:dyDescent="0.3">
      <c r="A1" s="1" t="s">
        <v>0</v>
      </c>
      <c r="B1" s="2"/>
      <c r="C1" s="2" t="s">
        <v>1</v>
      </c>
    </row>
    <row r="2" spans="1:14" ht="15" thickBot="1" x14ac:dyDescent="0.35">
      <c r="A2" s="3"/>
      <c r="B2" s="4"/>
      <c r="C2" s="4">
        <v>44922</v>
      </c>
      <c r="J2" s="9" t="s">
        <v>24</v>
      </c>
      <c r="K2" s="9" t="s">
        <v>25</v>
      </c>
      <c r="L2" s="9" t="s">
        <v>26</v>
      </c>
      <c r="M2" s="13" t="s">
        <v>55</v>
      </c>
    </row>
    <row r="3" spans="1:14" ht="15.6" thickTop="1" thickBot="1" x14ac:dyDescent="0.35">
      <c r="A3" s="5">
        <v>30</v>
      </c>
      <c r="B3" s="6"/>
      <c r="C3" s="5">
        <v>8</v>
      </c>
      <c r="J3" s="10" t="s">
        <v>2</v>
      </c>
      <c r="K3" s="11" t="s">
        <v>13</v>
      </c>
      <c r="L3" s="9">
        <v>2000</v>
      </c>
      <c r="M3" s="12">
        <v>0.1</v>
      </c>
      <c r="N3" s="23"/>
    </row>
    <row r="4" spans="1:14" ht="15.6" thickTop="1" thickBot="1" x14ac:dyDescent="0.35">
      <c r="A4" s="5">
        <v>30</v>
      </c>
      <c r="B4" s="6"/>
      <c r="C4" s="5">
        <v>8</v>
      </c>
      <c r="J4" s="10" t="s">
        <v>3</v>
      </c>
      <c r="K4" s="11" t="s">
        <v>14</v>
      </c>
      <c r="L4" s="9">
        <v>4000</v>
      </c>
      <c r="M4" s="12">
        <v>0.1</v>
      </c>
      <c r="N4" s="23"/>
    </row>
    <row r="5" spans="1:14" ht="15.6" thickTop="1" thickBot="1" x14ac:dyDescent="0.35">
      <c r="A5" s="5">
        <v>30</v>
      </c>
      <c r="B5" s="6"/>
      <c r="C5" s="5">
        <v>8</v>
      </c>
      <c r="J5" s="10" t="s">
        <v>4</v>
      </c>
      <c r="K5" s="11" t="s">
        <v>15</v>
      </c>
      <c r="L5" s="9">
        <v>7500</v>
      </c>
      <c r="M5" s="12">
        <v>7.0000000000000007E-2</v>
      </c>
      <c r="N5" s="23"/>
    </row>
    <row r="6" spans="1:14" ht="15.6" thickTop="1" thickBot="1" x14ac:dyDescent="0.35">
      <c r="A6" s="5">
        <v>30</v>
      </c>
      <c r="B6" s="6"/>
      <c r="C6" s="5">
        <v>8</v>
      </c>
      <c r="J6" s="10" t="s">
        <v>5</v>
      </c>
      <c r="K6" s="11" t="s">
        <v>16</v>
      </c>
      <c r="L6" s="9">
        <v>12500</v>
      </c>
      <c r="M6" s="12">
        <v>7.0000000000000007E-2</v>
      </c>
      <c r="N6" s="23"/>
    </row>
    <row r="7" spans="1:14" ht="15.6" thickTop="1" thickBot="1" x14ac:dyDescent="0.35">
      <c r="A7" s="5">
        <v>50</v>
      </c>
      <c r="B7" s="6"/>
      <c r="C7" s="5">
        <v>10</v>
      </c>
      <c r="J7" s="10" t="s">
        <v>6</v>
      </c>
      <c r="K7" s="11" t="s">
        <v>17</v>
      </c>
      <c r="L7" s="9">
        <v>17500</v>
      </c>
      <c r="M7" s="12">
        <v>7.0000000000000007E-2</v>
      </c>
      <c r="N7" s="23"/>
    </row>
    <row r="8" spans="1:14" ht="15.6" thickTop="1" thickBot="1" x14ac:dyDescent="0.35">
      <c r="A8" s="5">
        <v>50</v>
      </c>
      <c r="B8" s="6"/>
      <c r="C8" s="5">
        <v>10</v>
      </c>
      <c r="J8" s="10" t="s">
        <v>7</v>
      </c>
      <c r="K8" s="11" t="s">
        <v>18</v>
      </c>
      <c r="L8" s="9">
        <v>25000</v>
      </c>
      <c r="M8" s="12">
        <v>0.05</v>
      </c>
      <c r="N8" s="23"/>
    </row>
    <row r="9" spans="1:14" ht="15.6" thickTop="1" thickBot="1" x14ac:dyDescent="0.35">
      <c r="A9" s="5">
        <v>50</v>
      </c>
      <c r="B9" s="6"/>
      <c r="C9" s="5">
        <v>10</v>
      </c>
      <c r="J9" s="10" t="s">
        <v>8</v>
      </c>
      <c r="K9" s="11" t="s">
        <v>19</v>
      </c>
      <c r="L9" s="9">
        <v>35000</v>
      </c>
      <c r="M9" s="12">
        <v>0.05</v>
      </c>
      <c r="N9" s="23"/>
    </row>
    <row r="10" spans="1:14" ht="15.6" thickTop="1" thickBot="1" x14ac:dyDescent="0.35">
      <c r="A10" s="5">
        <v>50</v>
      </c>
      <c r="B10" s="6"/>
      <c r="C10" s="5">
        <v>10</v>
      </c>
      <c r="J10" s="10" t="s">
        <v>9</v>
      </c>
      <c r="K10" s="11" t="s">
        <v>20</v>
      </c>
      <c r="L10" s="9">
        <v>45000</v>
      </c>
      <c r="M10" s="12">
        <v>0.05</v>
      </c>
      <c r="N10" s="23"/>
    </row>
    <row r="11" spans="1:14" ht="15.6" thickTop="1" thickBot="1" x14ac:dyDescent="0.35">
      <c r="A11" s="5">
        <v>75</v>
      </c>
      <c r="B11" s="6"/>
      <c r="C11" s="5">
        <v>12</v>
      </c>
      <c r="J11" s="10" t="s">
        <v>10</v>
      </c>
      <c r="K11" s="11" t="s">
        <v>21</v>
      </c>
      <c r="L11" s="9">
        <v>75000</v>
      </c>
      <c r="M11" s="12">
        <v>0.05</v>
      </c>
      <c r="N11" s="23"/>
    </row>
    <row r="12" spans="1:14" ht="15.6" thickTop="1" thickBot="1" x14ac:dyDescent="0.35">
      <c r="A12" s="5">
        <v>75</v>
      </c>
      <c r="B12" s="6"/>
      <c r="C12" s="5">
        <v>12</v>
      </c>
      <c r="J12" s="8" t="s">
        <v>11</v>
      </c>
      <c r="K12" s="11" t="s">
        <v>22</v>
      </c>
      <c r="L12" s="9">
        <v>125000</v>
      </c>
      <c r="M12" s="12">
        <v>0.03</v>
      </c>
      <c r="N12" s="23"/>
    </row>
    <row r="13" spans="1:14" ht="15.6" thickTop="1" thickBot="1" x14ac:dyDescent="0.35">
      <c r="A13" s="5">
        <v>75</v>
      </c>
      <c r="B13" s="6"/>
      <c r="C13" s="5">
        <v>12</v>
      </c>
      <c r="J13" s="10" t="s">
        <v>12</v>
      </c>
      <c r="K13" s="11" t="s">
        <v>23</v>
      </c>
      <c r="L13" s="9">
        <v>200000</v>
      </c>
      <c r="M13" s="12">
        <v>0.03</v>
      </c>
      <c r="N13" s="23"/>
    </row>
    <row r="14" spans="1:14" ht="15" thickTop="1" x14ac:dyDescent="0.3">
      <c r="A14" s="5">
        <v>75</v>
      </c>
      <c r="B14" s="6"/>
      <c r="C14" s="5">
        <v>12</v>
      </c>
      <c r="F14" s="9" t="s">
        <v>56</v>
      </c>
    </row>
    <row r="15" spans="1:14" x14ac:dyDescent="0.3">
      <c r="A15" s="5">
        <v>100</v>
      </c>
      <c r="B15" s="6"/>
      <c r="C15" s="5">
        <v>15</v>
      </c>
    </row>
    <row r="16" spans="1:14" x14ac:dyDescent="0.3">
      <c r="A16" s="5">
        <v>100</v>
      </c>
      <c r="B16" s="6"/>
      <c r="C16" s="5">
        <v>15</v>
      </c>
    </row>
    <row r="17" spans="1:3" x14ac:dyDescent="0.3">
      <c r="A17" s="5">
        <v>100</v>
      </c>
      <c r="B17" s="6"/>
      <c r="C17" s="5">
        <v>15</v>
      </c>
    </row>
    <row r="18" spans="1:3" x14ac:dyDescent="0.3">
      <c r="A18" s="5">
        <v>100</v>
      </c>
      <c r="B18" s="6"/>
      <c r="C18" s="5">
        <v>15</v>
      </c>
    </row>
    <row r="19" spans="1:3" x14ac:dyDescent="0.3">
      <c r="A19" s="5">
        <v>125</v>
      </c>
      <c r="B19" s="6"/>
      <c r="C19" s="5">
        <v>18</v>
      </c>
    </row>
    <row r="20" spans="1:3" x14ac:dyDescent="0.3">
      <c r="A20" s="5">
        <v>125</v>
      </c>
      <c r="B20" s="6"/>
      <c r="C20" s="5">
        <v>18</v>
      </c>
    </row>
    <row r="21" spans="1:3" x14ac:dyDescent="0.3">
      <c r="A21" s="5">
        <v>125</v>
      </c>
      <c r="B21" s="6"/>
      <c r="C21" s="5">
        <v>18</v>
      </c>
    </row>
    <row r="22" spans="1:3" x14ac:dyDescent="0.3">
      <c r="A22" s="5">
        <v>125</v>
      </c>
      <c r="B22" s="6"/>
      <c r="C22" s="5">
        <v>18</v>
      </c>
    </row>
    <row r="23" spans="1:3" x14ac:dyDescent="0.3">
      <c r="A23" s="5">
        <v>150</v>
      </c>
      <c r="B23" s="6"/>
      <c r="C23" s="5">
        <v>21</v>
      </c>
    </row>
    <row r="24" spans="1:3" x14ac:dyDescent="0.3">
      <c r="A24" s="5">
        <v>150</v>
      </c>
      <c r="B24" s="6"/>
      <c r="C24" s="5">
        <v>21</v>
      </c>
    </row>
    <row r="25" spans="1:3" x14ac:dyDescent="0.3">
      <c r="A25" s="5">
        <v>150</v>
      </c>
      <c r="B25" s="6"/>
      <c r="C25" s="5">
        <v>21</v>
      </c>
    </row>
    <row r="26" spans="1:3" x14ac:dyDescent="0.3">
      <c r="A26" s="5">
        <v>150</v>
      </c>
      <c r="B26" s="6"/>
      <c r="C26" s="5">
        <v>21</v>
      </c>
    </row>
    <row r="27" spans="1:3" x14ac:dyDescent="0.3">
      <c r="A27" s="5">
        <v>200</v>
      </c>
      <c r="B27" s="6"/>
      <c r="C27" s="5">
        <v>25</v>
      </c>
    </row>
    <row r="28" spans="1:3" x14ac:dyDescent="0.3">
      <c r="A28" s="5">
        <v>200</v>
      </c>
      <c r="B28" s="6"/>
      <c r="C28" s="5">
        <v>25</v>
      </c>
    </row>
    <row r="29" spans="1:3" x14ac:dyDescent="0.3">
      <c r="A29" s="5">
        <v>200</v>
      </c>
      <c r="B29" s="6"/>
      <c r="C29" s="5">
        <v>25</v>
      </c>
    </row>
    <row r="30" spans="1:3" x14ac:dyDescent="0.3">
      <c r="A30" s="5">
        <v>200</v>
      </c>
      <c r="B30" s="6"/>
      <c r="C30" s="5">
        <v>25</v>
      </c>
    </row>
    <row r="31" spans="1:3" x14ac:dyDescent="0.3">
      <c r="A31" s="5">
        <v>250</v>
      </c>
      <c r="B31" s="6"/>
      <c r="C31" s="5">
        <v>28</v>
      </c>
    </row>
    <row r="32" spans="1:3" x14ac:dyDescent="0.3">
      <c r="A32" s="5">
        <v>250</v>
      </c>
      <c r="B32" s="6"/>
      <c r="C32" s="5">
        <v>28</v>
      </c>
    </row>
    <row r="33" spans="1:3" x14ac:dyDescent="0.3">
      <c r="A33" s="5">
        <v>250</v>
      </c>
      <c r="B33" s="6"/>
      <c r="C33" s="5">
        <v>28</v>
      </c>
    </row>
    <row r="34" spans="1:3" x14ac:dyDescent="0.3">
      <c r="A34" s="5">
        <v>250</v>
      </c>
      <c r="B34" s="6"/>
      <c r="C34" s="5">
        <v>28</v>
      </c>
    </row>
    <row r="35" spans="1:3" x14ac:dyDescent="0.3">
      <c r="A35" s="5" t="s">
        <v>114</v>
      </c>
      <c r="B35" s="6"/>
      <c r="C35" s="5">
        <v>38</v>
      </c>
    </row>
    <row r="36" spans="1:3" x14ac:dyDescent="0.3">
      <c r="A36" s="5" t="s">
        <v>114</v>
      </c>
      <c r="B36" s="6"/>
      <c r="C36" s="5">
        <v>38</v>
      </c>
    </row>
    <row r="37" spans="1:3" x14ac:dyDescent="0.3">
      <c r="A37" s="5" t="s">
        <v>114</v>
      </c>
      <c r="B37" s="6"/>
      <c r="C37" s="5">
        <v>38</v>
      </c>
    </row>
    <row r="38" spans="1:3" x14ac:dyDescent="0.3">
      <c r="A38" s="5" t="s">
        <v>114</v>
      </c>
      <c r="B38" s="6"/>
      <c r="C38" s="5">
        <v>38</v>
      </c>
    </row>
    <row r="39" spans="1:3" x14ac:dyDescent="0.3">
      <c r="A39" s="5">
        <v>400</v>
      </c>
      <c r="B39" s="6"/>
      <c r="C39" s="5">
        <v>38</v>
      </c>
    </row>
    <row r="40" spans="1:3" x14ac:dyDescent="0.3">
      <c r="A40" s="5">
        <v>400</v>
      </c>
      <c r="B40" s="6"/>
      <c r="C40" s="5">
        <v>38</v>
      </c>
    </row>
    <row r="41" spans="1:3" x14ac:dyDescent="0.3">
      <c r="A41" s="5">
        <v>400</v>
      </c>
      <c r="B41" s="6"/>
      <c r="C41" s="5">
        <v>38</v>
      </c>
    </row>
    <row r="42" spans="1:3" x14ac:dyDescent="0.3">
      <c r="A42" s="5">
        <v>400</v>
      </c>
      <c r="B42" s="6"/>
      <c r="C42" s="5">
        <v>38</v>
      </c>
    </row>
    <row r="43" spans="1:3" x14ac:dyDescent="0.3">
      <c r="A43" s="5">
        <v>500</v>
      </c>
      <c r="B43" s="6"/>
      <c r="C43" s="5">
        <v>42</v>
      </c>
    </row>
    <row r="44" spans="1:3" x14ac:dyDescent="0.3">
      <c r="A44" s="5">
        <v>500</v>
      </c>
      <c r="B44" s="6"/>
      <c r="C44" s="5">
        <v>42</v>
      </c>
    </row>
    <row r="45" spans="1:3" x14ac:dyDescent="0.3">
      <c r="A45" s="5">
        <v>500</v>
      </c>
      <c r="B45" s="6"/>
      <c r="C45" s="5">
        <v>42</v>
      </c>
    </row>
    <row r="46" spans="1:3" x14ac:dyDescent="0.3">
      <c r="A46" s="5">
        <v>500</v>
      </c>
      <c r="B46" s="6"/>
      <c r="C46" s="5">
        <v>42</v>
      </c>
    </row>
    <row r="47" spans="1:3" x14ac:dyDescent="0.3">
      <c r="A47" s="5">
        <v>1000</v>
      </c>
      <c r="B47" s="6"/>
      <c r="C47" s="5">
        <v>60</v>
      </c>
    </row>
    <row r="48" spans="1:3" x14ac:dyDescent="0.3">
      <c r="A48" s="5">
        <v>1000</v>
      </c>
      <c r="B48" s="6"/>
      <c r="C48" s="5">
        <v>60</v>
      </c>
    </row>
    <row r="49" spans="1:5" x14ac:dyDescent="0.3">
      <c r="A49" s="5">
        <v>1000</v>
      </c>
      <c r="B49" s="6"/>
      <c r="C49" s="5">
        <v>60</v>
      </c>
    </row>
    <row r="50" spans="1:5" x14ac:dyDescent="0.3">
      <c r="A50" s="5">
        <v>1000</v>
      </c>
      <c r="B50" s="6"/>
      <c r="C50" s="5">
        <v>60</v>
      </c>
    </row>
    <row r="53" spans="1:5" x14ac:dyDescent="0.3">
      <c r="D53" s="9" t="s">
        <v>83</v>
      </c>
    </row>
    <row r="54" spans="1:5" x14ac:dyDescent="0.3">
      <c r="A54" s="9" t="s">
        <v>63</v>
      </c>
      <c r="B54" s="9" t="s">
        <v>64</v>
      </c>
      <c r="C54" s="9">
        <v>0.68100000000000005</v>
      </c>
      <c r="D54" s="9">
        <f>C54</f>
        <v>0.68100000000000005</v>
      </c>
    </row>
    <row r="55" spans="1:5" x14ac:dyDescent="0.3">
      <c r="A55" s="9" t="s">
        <v>65</v>
      </c>
      <c r="B55" s="9" t="s">
        <v>66</v>
      </c>
      <c r="C55" s="9">
        <v>0.13800000000000001</v>
      </c>
      <c r="D55" s="9">
        <f>C55</f>
        <v>0.13800000000000001</v>
      </c>
    </row>
    <row r="56" spans="1:5" x14ac:dyDescent="0.3">
      <c r="A56" s="9" t="s">
        <v>67</v>
      </c>
      <c r="B56" s="9" t="s">
        <v>68</v>
      </c>
      <c r="C56" s="9">
        <v>1.33</v>
      </c>
      <c r="D56" s="9" t="s">
        <v>84</v>
      </c>
      <c r="E56" s="9" t="s">
        <v>85</v>
      </c>
    </row>
    <row r="57" spans="1:5" x14ac:dyDescent="0.3">
      <c r="A57" s="9" t="s">
        <v>69</v>
      </c>
      <c r="B57" s="9" t="s">
        <v>70</v>
      </c>
      <c r="C57" s="9" t="s">
        <v>71</v>
      </c>
      <c r="D57" s="9">
        <v>2</v>
      </c>
    </row>
    <row r="58" spans="1:5" x14ac:dyDescent="0.3">
      <c r="A58" s="9" t="s">
        <v>72</v>
      </c>
      <c r="B58" s="9" t="s">
        <v>73</v>
      </c>
      <c r="C58" s="9">
        <v>1.37</v>
      </c>
      <c r="D58" s="9">
        <v>1.5</v>
      </c>
    </row>
    <row r="59" spans="1:5" x14ac:dyDescent="0.3">
      <c r="A59" s="9" t="s">
        <v>74</v>
      </c>
      <c r="B59" s="9" t="s">
        <v>75</v>
      </c>
      <c r="C59" s="9">
        <v>3.35</v>
      </c>
      <c r="D59" s="9" t="s">
        <v>84</v>
      </c>
    </row>
    <row r="60" spans="1:5" x14ac:dyDescent="0.3">
      <c r="A60" s="9" t="s">
        <v>76</v>
      </c>
      <c r="B60" s="9" t="s">
        <v>78</v>
      </c>
      <c r="C60" s="9">
        <v>2.6</v>
      </c>
      <c r="D60" s="9">
        <v>4</v>
      </c>
    </row>
    <row r="61" spans="1:5" x14ac:dyDescent="0.3">
      <c r="A61" s="9" t="s">
        <v>77</v>
      </c>
      <c r="B61" s="9" t="s">
        <v>79</v>
      </c>
      <c r="C61" s="9">
        <v>3.78</v>
      </c>
      <c r="D61" s="9">
        <v>4</v>
      </c>
    </row>
    <row r="62" spans="1:5" x14ac:dyDescent="0.3">
      <c r="A62" s="9" t="s">
        <v>80</v>
      </c>
      <c r="B62" s="9" t="s">
        <v>81</v>
      </c>
      <c r="C62" s="9">
        <v>15</v>
      </c>
      <c r="D62" s="9">
        <v>15</v>
      </c>
    </row>
    <row r="63" spans="1:5" x14ac:dyDescent="0.3">
      <c r="A63" s="9" t="s">
        <v>82</v>
      </c>
      <c r="B63" s="9" t="s">
        <v>91</v>
      </c>
      <c r="C63" s="9">
        <v>3.65</v>
      </c>
      <c r="D63" s="9">
        <f>C63</f>
        <v>3.65</v>
      </c>
    </row>
    <row r="64" spans="1:5" x14ac:dyDescent="0.3">
      <c r="A64" s="9" t="s">
        <v>89</v>
      </c>
      <c r="B64" s="9" t="s">
        <v>90</v>
      </c>
      <c r="C64" s="9">
        <v>4.3400000000000001E-2</v>
      </c>
      <c r="D64" s="9">
        <f>C64</f>
        <v>4.3400000000000001E-2</v>
      </c>
    </row>
    <row r="65" spans="1:6" x14ac:dyDescent="0.3">
      <c r="A65" s="9" t="s">
        <v>93</v>
      </c>
      <c r="B65" s="9" t="s">
        <v>92</v>
      </c>
      <c r="C65" s="9">
        <v>31</v>
      </c>
      <c r="D65" s="9">
        <v>31</v>
      </c>
    </row>
    <row r="66" spans="1:6" x14ac:dyDescent="0.3">
      <c r="A66" s="9" t="s">
        <v>94</v>
      </c>
      <c r="B66" s="9" t="s">
        <v>95</v>
      </c>
      <c r="C66" s="13">
        <v>20</v>
      </c>
      <c r="D66" s="9">
        <v>20</v>
      </c>
    </row>
    <row r="76" spans="1:6" x14ac:dyDescent="0.3">
      <c r="A76" s="9" t="s">
        <v>117</v>
      </c>
      <c r="B76" s="9" t="s">
        <v>122</v>
      </c>
      <c r="C76" s="9" t="s">
        <v>123</v>
      </c>
      <c r="D76" s="9" t="s">
        <v>124</v>
      </c>
      <c r="F76" s="9" t="s">
        <v>125</v>
      </c>
    </row>
    <row r="77" spans="1:6" x14ac:dyDescent="0.3">
      <c r="A77" s="93" t="s">
        <v>118</v>
      </c>
    </row>
    <row r="79" spans="1:6" x14ac:dyDescent="0.3">
      <c r="A79" s="13" t="s">
        <v>119</v>
      </c>
    </row>
    <row r="80" spans="1:6" x14ac:dyDescent="0.3">
      <c r="A80" s="13" t="s">
        <v>120</v>
      </c>
    </row>
    <row r="81" spans="1:1" x14ac:dyDescent="0.3">
      <c r="A81" s="13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B21C1-3C72-42F2-A20B-D04FFA0D77D8}">
  <sheetPr>
    <pageSetUpPr fitToPage="1"/>
  </sheetPr>
  <dimension ref="A2:AD36"/>
  <sheetViews>
    <sheetView tabSelected="1" topLeftCell="P3" workbookViewId="0">
      <selection activeCell="W25" sqref="W25"/>
    </sheetView>
  </sheetViews>
  <sheetFormatPr defaultColWidth="9.109375" defaultRowHeight="13.8" x14ac:dyDescent="0.3"/>
  <cols>
    <col min="1" max="1" width="28.6640625" style="14" bestFit="1" customWidth="1"/>
    <col min="2" max="2" width="10.109375" style="14" bestFit="1" customWidth="1"/>
    <col min="3" max="3" width="21" style="14" bestFit="1" customWidth="1"/>
    <col min="4" max="4" width="12.44140625" style="14" bestFit="1" customWidth="1"/>
    <col min="5" max="5" width="21" style="14" bestFit="1" customWidth="1"/>
    <col min="6" max="6" width="14.88671875" style="14" bestFit="1" customWidth="1"/>
    <col min="7" max="7" width="23.5546875" style="14" bestFit="1" customWidth="1"/>
    <col min="8" max="8" width="18.6640625" style="14" customWidth="1"/>
    <col min="9" max="9" width="0.109375" style="14" customWidth="1"/>
    <col min="10" max="10" width="9.5546875" style="14" bestFit="1" customWidth="1"/>
    <col min="11" max="11" width="15.33203125" style="82" customWidth="1"/>
    <col min="12" max="12" width="17.5546875" style="14" bestFit="1" customWidth="1"/>
    <col min="13" max="13" width="19.33203125" style="14" customWidth="1"/>
    <col min="14" max="14" width="9.109375" style="14" customWidth="1"/>
    <col min="15" max="15" width="22.88671875" style="14" customWidth="1"/>
    <col min="16" max="16" width="11.88671875" style="14" customWidth="1"/>
    <col min="17" max="17" width="23.5546875" style="14" bestFit="1" customWidth="1"/>
    <col min="18" max="18" width="24.33203125" style="14" customWidth="1"/>
    <col min="19" max="19" width="11" style="14" customWidth="1"/>
    <col min="20" max="20" width="35.5546875" style="14" bestFit="1" customWidth="1"/>
    <col min="21" max="21" width="14.6640625" style="14" bestFit="1" customWidth="1"/>
    <col min="22" max="27" width="14.6640625" style="14" customWidth="1"/>
    <col min="28" max="28" width="16.5546875" style="14" bestFit="1" customWidth="1"/>
    <col min="29" max="29" width="17.44140625" style="14" bestFit="1" customWidth="1"/>
    <col min="30" max="30" width="11.88671875" style="14" bestFit="1" customWidth="1"/>
    <col min="31" max="16384" width="9.109375" style="14"/>
  </cols>
  <sheetData>
    <row r="2" spans="1:30" ht="14.4" thickBot="1" x14ac:dyDescent="0.35"/>
    <row r="3" spans="1:30" ht="74.25" customHeight="1" thickBot="1" x14ac:dyDescent="0.35">
      <c r="A3" s="15" t="s">
        <v>57</v>
      </c>
      <c r="B3" s="15" t="s">
        <v>24</v>
      </c>
      <c r="C3" s="15" t="s">
        <v>25</v>
      </c>
      <c r="D3" s="15" t="s">
        <v>26</v>
      </c>
      <c r="E3" s="15" t="s">
        <v>55</v>
      </c>
      <c r="F3" s="15" t="s">
        <v>58</v>
      </c>
      <c r="G3" s="16" t="s">
        <v>51</v>
      </c>
      <c r="H3" s="17" t="s">
        <v>52</v>
      </c>
      <c r="I3" s="17" t="s">
        <v>61</v>
      </c>
      <c r="J3" s="90" t="s">
        <v>53</v>
      </c>
      <c r="K3" s="83" t="s">
        <v>99</v>
      </c>
      <c r="L3" s="18" t="s">
        <v>96</v>
      </c>
      <c r="M3" s="19" t="s">
        <v>54</v>
      </c>
      <c r="N3" s="19" t="s">
        <v>100</v>
      </c>
      <c r="O3" s="19" t="s">
        <v>108</v>
      </c>
      <c r="P3" s="19" t="s">
        <v>101</v>
      </c>
      <c r="Q3" s="91" t="s">
        <v>116</v>
      </c>
      <c r="R3" s="87" t="s">
        <v>107</v>
      </c>
      <c r="S3" s="88" t="s">
        <v>102</v>
      </c>
      <c r="T3" s="87" t="s">
        <v>104</v>
      </c>
      <c r="U3" s="87" t="s">
        <v>105</v>
      </c>
      <c r="V3" s="19" t="s">
        <v>109</v>
      </c>
      <c r="W3" s="20" t="s">
        <v>110</v>
      </c>
      <c r="X3" s="20" t="s">
        <v>131</v>
      </c>
      <c r="Y3" s="20" t="s">
        <v>130</v>
      </c>
      <c r="Z3" s="20" t="s">
        <v>132</v>
      </c>
      <c r="AA3" s="20" t="s">
        <v>112</v>
      </c>
      <c r="AB3" s="100" t="s">
        <v>103</v>
      </c>
      <c r="AC3" s="79" t="s">
        <v>106</v>
      </c>
      <c r="AD3" s="21" t="s">
        <v>113</v>
      </c>
    </row>
    <row r="4" spans="1:30" ht="14.4" x14ac:dyDescent="0.3">
      <c r="A4" s="15">
        <v>30</v>
      </c>
      <c r="B4" s="7" t="s">
        <v>2</v>
      </c>
      <c r="C4" s="22" t="s">
        <v>13</v>
      </c>
      <c r="D4" s="23">
        <v>2000</v>
      </c>
      <c r="E4" s="24">
        <v>0.1</v>
      </c>
      <c r="F4" s="25">
        <v>8</v>
      </c>
      <c r="G4" s="26">
        <f>F4+F4*E4</f>
        <v>8.8000000000000007</v>
      </c>
      <c r="H4" s="27">
        <f>(G4*D4)/1000</f>
        <v>17.600000000000001</v>
      </c>
      <c r="I4" s="27">
        <f>C26</f>
        <v>2.08</v>
      </c>
      <c r="J4" s="89">
        <f>H4*I4</f>
        <v>36.608000000000004</v>
      </c>
      <c r="K4" s="84">
        <f>E36</f>
        <v>1.1438383838383839E-3</v>
      </c>
      <c r="L4" s="28">
        <f t="shared" ref="L4:L14" si="0">K4*D4</f>
        <v>2.2876767676767678</v>
      </c>
      <c r="M4" s="29">
        <f>A18*B18</f>
        <v>128</v>
      </c>
      <c r="N4" s="29">
        <f>C18</f>
        <v>450</v>
      </c>
      <c r="O4" s="29">
        <f>E18+F18*D18</f>
        <v>17.5</v>
      </c>
      <c r="P4" s="29">
        <f t="shared" ref="P4:P14" si="1">D4/N4</f>
        <v>4.4444444444444446</v>
      </c>
      <c r="Q4" s="28">
        <f>O4*P4</f>
        <v>77.777777777777786</v>
      </c>
      <c r="R4" s="26">
        <f>Q4+L4+J4+M4</f>
        <v>244.67345454545455</v>
      </c>
      <c r="S4" s="26">
        <f>G18</f>
        <v>0.3</v>
      </c>
      <c r="T4" s="26">
        <f t="shared" ref="T4" si="2">R4+R4*S4</f>
        <v>318.07549090909089</v>
      </c>
      <c r="U4" s="27">
        <f t="shared" ref="U4:U14" si="3">T4/D4</f>
        <v>0.15903774545454544</v>
      </c>
      <c r="V4" s="78">
        <f>E19+F19*D19</f>
        <v>11.25</v>
      </c>
      <c r="W4" s="78">
        <f>V4*P4</f>
        <v>50</v>
      </c>
      <c r="X4" s="92">
        <f>W4+M4+L4+J4</f>
        <v>216.89567676767678</v>
      </c>
      <c r="Y4" s="78">
        <f>G18</f>
        <v>0.3</v>
      </c>
      <c r="Z4" s="26">
        <f>X4+X4*Y4</f>
        <v>281.9643797979798</v>
      </c>
      <c r="AA4" s="78">
        <f t="shared" ref="AA4:AA14" si="4">Z4/D4</f>
        <v>0.14098218989898989</v>
      </c>
      <c r="AB4" s="30">
        <v>180</v>
      </c>
      <c r="AC4" s="81">
        <f>U4*2+(U4*2*80/100)</f>
        <v>0.57253588363636354</v>
      </c>
      <c r="AD4" s="81">
        <f>AA4*2+(AA4*2*80/100)</f>
        <v>0.50753588363636359</v>
      </c>
    </row>
    <row r="5" spans="1:30" ht="14.4" x14ac:dyDescent="0.3">
      <c r="A5" s="15">
        <v>30</v>
      </c>
      <c r="B5" s="7" t="s">
        <v>3</v>
      </c>
      <c r="C5" s="22" t="s">
        <v>14</v>
      </c>
      <c r="D5" s="23">
        <v>4000</v>
      </c>
      <c r="E5" s="24">
        <v>0.1</v>
      </c>
      <c r="F5" s="25">
        <v>8</v>
      </c>
      <c r="G5" s="26">
        <f t="shared" ref="G5:G14" si="5">F5+F5*E5</f>
        <v>8.8000000000000007</v>
      </c>
      <c r="H5" s="27">
        <f t="shared" ref="H5:H14" si="6">(G5*D5)/1000</f>
        <v>35.200000000000003</v>
      </c>
      <c r="I5" s="27">
        <f>C26</f>
        <v>2.08</v>
      </c>
      <c r="J5" s="89">
        <f t="shared" ref="J5:J14" si="7">H5*I5</f>
        <v>73.216000000000008</v>
      </c>
      <c r="K5" s="84">
        <f>E36</f>
        <v>1.1438383838383839E-3</v>
      </c>
      <c r="L5" s="28">
        <f t="shared" si="0"/>
        <v>4.5753535353535355</v>
      </c>
      <c r="M5" s="29">
        <f>A18*B18</f>
        <v>128</v>
      </c>
      <c r="N5" s="29">
        <f>C18</f>
        <v>450</v>
      </c>
      <c r="O5" s="29">
        <f>E18+F18*D18</f>
        <v>17.5</v>
      </c>
      <c r="P5" s="29">
        <f t="shared" si="1"/>
        <v>8.8888888888888893</v>
      </c>
      <c r="Q5" s="28">
        <f t="shared" ref="Q5:Q14" si="8">O5*P5</f>
        <v>155.55555555555557</v>
      </c>
      <c r="R5" s="26">
        <f t="shared" ref="R5:R14" si="9">Q5+L5+J5+M5</f>
        <v>361.34690909090909</v>
      </c>
      <c r="S5" s="26">
        <f>G18</f>
        <v>0.3</v>
      </c>
      <c r="T5" s="26">
        <f>R5+R5*S5</f>
        <v>469.7509818181818</v>
      </c>
      <c r="U5" s="27">
        <f t="shared" si="3"/>
        <v>0.11743774545454545</v>
      </c>
      <c r="V5" s="78">
        <f>E19+F19*D19</f>
        <v>11.25</v>
      </c>
      <c r="W5" s="78">
        <f t="shared" ref="W5:W14" si="10">V5*P5</f>
        <v>100</v>
      </c>
      <c r="X5" s="92">
        <f t="shared" ref="X5:X14" si="11">W5+M5+L5+J5</f>
        <v>305.79135353535355</v>
      </c>
      <c r="Y5" s="78">
        <f>G18</f>
        <v>0.3</v>
      </c>
      <c r="Z5" s="26">
        <f>X5+X5*Y5</f>
        <v>397.52875959595963</v>
      </c>
      <c r="AA5" s="78">
        <f t="shared" si="4"/>
        <v>9.9382189898989906E-2</v>
      </c>
      <c r="AB5" s="30">
        <v>160</v>
      </c>
      <c r="AC5" s="31">
        <f>U5*2+(U5*2*80/100)</f>
        <v>0.42277588363636365</v>
      </c>
      <c r="AD5" s="31">
        <f>AA5*2+(AA5*2*80/100)</f>
        <v>0.35777588363636365</v>
      </c>
    </row>
    <row r="6" spans="1:30" ht="14.4" x14ac:dyDescent="0.3">
      <c r="A6" s="15">
        <v>30</v>
      </c>
      <c r="B6" s="7" t="s">
        <v>4</v>
      </c>
      <c r="C6" s="22" t="s">
        <v>15</v>
      </c>
      <c r="D6" s="23">
        <v>7500</v>
      </c>
      <c r="E6" s="24">
        <v>7.0000000000000007E-2</v>
      </c>
      <c r="F6" s="25">
        <v>8</v>
      </c>
      <c r="G6" s="26">
        <f t="shared" si="5"/>
        <v>8.56</v>
      </c>
      <c r="H6" s="27">
        <f t="shared" si="6"/>
        <v>64.2</v>
      </c>
      <c r="I6" s="27">
        <f>C26</f>
        <v>2.08</v>
      </c>
      <c r="J6" s="89">
        <f t="shared" si="7"/>
        <v>133.536</v>
      </c>
      <c r="K6" s="84">
        <f>E36</f>
        <v>1.1438383838383839E-3</v>
      </c>
      <c r="L6" s="28">
        <f t="shared" si="0"/>
        <v>8.57878787878788</v>
      </c>
      <c r="M6" s="29">
        <f>A18*B18</f>
        <v>128</v>
      </c>
      <c r="N6" s="29">
        <f>C18</f>
        <v>450</v>
      </c>
      <c r="O6" s="29">
        <f>E18+F18*D18</f>
        <v>17.5</v>
      </c>
      <c r="P6" s="29">
        <f t="shared" si="1"/>
        <v>16.666666666666668</v>
      </c>
      <c r="Q6" s="28">
        <f t="shared" si="8"/>
        <v>291.66666666666669</v>
      </c>
      <c r="R6" s="26">
        <f t="shared" si="9"/>
        <v>561.78145454545461</v>
      </c>
      <c r="S6" s="26">
        <f>G18</f>
        <v>0.3</v>
      </c>
      <c r="T6" s="26">
        <f t="shared" ref="T6:T14" si="12">R6+R6*S6</f>
        <v>730.31589090909097</v>
      </c>
      <c r="U6" s="27">
        <f t="shared" si="3"/>
        <v>9.7375452121212125E-2</v>
      </c>
      <c r="V6" s="78">
        <f>E19+F19*D19</f>
        <v>11.25</v>
      </c>
      <c r="W6" s="78">
        <f t="shared" si="10"/>
        <v>187.5</v>
      </c>
      <c r="X6" s="92">
        <f t="shared" si="11"/>
        <v>457.61478787878787</v>
      </c>
      <c r="Y6" s="78">
        <f>G18</f>
        <v>0.3</v>
      </c>
      <c r="Z6" s="26">
        <f t="shared" ref="Z6:Z14" si="13">X6+X6*Y6</f>
        <v>594.89922424242422</v>
      </c>
      <c r="AA6" s="78">
        <f t="shared" si="4"/>
        <v>7.9319896565656564E-2</v>
      </c>
      <c r="AB6" s="30">
        <v>140</v>
      </c>
      <c r="AC6" s="31">
        <f>U6*2+(U6*2*80/100)</f>
        <v>0.35055162763636366</v>
      </c>
      <c r="AD6" s="31">
        <f>AA6*2+(AA6*2*80/100)</f>
        <v>0.28555162763636366</v>
      </c>
    </row>
    <row r="7" spans="1:30" ht="14.4" x14ac:dyDescent="0.3">
      <c r="A7" s="15">
        <v>30</v>
      </c>
      <c r="B7" s="7" t="s">
        <v>5</v>
      </c>
      <c r="C7" s="22" t="s">
        <v>16</v>
      </c>
      <c r="D7" s="23">
        <v>12500</v>
      </c>
      <c r="E7" s="24">
        <v>7.0000000000000007E-2</v>
      </c>
      <c r="F7" s="25">
        <v>8</v>
      </c>
      <c r="G7" s="26">
        <f t="shared" si="5"/>
        <v>8.56</v>
      </c>
      <c r="H7" s="27">
        <f t="shared" si="6"/>
        <v>107</v>
      </c>
      <c r="I7" s="27">
        <f>C26</f>
        <v>2.08</v>
      </c>
      <c r="J7" s="89">
        <f t="shared" si="7"/>
        <v>222.56</v>
      </c>
      <c r="K7" s="84">
        <f>E36</f>
        <v>1.1438383838383839E-3</v>
      </c>
      <c r="L7" s="28">
        <f t="shared" si="0"/>
        <v>14.297979797979799</v>
      </c>
      <c r="M7" s="29">
        <f>A18*B18</f>
        <v>128</v>
      </c>
      <c r="N7" s="29">
        <f>C18</f>
        <v>450</v>
      </c>
      <c r="O7" s="29">
        <f>E18+F18*D18</f>
        <v>17.5</v>
      </c>
      <c r="P7" s="29">
        <f t="shared" si="1"/>
        <v>27.777777777777779</v>
      </c>
      <c r="Q7" s="28">
        <f t="shared" si="8"/>
        <v>486.11111111111114</v>
      </c>
      <c r="R7" s="26">
        <f t="shared" si="9"/>
        <v>850.96909090909094</v>
      </c>
      <c r="S7" s="26">
        <f>G18</f>
        <v>0.3</v>
      </c>
      <c r="T7" s="26">
        <f t="shared" si="12"/>
        <v>1106.2598181818182</v>
      </c>
      <c r="U7" s="27">
        <f t="shared" si="3"/>
        <v>8.8500785454545455E-2</v>
      </c>
      <c r="V7" s="78">
        <f>E19+F19*D19</f>
        <v>11.25</v>
      </c>
      <c r="W7" s="78">
        <f t="shared" si="10"/>
        <v>312.5</v>
      </c>
      <c r="X7" s="92">
        <f t="shared" si="11"/>
        <v>677.35797979797985</v>
      </c>
      <c r="Y7" s="78">
        <f>G18</f>
        <v>0.3</v>
      </c>
      <c r="Z7" s="26">
        <f t="shared" si="13"/>
        <v>880.56537373737376</v>
      </c>
      <c r="AA7" s="78">
        <f t="shared" si="4"/>
        <v>7.0445229898989895E-2</v>
      </c>
      <c r="AB7" s="30">
        <v>85</v>
      </c>
      <c r="AC7" s="31">
        <f>U7+U7*AB7/100</f>
        <v>0.16372645309090911</v>
      </c>
      <c r="AD7" s="31">
        <f>AA7+AA7*AB7/100</f>
        <v>0.1303236753131313</v>
      </c>
    </row>
    <row r="8" spans="1:30" ht="14.4" x14ac:dyDescent="0.3">
      <c r="A8" s="15">
        <v>30</v>
      </c>
      <c r="B8" s="7" t="s">
        <v>6</v>
      </c>
      <c r="C8" s="22" t="s">
        <v>17</v>
      </c>
      <c r="D8" s="23">
        <v>17500</v>
      </c>
      <c r="E8" s="24">
        <v>7.0000000000000007E-2</v>
      </c>
      <c r="F8" s="25">
        <v>8</v>
      </c>
      <c r="G8" s="26">
        <f t="shared" si="5"/>
        <v>8.56</v>
      </c>
      <c r="H8" s="27">
        <f t="shared" si="6"/>
        <v>149.80000000000001</v>
      </c>
      <c r="I8" s="27">
        <f>C26</f>
        <v>2.08</v>
      </c>
      <c r="J8" s="89">
        <f t="shared" si="7"/>
        <v>311.58400000000006</v>
      </c>
      <c r="K8" s="84">
        <f>E36</f>
        <v>1.1438383838383839E-3</v>
      </c>
      <c r="L8" s="28">
        <f t="shared" si="0"/>
        <v>20.017171717171717</v>
      </c>
      <c r="M8" s="29">
        <f>A18*B18</f>
        <v>128</v>
      </c>
      <c r="N8" s="29">
        <f>C18</f>
        <v>450</v>
      </c>
      <c r="O8" s="29">
        <f>E18+F18*D18</f>
        <v>17.5</v>
      </c>
      <c r="P8" s="29">
        <f t="shared" si="1"/>
        <v>38.888888888888886</v>
      </c>
      <c r="Q8" s="28">
        <f t="shared" si="8"/>
        <v>680.55555555555554</v>
      </c>
      <c r="R8" s="26">
        <f t="shared" si="9"/>
        <v>1140.1567272727273</v>
      </c>
      <c r="S8" s="26">
        <f>G18</f>
        <v>0.3</v>
      </c>
      <c r="T8" s="26">
        <f t="shared" si="12"/>
        <v>1482.2037454545455</v>
      </c>
      <c r="U8" s="27">
        <f t="shared" si="3"/>
        <v>8.4697356883116887E-2</v>
      </c>
      <c r="V8" s="78">
        <f>E19+F19*D19</f>
        <v>11.25</v>
      </c>
      <c r="W8" s="78">
        <f t="shared" si="10"/>
        <v>437.49999999999994</v>
      </c>
      <c r="X8" s="92">
        <f t="shared" si="11"/>
        <v>897.10117171717172</v>
      </c>
      <c r="Y8" s="78">
        <f>G18</f>
        <v>0.3</v>
      </c>
      <c r="Z8" s="26">
        <f t="shared" si="13"/>
        <v>1166.2315232323233</v>
      </c>
      <c r="AA8" s="78">
        <f t="shared" si="4"/>
        <v>6.6641801327561326E-2</v>
      </c>
      <c r="AB8" s="30">
        <v>80</v>
      </c>
      <c r="AC8" s="31">
        <f t="shared" ref="AC8:AC14" si="14">U8+U8*AB8/100</f>
        <v>0.15245524238961039</v>
      </c>
      <c r="AD8" s="31">
        <f t="shared" ref="AD8:AD14" si="15">AA8+AA8*AB8/100</f>
        <v>0.11995524238961039</v>
      </c>
    </row>
    <row r="9" spans="1:30" ht="14.4" x14ac:dyDescent="0.3">
      <c r="A9" s="15">
        <v>30</v>
      </c>
      <c r="B9" s="7" t="s">
        <v>7</v>
      </c>
      <c r="C9" s="22" t="s">
        <v>18</v>
      </c>
      <c r="D9" s="23">
        <v>25000</v>
      </c>
      <c r="E9" s="24">
        <v>0.05</v>
      </c>
      <c r="F9" s="25">
        <v>8</v>
      </c>
      <c r="G9" s="26">
        <f t="shared" si="5"/>
        <v>8.4</v>
      </c>
      <c r="H9" s="27">
        <f t="shared" si="6"/>
        <v>210</v>
      </c>
      <c r="I9" s="27">
        <f>C26</f>
        <v>2.08</v>
      </c>
      <c r="J9" s="89">
        <f t="shared" si="7"/>
        <v>436.8</v>
      </c>
      <c r="K9" s="84">
        <f>E36</f>
        <v>1.1438383838383839E-3</v>
      </c>
      <c r="L9" s="28">
        <f t="shared" si="0"/>
        <v>28.595959595959599</v>
      </c>
      <c r="M9" s="29">
        <f>A18*B18</f>
        <v>128</v>
      </c>
      <c r="N9" s="29">
        <f>C18</f>
        <v>450</v>
      </c>
      <c r="O9" s="29">
        <f>E18+F18*D18</f>
        <v>17.5</v>
      </c>
      <c r="P9" s="29">
        <f t="shared" si="1"/>
        <v>55.555555555555557</v>
      </c>
      <c r="Q9" s="28">
        <f t="shared" si="8"/>
        <v>972.22222222222229</v>
      </c>
      <c r="R9" s="26">
        <f t="shared" si="9"/>
        <v>1565.6181818181819</v>
      </c>
      <c r="S9" s="26">
        <f>G18</f>
        <v>0.3</v>
      </c>
      <c r="T9" s="26">
        <f t="shared" si="12"/>
        <v>2035.3036363636365</v>
      </c>
      <c r="U9" s="27">
        <f t="shared" si="3"/>
        <v>8.1412145454545462E-2</v>
      </c>
      <c r="V9" s="78">
        <f>E19+F19*D19</f>
        <v>11.25</v>
      </c>
      <c r="W9" s="78">
        <f t="shared" si="10"/>
        <v>625</v>
      </c>
      <c r="X9" s="92">
        <f t="shared" si="11"/>
        <v>1218.3959595959595</v>
      </c>
      <c r="Y9" s="78">
        <f>G18</f>
        <v>0.3</v>
      </c>
      <c r="Z9" s="26">
        <f t="shared" si="13"/>
        <v>1583.9147474747474</v>
      </c>
      <c r="AA9" s="78">
        <f t="shared" si="4"/>
        <v>6.3356589898989901E-2</v>
      </c>
      <c r="AB9" s="30">
        <v>75</v>
      </c>
      <c r="AC9" s="31">
        <f t="shared" si="14"/>
        <v>0.14247125454545456</v>
      </c>
      <c r="AD9" s="31">
        <f t="shared" si="15"/>
        <v>0.11087403232323233</v>
      </c>
    </row>
    <row r="10" spans="1:30" ht="14.4" x14ac:dyDescent="0.3">
      <c r="A10" s="15">
        <v>30</v>
      </c>
      <c r="B10" s="7" t="s">
        <v>8</v>
      </c>
      <c r="C10" s="22" t="s">
        <v>19</v>
      </c>
      <c r="D10" s="23">
        <v>35000</v>
      </c>
      <c r="E10" s="24">
        <v>0.05</v>
      </c>
      <c r="F10" s="25">
        <v>8</v>
      </c>
      <c r="G10" s="26">
        <f t="shared" si="5"/>
        <v>8.4</v>
      </c>
      <c r="H10" s="27">
        <f t="shared" si="6"/>
        <v>294</v>
      </c>
      <c r="I10" s="27">
        <f>C26</f>
        <v>2.08</v>
      </c>
      <c r="J10" s="89">
        <f t="shared" si="7"/>
        <v>611.52</v>
      </c>
      <c r="K10" s="84">
        <f>E36</f>
        <v>1.1438383838383839E-3</v>
      </c>
      <c r="L10" s="28">
        <f t="shared" si="0"/>
        <v>40.034343434343434</v>
      </c>
      <c r="M10" s="29">
        <f>A18*B18</f>
        <v>128</v>
      </c>
      <c r="N10" s="29">
        <f>C18</f>
        <v>450</v>
      </c>
      <c r="O10" s="29">
        <f>E18+F18*D18</f>
        <v>17.5</v>
      </c>
      <c r="P10" s="29">
        <f t="shared" si="1"/>
        <v>77.777777777777771</v>
      </c>
      <c r="Q10" s="28">
        <f t="shared" si="8"/>
        <v>1361.1111111111111</v>
      </c>
      <c r="R10" s="26">
        <f t="shared" si="9"/>
        <v>2140.6654545454544</v>
      </c>
      <c r="S10" s="26">
        <f>G18</f>
        <v>0.3</v>
      </c>
      <c r="T10" s="26">
        <f t="shared" si="12"/>
        <v>2782.8650909090907</v>
      </c>
      <c r="U10" s="27">
        <f t="shared" si="3"/>
        <v>7.9510431168831164E-2</v>
      </c>
      <c r="V10" s="78">
        <f>E19+F19*D19</f>
        <v>11.25</v>
      </c>
      <c r="W10" s="78">
        <f t="shared" si="10"/>
        <v>874.99999999999989</v>
      </c>
      <c r="X10" s="92">
        <f t="shared" si="11"/>
        <v>1654.5543434343433</v>
      </c>
      <c r="Y10" s="78">
        <f>G18</f>
        <v>0.3</v>
      </c>
      <c r="Z10" s="26">
        <f t="shared" si="13"/>
        <v>2150.9206464646463</v>
      </c>
      <c r="AA10" s="78">
        <f t="shared" si="4"/>
        <v>6.145487561327561E-2</v>
      </c>
      <c r="AB10" s="30">
        <v>75</v>
      </c>
      <c r="AC10" s="31">
        <f t="shared" si="14"/>
        <v>0.13914325454545454</v>
      </c>
      <c r="AD10" s="31">
        <f t="shared" si="15"/>
        <v>0.10754603232323232</v>
      </c>
    </row>
    <row r="11" spans="1:30" ht="14.4" x14ac:dyDescent="0.3">
      <c r="A11" s="15">
        <v>30</v>
      </c>
      <c r="B11" s="7" t="s">
        <v>9</v>
      </c>
      <c r="C11" s="22" t="s">
        <v>20</v>
      </c>
      <c r="D11" s="23">
        <v>45000</v>
      </c>
      <c r="E11" s="24">
        <v>0.05</v>
      </c>
      <c r="F11" s="25">
        <v>8</v>
      </c>
      <c r="G11" s="26">
        <f t="shared" si="5"/>
        <v>8.4</v>
      </c>
      <c r="H11" s="27">
        <f t="shared" si="6"/>
        <v>378</v>
      </c>
      <c r="I11" s="27">
        <f>C26</f>
        <v>2.08</v>
      </c>
      <c r="J11" s="89">
        <f t="shared" si="7"/>
        <v>786.24</v>
      </c>
      <c r="K11" s="84">
        <f>E36</f>
        <v>1.1438383838383839E-3</v>
      </c>
      <c r="L11" s="28">
        <f t="shared" si="0"/>
        <v>51.472727272727276</v>
      </c>
      <c r="M11" s="29">
        <f>A18*B18</f>
        <v>128</v>
      </c>
      <c r="N11" s="29">
        <f>C18</f>
        <v>450</v>
      </c>
      <c r="O11" s="29">
        <f>E18+F18*D18</f>
        <v>17.5</v>
      </c>
      <c r="P11" s="29">
        <f t="shared" si="1"/>
        <v>100</v>
      </c>
      <c r="Q11" s="28">
        <f t="shared" si="8"/>
        <v>1750</v>
      </c>
      <c r="R11" s="26">
        <f t="shared" si="9"/>
        <v>2715.7127272727275</v>
      </c>
      <c r="S11" s="26">
        <f>G18</f>
        <v>0.3</v>
      </c>
      <c r="T11" s="26">
        <f t="shared" si="12"/>
        <v>3530.4265454545457</v>
      </c>
      <c r="U11" s="27">
        <f t="shared" si="3"/>
        <v>7.8453923232323239E-2</v>
      </c>
      <c r="V11" s="78">
        <f>E19+F19*D19</f>
        <v>11.25</v>
      </c>
      <c r="W11" s="78">
        <f t="shared" si="10"/>
        <v>1125</v>
      </c>
      <c r="X11" s="92">
        <f t="shared" si="11"/>
        <v>2090.7127272727275</v>
      </c>
      <c r="Y11" s="78">
        <f>G18</f>
        <v>0.3</v>
      </c>
      <c r="Z11" s="26">
        <f t="shared" si="13"/>
        <v>2717.9265454545457</v>
      </c>
      <c r="AA11" s="78">
        <f t="shared" si="4"/>
        <v>6.0398367676767685E-2</v>
      </c>
      <c r="AB11" s="30">
        <v>70</v>
      </c>
      <c r="AC11" s="31">
        <f t="shared" si="14"/>
        <v>0.1333716694949495</v>
      </c>
      <c r="AD11" s="31">
        <f t="shared" si="15"/>
        <v>0.10267722505050506</v>
      </c>
    </row>
    <row r="12" spans="1:30" ht="14.4" x14ac:dyDescent="0.3">
      <c r="A12" s="15">
        <v>30</v>
      </c>
      <c r="B12" s="7" t="s">
        <v>10</v>
      </c>
      <c r="C12" s="22" t="s">
        <v>21</v>
      </c>
      <c r="D12" s="23">
        <v>75000</v>
      </c>
      <c r="E12" s="24">
        <v>0.05</v>
      </c>
      <c r="F12" s="25">
        <v>8</v>
      </c>
      <c r="G12" s="26">
        <f t="shared" si="5"/>
        <v>8.4</v>
      </c>
      <c r="H12" s="27">
        <f t="shared" si="6"/>
        <v>630</v>
      </c>
      <c r="I12" s="27">
        <f>C26</f>
        <v>2.08</v>
      </c>
      <c r="J12" s="89">
        <f t="shared" si="7"/>
        <v>1310.4000000000001</v>
      </c>
      <c r="K12" s="84">
        <f>E36</f>
        <v>1.1438383838383839E-3</v>
      </c>
      <c r="L12" s="28">
        <f t="shared" si="0"/>
        <v>85.787878787878796</v>
      </c>
      <c r="M12" s="29">
        <f>A18*B18</f>
        <v>128</v>
      </c>
      <c r="N12" s="29">
        <f>C18</f>
        <v>450</v>
      </c>
      <c r="O12" s="29">
        <f>E18+F18*D18</f>
        <v>17.5</v>
      </c>
      <c r="P12" s="29">
        <f t="shared" si="1"/>
        <v>166.66666666666666</v>
      </c>
      <c r="Q12" s="28">
        <f>O12*P12</f>
        <v>2916.6666666666665</v>
      </c>
      <c r="R12" s="26">
        <f t="shared" si="9"/>
        <v>4440.8545454545456</v>
      </c>
      <c r="S12" s="26">
        <f>G18</f>
        <v>0.3</v>
      </c>
      <c r="T12" s="26">
        <f t="shared" si="12"/>
        <v>5773.1109090909094</v>
      </c>
      <c r="U12" s="27">
        <f t="shared" si="3"/>
        <v>7.6974812121212127E-2</v>
      </c>
      <c r="V12" s="78">
        <f>E19+F19*D19</f>
        <v>11.25</v>
      </c>
      <c r="W12" s="78">
        <f t="shared" si="10"/>
        <v>1875</v>
      </c>
      <c r="X12" s="92">
        <f t="shared" si="11"/>
        <v>3399.1878787878791</v>
      </c>
      <c r="Y12" s="78">
        <f>G18</f>
        <v>0.3</v>
      </c>
      <c r="Z12" s="26">
        <f t="shared" si="13"/>
        <v>4418.9442424242425</v>
      </c>
      <c r="AA12" s="78">
        <f t="shared" si="4"/>
        <v>5.8919256565656566E-2</v>
      </c>
      <c r="AB12" s="30">
        <v>70</v>
      </c>
      <c r="AC12" s="31">
        <f t="shared" si="14"/>
        <v>0.13085718060606061</v>
      </c>
      <c r="AD12" s="31">
        <f t="shared" si="15"/>
        <v>0.10016273616161617</v>
      </c>
    </row>
    <row r="13" spans="1:30" ht="14.4" x14ac:dyDescent="0.3">
      <c r="A13" s="15">
        <v>30</v>
      </c>
      <c r="B13" s="7" t="s">
        <v>11</v>
      </c>
      <c r="C13" s="22" t="s">
        <v>22</v>
      </c>
      <c r="D13" s="23">
        <v>125000</v>
      </c>
      <c r="E13" s="24">
        <v>0.03</v>
      </c>
      <c r="F13" s="25">
        <v>8</v>
      </c>
      <c r="G13" s="26">
        <f t="shared" si="5"/>
        <v>8.24</v>
      </c>
      <c r="H13" s="27">
        <f t="shared" si="6"/>
        <v>1030</v>
      </c>
      <c r="I13" s="27">
        <f>C26</f>
        <v>2.08</v>
      </c>
      <c r="J13" s="89">
        <f t="shared" si="7"/>
        <v>2142.4</v>
      </c>
      <c r="K13" s="84">
        <f>E36</f>
        <v>1.1438383838383839E-3</v>
      </c>
      <c r="L13" s="28">
        <f t="shared" si="0"/>
        <v>142.97979797979798</v>
      </c>
      <c r="M13" s="29">
        <f>A18*B18</f>
        <v>128</v>
      </c>
      <c r="N13" s="29">
        <f>C18</f>
        <v>450</v>
      </c>
      <c r="O13" s="29">
        <f>E18+F18*D18</f>
        <v>17.5</v>
      </c>
      <c r="P13" s="29">
        <f t="shared" si="1"/>
        <v>277.77777777777777</v>
      </c>
      <c r="Q13" s="28">
        <f t="shared" si="8"/>
        <v>4861.1111111111113</v>
      </c>
      <c r="R13" s="26">
        <f t="shared" si="9"/>
        <v>7274.4909090909096</v>
      </c>
      <c r="S13" s="26">
        <f>G18</f>
        <v>0.3</v>
      </c>
      <c r="T13" s="26">
        <f t="shared" si="12"/>
        <v>9456.8381818181824</v>
      </c>
      <c r="U13" s="27">
        <f t="shared" si="3"/>
        <v>7.5654705454545459E-2</v>
      </c>
      <c r="V13" s="78">
        <f>E19+F19*D19</f>
        <v>11.25</v>
      </c>
      <c r="W13" s="78">
        <f t="shared" si="10"/>
        <v>3125</v>
      </c>
      <c r="X13" s="92">
        <f t="shared" si="11"/>
        <v>5538.3797979797982</v>
      </c>
      <c r="Y13" s="78">
        <f>G18</f>
        <v>0.3</v>
      </c>
      <c r="Z13" s="26">
        <f t="shared" si="13"/>
        <v>7199.8937373737372</v>
      </c>
      <c r="AA13" s="78">
        <f t="shared" si="4"/>
        <v>5.7599149898989899E-2</v>
      </c>
      <c r="AB13" s="30">
        <v>65</v>
      </c>
      <c r="AC13" s="31">
        <f t="shared" si="14"/>
        <v>0.12483026400000001</v>
      </c>
      <c r="AD13" s="31">
        <f t="shared" si="15"/>
        <v>9.5038597333333336E-2</v>
      </c>
    </row>
    <row r="14" spans="1:30" ht="15" thickBot="1" x14ac:dyDescent="0.35">
      <c r="A14" s="15">
        <v>30</v>
      </c>
      <c r="B14" s="7" t="s">
        <v>12</v>
      </c>
      <c r="C14" s="22" t="s">
        <v>23</v>
      </c>
      <c r="D14" s="23">
        <v>200000</v>
      </c>
      <c r="E14" s="24">
        <v>0.03</v>
      </c>
      <c r="F14" s="25">
        <v>8</v>
      </c>
      <c r="G14" s="26">
        <f t="shared" si="5"/>
        <v>8.24</v>
      </c>
      <c r="H14" s="27">
        <f t="shared" si="6"/>
        <v>1648</v>
      </c>
      <c r="I14" s="27">
        <f>C26</f>
        <v>2.08</v>
      </c>
      <c r="J14" s="89">
        <f t="shared" si="7"/>
        <v>3427.84</v>
      </c>
      <c r="K14" s="84">
        <f>E36</f>
        <v>1.1438383838383839E-3</v>
      </c>
      <c r="L14" s="28">
        <f t="shared" si="0"/>
        <v>228.76767676767679</v>
      </c>
      <c r="M14" s="29">
        <f>A18*B18</f>
        <v>128</v>
      </c>
      <c r="N14" s="29">
        <f>C18</f>
        <v>450</v>
      </c>
      <c r="O14" s="29">
        <f>E18+F18*D18</f>
        <v>17.5</v>
      </c>
      <c r="P14" s="29">
        <f t="shared" si="1"/>
        <v>444.44444444444446</v>
      </c>
      <c r="Q14" s="28">
        <f t="shared" si="8"/>
        <v>7777.7777777777783</v>
      </c>
      <c r="R14" s="26">
        <f t="shared" si="9"/>
        <v>11562.385454545456</v>
      </c>
      <c r="S14" s="26">
        <f>G18</f>
        <v>0.3</v>
      </c>
      <c r="T14" s="26">
        <f t="shared" si="12"/>
        <v>15031.101090909093</v>
      </c>
      <c r="U14" s="27">
        <f t="shared" si="3"/>
        <v>7.5155505454545468E-2</v>
      </c>
      <c r="V14" s="78">
        <f>E19+F19*D19</f>
        <v>11.25</v>
      </c>
      <c r="W14" s="78">
        <f t="shared" si="10"/>
        <v>5000</v>
      </c>
      <c r="X14" s="92">
        <f t="shared" si="11"/>
        <v>8784.6076767676768</v>
      </c>
      <c r="Y14" s="78">
        <f>G18</f>
        <v>0.3</v>
      </c>
      <c r="Z14" s="26">
        <f t="shared" si="13"/>
        <v>11419.98997979798</v>
      </c>
      <c r="AA14" s="78">
        <f t="shared" si="4"/>
        <v>5.70999498989899E-2</v>
      </c>
      <c r="AB14" s="30">
        <v>60</v>
      </c>
      <c r="AC14" s="32">
        <f t="shared" si="14"/>
        <v>0.12024880872727275</v>
      </c>
      <c r="AD14" s="32">
        <f t="shared" si="15"/>
        <v>9.1359919838383846E-2</v>
      </c>
    </row>
    <row r="15" spans="1:30" ht="14.4" thickBot="1" x14ac:dyDescent="0.35"/>
    <row r="16" spans="1:30" ht="14.4" customHeight="1" x14ac:dyDescent="0.3">
      <c r="A16" s="94" t="s">
        <v>126</v>
      </c>
      <c r="B16" s="98"/>
      <c r="C16" s="95" t="s">
        <v>127</v>
      </c>
      <c r="D16" s="95"/>
      <c r="E16" s="95"/>
      <c r="F16" s="96"/>
      <c r="G16" s="35"/>
      <c r="AC16" s="80"/>
    </row>
    <row r="17" spans="1:12" x14ac:dyDescent="0.3">
      <c r="A17" s="36" t="s">
        <v>28</v>
      </c>
      <c r="B17" s="38" t="s">
        <v>29</v>
      </c>
      <c r="C17" s="97" t="s">
        <v>30</v>
      </c>
      <c r="D17" s="37" t="s">
        <v>31</v>
      </c>
      <c r="E17" s="37" t="s">
        <v>32</v>
      </c>
      <c r="F17" s="37" t="s">
        <v>33</v>
      </c>
      <c r="G17" s="38" t="s">
        <v>34</v>
      </c>
      <c r="J17" s="39"/>
      <c r="K17" s="85"/>
      <c r="L17" s="14" t="s">
        <v>59</v>
      </c>
    </row>
    <row r="18" spans="1:12" ht="14.4" thickBot="1" x14ac:dyDescent="0.35">
      <c r="A18" s="40">
        <v>4</v>
      </c>
      <c r="B18" s="99">
        <v>32</v>
      </c>
      <c r="C18" s="42">
        <v>450</v>
      </c>
      <c r="D18" s="41">
        <v>0.5</v>
      </c>
      <c r="E18" s="41">
        <v>5</v>
      </c>
      <c r="F18" s="42">
        <v>25</v>
      </c>
      <c r="G18" s="43">
        <v>0.3</v>
      </c>
      <c r="H18" s="14" t="s">
        <v>128</v>
      </c>
    </row>
    <row r="19" spans="1:12" ht="14.4" thickBot="1" x14ac:dyDescent="0.35">
      <c r="A19" s="40">
        <v>4</v>
      </c>
      <c r="B19" s="99">
        <v>32</v>
      </c>
      <c r="C19" s="42">
        <v>450</v>
      </c>
      <c r="D19" s="41">
        <v>0.25</v>
      </c>
      <c r="E19" s="41">
        <v>5</v>
      </c>
      <c r="F19" s="42">
        <v>25</v>
      </c>
      <c r="G19" s="43">
        <v>0.3</v>
      </c>
      <c r="H19" s="14" t="s">
        <v>129</v>
      </c>
    </row>
    <row r="20" spans="1:12" ht="14.4" thickBot="1" x14ac:dyDescent="0.35">
      <c r="J20" s="44"/>
      <c r="K20" s="86"/>
      <c r="L20" s="14" t="s">
        <v>60</v>
      </c>
    </row>
    <row r="21" spans="1:12" x14ac:dyDescent="0.3">
      <c r="A21" s="45" t="s">
        <v>35</v>
      </c>
      <c r="B21" s="46"/>
      <c r="C21" s="46" t="s">
        <v>36</v>
      </c>
      <c r="D21" s="47" t="s">
        <v>37</v>
      </c>
    </row>
    <row r="22" spans="1:12" x14ac:dyDescent="0.3">
      <c r="A22" s="48" t="s">
        <v>40</v>
      </c>
      <c r="B22" s="49">
        <v>2</v>
      </c>
      <c r="C22" s="50">
        <v>96</v>
      </c>
      <c r="D22" s="51"/>
    </row>
    <row r="23" spans="1:12" x14ac:dyDescent="0.3">
      <c r="A23" s="48" t="s">
        <v>40</v>
      </c>
      <c r="B23" s="49">
        <v>4</v>
      </c>
      <c r="C23" s="50">
        <v>4</v>
      </c>
      <c r="D23" s="51"/>
    </row>
    <row r="24" spans="1:12" x14ac:dyDescent="0.3">
      <c r="A24" s="48" t="s">
        <v>40</v>
      </c>
      <c r="B24" s="49">
        <v>0</v>
      </c>
      <c r="C24" s="50"/>
      <c r="D24" s="51"/>
    </row>
    <row r="25" spans="1:12" ht="14.4" thickBot="1" x14ac:dyDescent="0.35">
      <c r="A25" s="48" t="s">
        <v>44</v>
      </c>
      <c r="B25" s="49">
        <v>0</v>
      </c>
      <c r="C25" s="50"/>
      <c r="D25" s="51"/>
    </row>
    <row r="26" spans="1:12" ht="14.4" thickBot="1" x14ac:dyDescent="0.35">
      <c r="A26" s="52" t="s">
        <v>45</v>
      </c>
      <c r="B26" s="53">
        <f>SUM(B22:B25)</f>
        <v>6</v>
      </c>
      <c r="C26" s="54">
        <f>(B22*C22/100)+(B23*C23/100)+(B24*C24/100)+(B25*C25/100)</f>
        <v>2.08</v>
      </c>
      <c r="D26" s="55" t="s">
        <v>62</v>
      </c>
    </row>
    <row r="27" spans="1:12" ht="14.4" thickBot="1" x14ac:dyDescent="0.35"/>
    <row r="28" spans="1:12" x14ac:dyDescent="0.3">
      <c r="A28" s="56" t="s">
        <v>38</v>
      </c>
      <c r="B28" s="57"/>
      <c r="C28" s="58"/>
      <c r="D28" s="59" t="s">
        <v>39</v>
      </c>
      <c r="E28" s="60" t="s">
        <v>97</v>
      </c>
    </row>
    <row r="29" spans="1:12" x14ac:dyDescent="0.3">
      <c r="A29" s="61" t="s">
        <v>42</v>
      </c>
      <c r="B29" s="62">
        <v>1100</v>
      </c>
      <c r="C29" s="63"/>
      <c r="D29" s="64"/>
      <c r="E29" s="65"/>
    </row>
    <row r="30" spans="1:12" x14ac:dyDescent="0.3">
      <c r="A30" s="61" t="s">
        <v>86</v>
      </c>
      <c r="B30" s="62">
        <v>9</v>
      </c>
      <c r="C30" s="63" t="s">
        <v>41</v>
      </c>
      <c r="D30" s="66">
        <v>0.68100000000000005</v>
      </c>
      <c r="E30" s="65">
        <f>D30*B30</f>
        <v>6.1290000000000004</v>
      </c>
    </row>
    <row r="31" spans="1:12" x14ac:dyDescent="0.3">
      <c r="A31" s="61" t="s">
        <v>87</v>
      </c>
      <c r="B31" s="62">
        <f>B30*B29</f>
        <v>9900</v>
      </c>
      <c r="C31" s="67"/>
      <c r="D31" s="68"/>
      <c r="E31" s="65"/>
    </row>
    <row r="32" spans="1:12" x14ac:dyDescent="0.3">
      <c r="A32" s="61" t="s">
        <v>88</v>
      </c>
      <c r="B32" s="62">
        <v>9</v>
      </c>
      <c r="C32" s="63" t="s">
        <v>43</v>
      </c>
      <c r="D32" s="69">
        <v>0.13800000000000001</v>
      </c>
      <c r="E32" s="65">
        <f>D32*B32</f>
        <v>1.242</v>
      </c>
    </row>
    <row r="33" spans="1:5" x14ac:dyDescent="0.3">
      <c r="A33" s="61" t="s">
        <v>46</v>
      </c>
      <c r="B33" s="62">
        <f>B32*5</f>
        <v>45</v>
      </c>
      <c r="C33" s="63" t="s">
        <v>47</v>
      </c>
      <c r="D33" s="66">
        <v>4.3400000000000001E-2</v>
      </c>
      <c r="E33" s="65">
        <f>D33*B33</f>
        <v>1.9530000000000001</v>
      </c>
    </row>
    <row r="34" spans="1:5" ht="14.4" thickBot="1" x14ac:dyDescent="0.35">
      <c r="A34" s="70" t="s">
        <v>48</v>
      </c>
      <c r="B34" s="71" t="s">
        <v>49</v>
      </c>
      <c r="C34" s="72" t="s">
        <v>50</v>
      </c>
      <c r="D34" s="73">
        <v>2</v>
      </c>
      <c r="E34" s="74">
        <f>D34</f>
        <v>2</v>
      </c>
    </row>
    <row r="35" spans="1:5" ht="14.4" thickBot="1" x14ac:dyDescent="0.35">
      <c r="E35" s="75">
        <f>SUM(E29:E34)</f>
        <v>11.324</v>
      </c>
    </row>
    <row r="36" spans="1:5" ht="14.4" thickBot="1" x14ac:dyDescent="0.35">
      <c r="D36" s="76" t="s">
        <v>98</v>
      </c>
      <c r="E36" s="77">
        <f>E35/B31</f>
        <v>1.1438383838383839E-3</v>
      </c>
    </row>
  </sheetData>
  <mergeCells count="2">
    <mergeCell ref="A16:B16"/>
    <mergeCell ref="C16:F16"/>
  </mergeCells>
  <pageMargins left="0.70866141732283472" right="0.70866141732283472" top="0.74803149606299213" bottom="0.74803149606299213" header="0.31496062992125984" footer="0.31496062992125984"/>
  <pageSetup paperSize="8" scale="5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6F1E0-AA0F-413C-85BB-CA7708AFD001}">
  <dimension ref="A2:AD36"/>
  <sheetViews>
    <sheetView topLeftCell="R1" zoomScale="115" zoomScaleNormal="115" workbookViewId="0">
      <selection activeCell="Z14" sqref="Z14"/>
    </sheetView>
  </sheetViews>
  <sheetFormatPr defaultColWidth="9.109375" defaultRowHeight="13.8" x14ac:dyDescent="0.3"/>
  <cols>
    <col min="1" max="1" width="28.6640625" style="14" bestFit="1" customWidth="1"/>
    <col min="2" max="2" width="10.109375" style="14" bestFit="1" customWidth="1"/>
    <col min="3" max="3" width="21" style="14" bestFit="1" customWidth="1"/>
    <col min="4" max="4" width="12.44140625" style="14" bestFit="1" customWidth="1"/>
    <col min="5" max="5" width="21" style="14" bestFit="1" customWidth="1"/>
    <col min="6" max="6" width="14.88671875" style="14" bestFit="1" customWidth="1"/>
    <col min="7" max="7" width="23.5546875" style="14" bestFit="1" customWidth="1"/>
    <col min="8" max="8" width="18.6640625" style="14" customWidth="1"/>
    <col min="9" max="9" width="0.109375" style="14" customWidth="1"/>
    <col min="10" max="10" width="9.5546875" style="14" bestFit="1" customWidth="1"/>
    <col min="11" max="11" width="15.33203125" style="82" customWidth="1"/>
    <col min="12" max="12" width="17.5546875" style="14" bestFit="1" customWidth="1"/>
    <col min="13" max="13" width="19.33203125" style="14" customWidth="1"/>
    <col min="14" max="14" width="9.109375" style="14" customWidth="1"/>
    <col min="15" max="15" width="22.88671875" style="14" customWidth="1"/>
    <col min="16" max="16" width="11.88671875" style="14" customWidth="1"/>
    <col min="17" max="17" width="23.5546875" style="14" bestFit="1" customWidth="1"/>
    <col min="18" max="18" width="24.33203125" style="14" customWidth="1"/>
    <col min="19" max="19" width="11" style="14" customWidth="1"/>
    <col min="20" max="20" width="35.5546875" style="14" bestFit="1" customWidth="1"/>
    <col min="21" max="21" width="14.6640625" style="14" bestFit="1" customWidth="1"/>
    <col min="22" max="27" width="14.6640625" style="14" customWidth="1"/>
    <col min="28" max="28" width="16.5546875" style="14" bestFit="1" customWidth="1"/>
    <col min="29" max="29" width="17.44140625" style="14" bestFit="1" customWidth="1"/>
    <col min="30" max="30" width="11.88671875" style="14" bestFit="1" customWidth="1"/>
    <col min="31" max="16384" width="9.109375" style="14"/>
  </cols>
  <sheetData>
    <row r="2" spans="1:30" ht="14.4" thickBot="1" x14ac:dyDescent="0.35"/>
    <row r="3" spans="1:30" ht="74.25" customHeight="1" thickBot="1" x14ac:dyDescent="0.35">
      <c r="A3" s="15" t="s">
        <v>57</v>
      </c>
      <c r="B3" s="15" t="s">
        <v>24</v>
      </c>
      <c r="C3" s="15" t="s">
        <v>25</v>
      </c>
      <c r="D3" s="15" t="s">
        <v>26</v>
      </c>
      <c r="E3" s="15" t="s">
        <v>55</v>
      </c>
      <c r="F3" s="15" t="s">
        <v>58</v>
      </c>
      <c r="G3" s="16" t="s">
        <v>51</v>
      </c>
      <c r="H3" s="17" t="s">
        <v>52</v>
      </c>
      <c r="I3" s="17" t="s">
        <v>61</v>
      </c>
      <c r="J3" s="90" t="s">
        <v>53</v>
      </c>
      <c r="K3" s="83" t="s">
        <v>99</v>
      </c>
      <c r="L3" s="18" t="s">
        <v>96</v>
      </c>
      <c r="M3" s="19" t="s">
        <v>54</v>
      </c>
      <c r="N3" s="19" t="s">
        <v>100</v>
      </c>
      <c r="O3" s="19" t="s">
        <v>108</v>
      </c>
      <c r="P3" s="19" t="s">
        <v>101</v>
      </c>
      <c r="Q3" s="91" t="s">
        <v>116</v>
      </c>
      <c r="R3" s="87" t="s">
        <v>107</v>
      </c>
      <c r="S3" s="88" t="s">
        <v>102</v>
      </c>
      <c r="T3" s="87" t="s">
        <v>104</v>
      </c>
      <c r="U3" s="87" t="s">
        <v>105</v>
      </c>
      <c r="V3" s="19" t="s">
        <v>109</v>
      </c>
      <c r="W3" s="20" t="s">
        <v>110</v>
      </c>
      <c r="X3" s="20"/>
      <c r="Y3" s="20"/>
      <c r="Z3" s="20" t="s">
        <v>111</v>
      </c>
      <c r="AA3" s="20" t="s">
        <v>112</v>
      </c>
      <c r="AB3" s="20" t="s">
        <v>103</v>
      </c>
      <c r="AC3" s="79" t="s">
        <v>106</v>
      </c>
      <c r="AD3" s="21" t="s">
        <v>113</v>
      </c>
    </row>
    <row r="4" spans="1:30" ht="14.4" x14ac:dyDescent="0.3">
      <c r="A4" s="15">
        <v>30</v>
      </c>
      <c r="B4" s="7" t="s">
        <v>2</v>
      </c>
      <c r="C4" s="22" t="s">
        <v>13</v>
      </c>
      <c r="D4" s="23">
        <v>2000</v>
      </c>
      <c r="E4" s="24">
        <v>0.1</v>
      </c>
      <c r="F4" s="25">
        <v>8</v>
      </c>
      <c r="G4" s="26">
        <f>F4+F4*E4</f>
        <v>8.8000000000000007</v>
      </c>
      <c r="H4" s="27">
        <f>(G4*D4)/1000</f>
        <v>17.600000000000001</v>
      </c>
      <c r="I4" s="27">
        <f>C26</f>
        <v>2.52</v>
      </c>
      <c r="J4" s="89">
        <f>H4*I4</f>
        <v>44.352000000000004</v>
      </c>
      <c r="K4" s="84">
        <f>E36</f>
        <v>1.1438383838383839E-3</v>
      </c>
      <c r="L4" s="28">
        <f t="shared" ref="L4:L14" si="0">K4*D4</f>
        <v>2.2876767676767678</v>
      </c>
      <c r="M4" s="29">
        <f>A18*B18</f>
        <v>128</v>
      </c>
      <c r="N4" s="29">
        <f>C18</f>
        <v>450</v>
      </c>
      <c r="O4" s="29">
        <f>E18+F18*D18</f>
        <v>17.5</v>
      </c>
      <c r="P4" s="29">
        <f t="shared" ref="P4:P14" si="1">D4/N4</f>
        <v>4.4444444444444446</v>
      </c>
      <c r="Q4" s="28">
        <f>O4*P4</f>
        <v>77.777777777777786</v>
      </c>
      <c r="R4" s="26">
        <f>Q4+L4+J4+M4</f>
        <v>252.41745454545458</v>
      </c>
      <c r="S4" s="26">
        <f>G18</f>
        <v>0.3</v>
      </c>
      <c r="T4" s="26">
        <f>R4+R4*S4</f>
        <v>328.14269090909096</v>
      </c>
      <c r="U4" s="27">
        <f t="shared" ref="U4:U14" si="2">T4/D4</f>
        <v>0.16407134545454549</v>
      </c>
      <c r="V4" s="78">
        <f>E19+F19*D19</f>
        <v>11.25</v>
      </c>
      <c r="W4" s="78">
        <f>V4*P4</f>
        <v>50</v>
      </c>
      <c r="X4" s="92">
        <f>W4+M4+L4+J4</f>
        <v>224.63967676767678</v>
      </c>
      <c r="Y4" s="78">
        <f>G18</f>
        <v>0.3</v>
      </c>
      <c r="Z4" s="26">
        <f>X4+X4*Y4</f>
        <v>292.03157979797982</v>
      </c>
      <c r="AA4" s="78">
        <f t="shared" ref="AA4:AA14" si="3">Z4/D4</f>
        <v>0.14601578989898992</v>
      </c>
      <c r="AB4" s="30">
        <v>180</v>
      </c>
      <c r="AC4" s="81">
        <f>U4*2+(U4*2*80/100)</f>
        <v>0.59065684363636373</v>
      </c>
      <c r="AD4" s="81">
        <f>AA4*2+(AA4*2*80/100)</f>
        <v>0.52565684363636367</v>
      </c>
    </row>
    <row r="5" spans="1:30" ht="14.4" x14ac:dyDescent="0.3">
      <c r="A5" s="15">
        <v>30</v>
      </c>
      <c r="B5" s="7" t="s">
        <v>3</v>
      </c>
      <c r="C5" s="22" t="s">
        <v>14</v>
      </c>
      <c r="D5" s="23">
        <v>4000</v>
      </c>
      <c r="E5" s="24">
        <v>0.1</v>
      </c>
      <c r="F5" s="25">
        <v>8</v>
      </c>
      <c r="G5" s="26">
        <f t="shared" ref="G5:G14" si="4">F5+F5*E5</f>
        <v>8.8000000000000007</v>
      </c>
      <c r="H5" s="27">
        <f t="shared" ref="H5:H14" si="5">(G5*D5)/1000</f>
        <v>35.200000000000003</v>
      </c>
      <c r="I5" s="27">
        <f>C26</f>
        <v>2.52</v>
      </c>
      <c r="J5" s="89">
        <f t="shared" ref="J5:J14" si="6">H5*I5</f>
        <v>88.704000000000008</v>
      </c>
      <c r="K5" s="84">
        <f>E36</f>
        <v>1.1438383838383839E-3</v>
      </c>
      <c r="L5" s="28">
        <f t="shared" si="0"/>
        <v>4.5753535353535355</v>
      </c>
      <c r="M5" s="29">
        <f>A18*B18</f>
        <v>128</v>
      </c>
      <c r="N5" s="29">
        <f>C18</f>
        <v>450</v>
      </c>
      <c r="O5" s="29">
        <f>E18+F18*D18</f>
        <v>17.5</v>
      </c>
      <c r="P5" s="29">
        <f t="shared" si="1"/>
        <v>8.8888888888888893</v>
      </c>
      <c r="Q5" s="28">
        <f t="shared" ref="Q5:Q14" si="7">O5*P5</f>
        <v>155.55555555555557</v>
      </c>
      <c r="R5" s="26">
        <f t="shared" ref="R5:R14" si="8">Q5+L5+J5+M5</f>
        <v>376.83490909090915</v>
      </c>
      <c r="S5" s="26">
        <f>G18</f>
        <v>0.3</v>
      </c>
      <c r="T5" s="26">
        <f t="shared" ref="T5:T14" si="9">R5+R5*S5</f>
        <v>489.88538181818188</v>
      </c>
      <c r="U5" s="27">
        <f t="shared" si="2"/>
        <v>0.12247134545454547</v>
      </c>
      <c r="V5" s="78">
        <f>E19+F19*D19</f>
        <v>11.25</v>
      </c>
      <c r="W5" s="78">
        <f t="shared" ref="W5:W14" si="10">V5*P5</f>
        <v>100</v>
      </c>
      <c r="X5" s="92">
        <f t="shared" ref="X5:X14" si="11">W5+M5+L5+J5</f>
        <v>321.27935353535355</v>
      </c>
      <c r="Y5" s="78">
        <f>G18</f>
        <v>0.3</v>
      </c>
      <c r="Z5" s="26">
        <f t="shared" ref="Z5:Z14" si="12">X5+X5*Y5</f>
        <v>417.6631595959596</v>
      </c>
      <c r="AA5" s="78">
        <f t="shared" si="3"/>
        <v>0.10441578989898991</v>
      </c>
      <c r="AB5" s="30">
        <v>160</v>
      </c>
      <c r="AC5" s="31">
        <f>U5*2+(U5*2*80/100)</f>
        <v>0.44089684363636367</v>
      </c>
      <c r="AD5" s="31">
        <f>AA5*2+(AA5*2*80/100)</f>
        <v>0.37589684363636366</v>
      </c>
    </row>
    <row r="6" spans="1:30" ht="14.4" x14ac:dyDescent="0.3">
      <c r="A6" s="15">
        <v>30</v>
      </c>
      <c r="B6" s="7" t="s">
        <v>4</v>
      </c>
      <c r="C6" s="22" t="s">
        <v>15</v>
      </c>
      <c r="D6" s="23">
        <v>7500</v>
      </c>
      <c r="E6" s="24">
        <v>7.0000000000000007E-2</v>
      </c>
      <c r="F6" s="25">
        <v>8</v>
      </c>
      <c r="G6" s="26">
        <f t="shared" si="4"/>
        <v>8.56</v>
      </c>
      <c r="H6" s="27">
        <f t="shared" si="5"/>
        <v>64.2</v>
      </c>
      <c r="I6" s="27">
        <f>C26</f>
        <v>2.52</v>
      </c>
      <c r="J6" s="89">
        <f t="shared" si="6"/>
        <v>161.78400000000002</v>
      </c>
      <c r="K6" s="84">
        <f>E36</f>
        <v>1.1438383838383839E-3</v>
      </c>
      <c r="L6" s="28">
        <f t="shared" si="0"/>
        <v>8.57878787878788</v>
      </c>
      <c r="M6" s="29">
        <f>A18*B18</f>
        <v>128</v>
      </c>
      <c r="N6" s="29">
        <f>C18</f>
        <v>450</v>
      </c>
      <c r="O6" s="29">
        <f>E18+F18*D18</f>
        <v>17.5</v>
      </c>
      <c r="P6" s="29">
        <f t="shared" si="1"/>
        <v>16.666666666666668</v>
      </c>
      <c r="Q6" s="28">
        <f t="shared" si="7"/>
        <v>291.66666666666669</v>
      </c>
      <c r="R6" s="26">
        <f t="shared" si="8"/>
        <v>590.02945454545454</v>
      </c>
      <c r="S6" s="26">
        <f>G18</f>
        <v>0.3</v>
      </c>
      <c r="T6" s="26">
        <f t="shared" si="9"/>
        <v>767.03829090909085</v>
      </c>
      <c r="U6" s="27">
        <f t="shared" si="2"/>
        <v>0.10227177212121211</v>
      </c>
      <c r="V6" s="78">
        <f>E19+F19*D19</f>
        <v>11.25</v>
      </c>
      <c r="W6" s="78">
        <f t="shared" si="10"/>
        <v>187.5</v>
      </c>
      <c r="X6" s="92">
        <f t="shared" si="11"/>
        <v>485.86278787878791</v>
      </c>
      <c r="Y6" s="78">
        <f>G18</f>
        <v>0.3</v>
      </c>
      <c r="Z6" s="26">
        <f t="shared" si="12"/>
        <v>631.62162424242433</v>
      </c>
      <c r="AA6" s="78">
        <f t="shared" si="3"/>
        <v>8.4216216565656574E-2</v>
      </c>
      <c r="AB6" s="30">
        <v>140</v>
      </c>
      <c r="AC6" s="31">
        <f>U6*2+(U6*2*80/100)</f>
        <v>0.36817837963636357</v>
      </c>
      <c r="AD6" s="31">
        <f>AA6*2+(AA6*2*80/100)</f>
        <v>0.30317837963636368</v>
      </c>
    </row>
    <row r="7" spans="1:30" ht="14.4" x14ac:dyDescent="0.3">
      <c r="A7" s="15">
        <v>30</v>
      </c>
      <c r="B7" s="7" t="s">
        <v>5</v>
      </c>
      <c r="C7" s="22" t="s">
        <v>16</v>
      </c>
      <c r="D7" s="23">
        <v>12500</v>
      </c>
      <c r="E7" s="24">
        <v>7.0000000000000007E-2</v>
      </c>
      <c r="F7" s="25">
        <v>8</v>
      </c>
      <c r="G7" s="26">
        <f t="shared" si="4"/>
        <v>8.56</v>
      </c>
      <c r="H7" s="27">
        <f t="shared" si="5"/>
        <v>107</v>
      </c>
      <c r="I7" s="27">
        <f>C26</f>
        <v>2.52</v>
      </c>
      <c r="J7" s="89">
        <f t="shared" si="6"/>
        <v>269.64</v>
      </c>
      <c r="K7" s="84">
        <f>E36</f>
        <v>1.1438383838383839E-3</v>
      </c>
      <c r="L7" s="28">
        <f t="shared" si="0"/>
        <v>14.297979797979799</v>
      </c>
      <c r="M7" s="29">
        <f>A18*B18</f>
        <v>128</v>
      </c>
      <c r="N7" s="29">
        <f>C18</f>
        <v>450</v>
      </c>
      <c r="O7" s="29">
        <f>E18+F18*D18</f>
        <v>17.5</v>
      </c>
      <c r="P7" s="29">
        <f t="shared" si="1"/>
        <v>27.777777777777779</v>
      </c>
      <c r="Q7" s="28">
        <f t="shared" si="7"/>
        <v>486.11111111111114</v>
      </c>
      <c r="R7" s="26">
        <f t="shared" si="8"/>
        <v>898.04909090909086</v>
      </c>
      <c r="S7" s="26">
        <f>G18</f>
        <v>0.3</v>
      </c>
      <c r="T7" s="26">
        <f t="shared" si="9"/>
        <v>1167.4638181818182</v>
      </c>
      <c r="U7" s="27">
        <f t="shared" si="2"/>
        <v>9.3397105454545451E-2</v>
      </c>
      <c r="V7" s="78">
        <f>E19+F19*D19</f>
        <v>11.25</v>
      </c>
      <c r="W7" s="78">
        <f t="shared" si="10"/>
        <v>312.5</v>
      </c>
      <c r="X7" s="92">
        <f t="shared" si="11"/>
        <v>724.43797979797978</v>
      </c>
      <c r="Y7" s="78">
        <f>G18</f>
        <v>0.3</v>
      </c>
      <c r="Z7" s="26">
        <f t="shared" si="12"/>
        <v>941.76937373737371</v>
      </c>
      <c r="AA7" s="78">
        <f t="shared" si="3"/>
        <v>7.534154989898989E-2</v>
      </c>
      <c r="AB7" s="30">
        <v>85</v>
      </c>
      <c r="AC7" s="31">
        <f>U7+U7*AB7/100</f>
        <v>0.17278464509090907</v>
      </c>
      <c r="AD7" s="31">
        <f>AA7+AA7*AB7/100</f>
        <v>0.13938186731313129</v>
      </c>
    </row>
    <row r="8" spans="1:30" ht="14.4" x14ac:dyDescent="0.3">
      <c r="A8" s="15">
        <v>30</v>
      </c>
      <c r="B8" s="7" t="s">
        <v>6</v>
      </c>
      <c r="C8" s="22" t="s">
        <v>17</v>
      </c>
      <c r="D8" s="23">
        <v>17500</v>
      </c>
      <c r="E8" s="24">
        <v>7.0000000000000007E-2</v>
      </c>
      <c r="F8" s="25">
        <v>8</v>
      </c>
      <c r="G8" s="26">
        <f t="shared" si="4"/>
        <v>8.56</v>
      </c>
      <c r="H8" s="27">
        <f t="shared" si="5"/>
        <v>149.80000000000001</v>
      </c>
      <c r="I8" s="27">
        <f>C26</f>
        <v>2.52</v>
      </c>
      <c r="J8" s="89">
        <f t="shared" si="6"/>
        <v>377.49600000000004</v>
      </c>
      <c r="K8" s="84">
        <f>E36</f>
        <v>1.1438383838383839E-3</v>
      </c>
      <c r="L8" s="28">
        <f t="shared" si="0"/>
        <v>20.017171717171717</v>
      </c>
      <c r="M8" s="29">
        <f>A18*B18</f>
        <v>128</v>
      </c>
      <c r="N8" s="29">
        <f>C18</f>
        <v>450</v>
      </c>
      <c r="O8" s="29">
        <f>E18+F18*D18</f>
        <v>17.5</v>
      </c>
      <c r="P8" s="29">
        <f t="shared" si="1"/>
        <v>38.888888888888886</v>
      </c>
      <c r="Q8" s="28">
        <f t="shared" si="7"/>
        <v>680.55555555555554</v>
      </c>
      <c r="R8" s="26">
        <f t="shared" si="8"/>
        <v>1206.0687272727273</v>
      </c>
      <c r="S8" s="26">
        <f>G18</f>
        <v>0.3</v>
      </c>
      <c r="T8" s="26">
        <f t="shared" si="9"/>
        <v>1567.8893454545455</v>
      </c>
      <c r="U8" s="27">
        <f t="shared" si="2"/>
        <v>8.9593676883116882E-2</v>
      </c>
      <c r="V8" s="78">
        <f>E19+F19*D19</f>
        <v>11.25</v>
      </c>
      <c r="W8" s="78">
        <f t="shared" si="10"/>
        <v>437.49999999999994</v>
      </c>
      <c r="X8" s="92">
        <f t="shared" si="11"/>
        <v>963.01317171717164</v>
      </c>
      <c r="Y8" s="78">
        <f>G18</f>
        <v>0.3</v>
      </c>
      <c r="Z8" s="26">
        <f t="shared" si="12"/>
        <v>1251.9171232323231</v>
      </c>
      <c r="AA8" s="78">
        <f t="shared" si="3"/>
        <v>7.1538121327561321E-2</v>
      </c>
      <c r="AB8" s="30">
        <v>80</v>
      </c>
      <c r="AC8" s="31">
        <f t="shared" ref="AC8:AC14" si="13">U8+U8*AB8/100</f>
        <v>0.16126861838961037</v>
      </c>
      <c r="AD8" s="31">
        <f t="shared" ref="AD8:AD14" si="14">AA8+AA8*AB8/100</f>
        <v>0.12876861838961037</v>
      </c>
    </row>
    <row r="9" spans="1:30" ht="14.4" x14ac:dyDescent="0.3">
      <c r="A9" s="15">
        <v>30</v>
      </c>
      <c r="B9" s="7" t="s">
        <v>7</v>
      </c>
      <c r="C9" s="22" t="s">
        <v>18</v>
      </c>
      <c r="D9" s="23">
        <v>25000</v>
      </c>
      <c r="E9" s="24">
        <v>0.05</v>
      </c>
      <c r="F9" s="25">
        <v>8</v>
      </c>
      <c r="G9" s="26">
        <f t="shared" si="4"/>
        <v>8.4</v>
      </c>
      <c r="H9" s="27">
        <f t="shared" si="5"/>
        <v>210</v>
      </c>
      <c r="I9" s="27">
        <f>C26</f>
        <v>2.52</v>
      </c>
      <c r="J9" s="89">
        <f t="shared" si="6"/>
        <v>529.20000000000005</v>
      </c>
      <c r="K9" s="84">
        <f>E36</f>
        <v>1.1438383838383839E-3</v>
      </c>
      <c r="L9" s="28">
        <f t="shared" si="0"/>
        <v>28.595959595959599</v>
      </c>
      <c r="M9" s="29">
        <f>A18*B18</f>
        <v>128</v>
      </c>
      <c r="N9" s="29">
        <f>C18</f>
        <v>450</v>
      </c>
      <c r="O9" s="29">
        <f>E18+F18*D18</f>
        <v>17.5</v>
      </c>
      <c r="P9" s="29">
        <f t="shared" si="1"/>
        <v>55.555555555555557</v>
      </c>
      <c r="Q9" s="28">
        <f t="shared" si="7"/>
        <v>972.22222222222229</v>
      </c>
      <c r="R9" s="26">
        <f t="shared" si="8"/>
        <v>1658.0181818181818</v>
      </c>
      <c r="S9" s="26">
        <f>G18</f>
        <v>0.3</v>
      </c>
      <c r="T9" s="26">
        <f t="shared" si="9"/>
        <v>2155.4236363636364</v>
      </c>
      <c r="U9" s="27">
        <f t="shared" si="2"/>
        <v>8.621694545454546E-2</v>
      </c>
      <c r="V9" s="78">
        <f>E19+F19*D19</f>
        <v>11.25</v>
      </c>
      <c r="W9" s="78">
        <f t="shared" si="10"/>
        <v>625</v>
      </c>
      <c r="X9" s="92">
        <f t="shared" si="11"/>
        <v>1310.7959595959596</v>
      </c>
      <c r="Y9" s="78">
        <f>G18</f>
        <v>0.3</v>
      </c>
      <c r="Z9" s="26">
        <f t="shared" si="12"/>
        <v>1704.0347474747475</v>
      </c>
      <c r="AA9" s="78">
        <f t="shared" si="3"/>
        <v>6.8161389898989899E-2</v>
      </c>
      <c r="AB9" s="30">
        <v>75</v>
      </c>
      <c r="AC9" s="31">
        <f t="shared" si="13"/>
        <v>0.15087965454545454</v>
      </c>
      <c r="AD9" s="31">
        <f t="shared" si="14"/>
        <v>0.11928243232323232</v>
      </c>
    </row>
    <row r="10" spans="1:30" ht="14.4" x14ac:dyDescent="0.3">
      <c r="A10" s="15">
        <v>30</v>
      </c>
      <c r="B10" s="7" t="s">
        <v>8</v>
      </c>
      <c r="C10" s="22" t="s">
        <v>19</v>
      </c>
      <c r="D10" s="23">
        <v>35000</v>
      </c>
      <c r="E10" s="24">
        <v>0.05</v>
      </c>
      <c r="F10" s="25">
        <v>8</v>
      </c>
      <c r="G10" s="26">
        <f t="shared" si="4"/>
        <v>8.4</v>
      </c>
      <c r="H10" s="27">
        <f t="shared" si="5"/>
        <v>294</v>
      </c>
      <c r="I10" s="27">
        <f>C26</f>
        <v>2.52</v>
      </c>
      <c r="J10" s="89">
        <f t="shared" si="6"/>
        <v>740.88</v>
      </c>
      <c r="K10" s="84">
        <f>E36</f>
        <v>1.1438383838383839E-3</v>
      </c>
      <c r="L10" s="28">
        <f t="shared" si="0"/>
        <v>40.034343434343434</v>
      </c>
      <c r="M10" s="29">
        <f>A18*B18</f>
        <v>128</v>
      </c>
      <c r="N10" s="29">
        <f>C18</f>
        <v>450</v>
      </c>
      <c r="O10" s="29">
        <f>E18+F18*D18</f>
        <v>17.5</v>
      </c>
      <c r="P10" s="29">
        <f t="shared" si="1"/>
        <v>77.777777777777771</v>
      </c>
      <c r="Q10" s="28">
        <f t="shared" si="7"/>
        <v>1361.1111111111111</v>
      </c>
      <c r="R10" s="26">
        <f t="shared" si="8"/>
        <v>2270.0254545454545</v>
      </c>
      <c r="S10" s="26">
        <f>G18</f>
        <v>0.3</v>
      </c>
      <c r="T10" s="26">
        <f t="shared" si="9"/>
        <v>2951.0330909090908</v>
      </c>
      <c r="U10" s="27">
        <f t="shared" si="2"/>
        <v>8.4315231168831162E-2</v>
      </c>
      <c r="V10" s="78">
        <f>E19+F19*D19</f>
        <v>11.25</v>
      </c>
      <c r="W10" s="78">
        <f t="shared" si="10"/>
        <v>874.99999999999989</v>
      </c>
      <c r="X10" s="92">
        <f t="shared" si="11"/>
        <v>1783.9143434343432</v>
      </c>
      <c r="Y10" s="78">
        <f>G18</f>
        <v>0.3</v>
      </c>
      <c r="Z10" s="26">
        <f t="shared" si="12"/>
        <v>2319.088646464646</v>
      </c>
      <c r="AA10" s="78">
        <f t="shared" si="3"/>
        <v>6.6259675613275601E-2</v>
      </c>
      <c r="AB10" s="30">
        <v>75</v>
      </c>
      <c r="AC10" s="31">
        <f t="shared" si="13"/>
        <v>0.14755165454545455</v>
      </c>
      <c r="AD10" s="31">
        <f t="shared" si="14"/>
        <v>0.1159544323232323</v>
      </c>
    </row>
    <row r="11" spans="1:30" ht="14.4" x14ac:dyDescent="0.3">
      <c r="A11" s="15">
        <v>30</v>
      </c>
      <c r="B11" s="7" t="s">
        <v>9</v>
      </c>
      <c r="C11" s="22" t="s">
        <v>20</v>
      </c>
      <c r="D11" s="23">
        <v>45000</v>
      </c>
      <c r="E11" s="24">
        <v>0.05</v>
      </c>
      <c r="F11" s="25">
        <v>8</v>
      </c>
      <c r="G11" s="26">
        <f t="shared" si="4"/>
        <v>8.4</v>
      </c>
      <c r="H11" s="27">
        <f t="shared" si="5"/>
        <v>378</v>
      </c>
      <c r="I11" s="27">
        <f>C26</f>
        <v>2.52</v>
      </c>
      <c r="J11" s="89">
        <f t="shared" si="6"/>
        <v>952.56000000000006</v>
      </c>
      <c r="K11" s="84">
        <f>E36</f>
        <v>1.1438383838383839E-3</v>
      </c>
      <c r="L11" s="28">
        <f t="shared" si="0"/>
        <v>51.472727272727276</v>
      </c>
      <c r="M11" s="29">
        <f>A18*B18</f>
        <v>128</v>
      </c>
      <c r="N11" s="29">
        <f>C18</f>
        <v>450</v>
      </c>
      <c r="O11" s="29">
        <f>E18+F18*D18</f>
        <v>17.5</v>
      </c>
      <c r="P11" s="29">
        <f t="shared" si="1"/>
        <v>100</v>
      </c>
      <c r="Q11" s="28">
        <f t="shared" si="7"/>
        <v>1750</v>
      </c>
      <c r="R11" s="26">
        <f t="shared" si="8"/>
        <v>2882.0327272727272</v>
      </c>
      <c r="S11" s="26">
        <f>G18</f>
        <v>0.3</v>
      </c>
      <c r="T11" s="26">
        <f t="shared" si="9"/>
        <v>3746.6425454545451</v>
      </c>
      <c r="U11" s="27">
        <f t="shared" si="2"/>
        <v>8.3258723232323223E-2</v>
      </c>
      <c r="V11" s="78">
        <f>E19+F19*D19</f>
        <v>11.25</v>
      </c>
      <c r="W11" s="78">
        <f t="shared" si="10"/>
        <v>1125</v>
      </c>
      <c r="X11" s="92">
        <f t="shared" si="11"/>
        <v>2257.0327272727272</v>
      </c>
      <c r="Y11" s="78">
        <f>G18</f>
        <v>0.3</v>
      </c>
      <c r="Z11" s="26">
        <f t="shared" si="12"/>
        <v>2934.1425454545451</v>
      </c>
      <c r="AA11" s="78">
        <f t="shared" si="3"/>
        <v>6.5203167676767676E-2</v>
      </c>
      <c r="AB11" s="30">
        <v>70</v>
      </c>
      <c r="AC11" s="31">
        <f t="shared" si="13"/>
        <v>0.14153982949494948</v>
      </c>
      <c r="AD11" s="31">
        <f t="shared" si="14"/>
        <v>0.11084538505050505</v>
      </c>
    </row>
    <row r="12" spans="1:30" ht="14.4" x14ac:dyDescent="0.3">
      <c r="A12" s="15">
        <v>30</v>
      </c>
      <c r="B12" s="7" t="s">
        <v>10</v>
      </c>
      <c r="C12" s="22" t="s">
        <v>21</v>
      </c>
      <c r="D12" s="23">
        <v>75000</v>
      </c>
      <c r="E12" s="24">
        <v>0.05</v>
      </c>
      <c r="F12" s="25">
        <v>8</v>
      </c>
      <c r="G12" s="26">
        <f t="shared" si="4"/>
        <v>8.4</v>
      </c>
      <c r="H12" s="27">
        <f t="shared" si="5"/>
        <v>630</v>
      </c>
      <c r="I12" s="27">
        <f>C26</f>
        <v>2.52</v>
      </c>
      <c r="J12" s="89">
        <f t="shared" si="6"/>
        <v>1587.6</v>
      </c>
      <c r="K12" s="84">
        <f>E36</f>
        <v>1.1438383838383839E-3</v>
      </c>
      <c r="L12" s="28">
        <f t="shared" si="0"/>
        <v>85.787878787878796</v>
      </c>
      <c r="M12" s="29">
        <f>A18*B18</f>
        <v>128</v>
      </c>
      <c r="N12" s="29">
        <f>C18</f>
        <v>450</v>
      </c>
      <c r="O12" s="29">
        <f>E18+F18*D18</f>
        <v>17.5</v>
      </c>
      <c r="P12" s="29">
        <f t="shared" si="1"/>
        <v>166.66666666666666</v>
      </c>
      <c r="Q12" s="28">
        <f>O12*P12</f>
        <v>2916.6666666666665</v>
      </c>
      <c r="R12" s="26">
        <f t="shared" si="8"/>
        <v>4718.0545454545454</v>
      </c>
      <c r="S12" s="26">
        <f>G18</f>
        <v>0.3</v>
      </c>
      <c r="T12" s="26">
        <f t="shared" si="9"/>
        <v>6133.4709090909091</v>
      </c>
      <c r="U12" s="27">
        <f t="shared" si="2"/>
        <v>8.1779612121212125E-2</v>
      </c>
      <c r="V12" s="78">
        <f>E19+F19*D19</f>
        <v>11.25</v>
      </c>
      <c r="W12" s="78">
        <f t="shared" si="10"/>
        <v>1875</v>
      </c>
      <c r="X12" s="92">
        <f t="shared" si="11"/>
        <v>3676.3878787878789</v>
      </c>
      <c r="Y12" s="78">
        <f>G18</f>
        <v>0.3</v>
      </c>
      <c r="Z12" s="26">
        <f t="shared" si="12"/>
        <v>4779.3042424242431</v>
      </c>
      <c r="AA12" s="78">
        <f t="shared" si="3"/>
        <v>6.3724056565656578E-2</v>
      </c>
      <c r="AB12" s="30">
        <v>70</v>
      </c>
      <c r="AC12" s="31">
        <f t="shared" si="13"/>
        <v>0.13902534060606062</v>
      </c>
      <c r="AD12" s="31">
        <f t="shared" si="14"/>
        <v>0.10833089616161617</v>
      </c>
    </row>
    <row r="13" spans="1:30" ht="14.4" x14ac:dyDescent="0.3">
      <c r="A13" s="15">
        <v>30</v>
      </c>
      <c r="B13" s="7" t="s">
        <v>11</v>
      </c>
      <c r="C13" s="22" t="s">
        <v>22</v>
      </c>
      <c r="D13" s="23">
        <v>125000</v>
      </c>
      <c r="E13" s="24">
        <v>0.03</v>
      </c>
      <c r="F13" s="25">
        <v>8</v>
      </c>
      <c r="G13" s="26">
        <f t="shared" si="4"/>
        <v>8.24</v>
      </c>
      <c r="H13" s="27">
        <f t="shared" si="5"/>
        <v>1030</v>
      </c>
      <c r="I13" s="27">
        <f>C26</f>
        <v>2.52</v>
      </c>
      <c r="J13" s="89">
        <f t="shared" si="6"/>
        <v>2595.6</v>
      </c>
      <c r="K13" s="84">
        <f>E36</f>
        <v>1.1438383838383839E-3</v>
      </c>
      <c r="L13" s="28">
        <f t="shared" si="0"/>
        <v>142.97979797979798</v>
      </c>
      <c r="M13" s="29">
        <f>A18*B18</f>
        <v>128</v>
      </c>
      <c r="N13" s="29">
        <f>C18</f>
        <v>450</v>
      </c>
      <c r="O13" s="29">
        <f>E18+F18*D18</f>
        <v>17.5</v>
      </c>
      <c r="P13" s="29">
        <f t="shared" si="1"/>
        <v>277.77777777777777</v>
      </c>
      <c r="Q13" s="28">
        <f t="shared" si="7"/>
        <v>4861.1111111111113</v>
      </c>
      <c r="R13" s="26">
        <f t="shared" si="8"/>
        <v>7727.6909090909085</v>
      </c>
      <c r="S13" s="26">
        <f>G18</f>
        <v>0.3</v>
      </c>
      <c r="T13" s="26">
        <f t="shared" si="9"/>
        <v>10045.99818181818</v>
      </c>
      <c r="U13" s="27">
        <f t="shared" si="2"/>
        <v>8.0367985454545446E-2</v>
      </c>
      <c r="V13" s="78">
        <f>E19+F19*D19</f>
        <v>11.25</v>
      </c>
      <c r="W13" s="78">
        <f t="shared" si="10"/>
        <v>3125</v>
      </c>
      <c r="X13" s="92">
        <f t="shared" si="11"/>
        <v>5991.5797979797981</v>
      </c>
      <c r="Y13" s="78">
        <f>G18</f>
        <v>0.3</v>
      </c>
      <c r="Z13" s="26">
        <f t="shared" si="12"/>
        <v>7789.053737373737</v>
      </c>
      <c r="AA13" s="78">
        <f t="shared" si="3"/>
        <v>6.2312429898989899E-2</v>
      </c>
      <c r="AB13" s="30">
        <v>65</v>
      </c>
      <c r="AC13" s="31">
        <f t="shared" si="13"/>
        <v>0.13260717599999999</v>
      </c>
      <c r="AD13" s="31">
        <f t="shared" si="14"/>
        <v>0.10281550933333333</v>
      </c>
    </row>
    <row r="14" spans="1:30" ht="15" thickBot="1" x14ac:dyDescent="0.35">
      <c r="A14" s="15">
        <v>30</v>
      </c>
      <c r="B14" s="7" t="s">
        <v>12</v>
      </c>
      <c r="C14" s="22" t="s">
        <v>23</v>
      </c>
      <c r="D14" s="23">
        <v>200000</v>
      </c>
      <c r="E14" s="24">
        <v>0.03</v>
      </c>
      <c r="F14" s="25">
        <v>8</v>
      </c>
      <c r="G14" s="26">
        <f t="shared" si="4"/>
        <v>8.24</v>
      </c>
      <c r="H14" s="27">
        <f t="shared" si="5"/>
        <v>1648</v>
      </c>
      <c r="I14" s="27">
        <f>C26</f>
        <v>2.52</v>
      </c>
      <c r="J14" s="89">
        <f t="shared" si="6"/>
        <v>4152.96</v>
      </c>
      <c r="K14" s="84">
        <f>E36</f>
        <v>1.1438383838383839E-3</v>
      </c>
      <c r="L14" s="28">
        <f t="shared" si="0"/>
        <v>228.76767676767679</v>
      </c>
      <c r="M14" s="29">
        <f>A18*B18</f>
        <v>128</v>
      </c>
      <c r="N14" s="29">
        <f>C18</f>
        <v>450</v>
      </c>
      <c r="O14" s="29">
        <f>E18+F18*D18</f>
        <v>17.5</v>
      </c>
      <c r="P14" s="29">
        <f t="shared" si="1"/>
        <v>444.44444444444446</v>
      </c>
      <c r="Q14" s="28">
        <f t="shared" si="7"/>
        <v>7777.7777777777783</v>
      </c>
      <c r="R14" s="26">
        <f t="shared" si="8"/>
        <v>12287.505454545455</v>
      </c>
      <c r="S14" s="26">
        <f>G18</f>
        <v>0.3</v>
      </c>
      <c r="T14" s="26">
        <f t="shared" si="9"/>
        <v>15973.757090909092</v>
      </c>
      <c r="U14" s="27">
        <f t="shared" si="2"/>
        <v>7.9868785454545455E-2</v>
      </c>
      <c r="V14" s="78">
        <f>E19+F19*D19</f>
        <v>11.25</v>
      </c>
      <c r="W14" s="78">
        <f t="shared" si="10"/>
        <v>5000</v>
      </c>
      <c r="X14" s="92">
        <f t="shared" si="11"/>
        <v>9509.7276767676776</v>
      </c>
      <c r="Y14" s="78">
        <f>G18</f>
        <v>0.3</v>
      </c>
      <c r="Z14" s="26">
        <f t="shared" si="12"/>
        <v>12362.645979797981</v>
      </c>
      <c r="AA14" s="78">
        <f t="shared" si="3"/>
        <v>6.1813229898989901E-2</v>
      </c>
      <c r="AB14" s="30">
        <v>60</v>
      </c>
      <c r="AC14" s="32">
        <f t="shared" si="13"/>
        <v>0.12779005672727273</v>
      </c>
      <c r="AD14" s="32">
        <f t="shared" si="14"/>
        <v>9.8901167838383847E-2</v>
      </c>
    </row>
    <row r="15" spans="1:30" ht="14.4" thickBot="1" x14ac:dyDescent="0.35"/>
    <row r="16" spans="1:30" x14ac:dyDescent="0.3">
      <c r="A16" s="33" t="s">
        <v>27</v>
      </c>
      <c r="B16" s="34"/>
      <c r="C16" s="34"/>
      <c r="D16" s="34"/>
      <c r="E16" s="34"/>
      <c r="F16" s="34"/>
      <c r="G16" s="35"/>
      <c r="AC16" s="80"/>
    </row>
    <row r="17" spans="1:12" x14ac:dyDescent="0.3">
      <c r="A17" s="36" t="s">
        <v>28</v>
      </c>
      <c r="B17" s="37" t="s">
        <v>29</v>
      </c>
      <c r="C17" s="37" t="s">
        <v>30</v>
      </c>
      <c r="D17" s="37" t="s">
        <v>31</v>
      </c>
      <c r="E17" s="37" t="s">
        <v>32</v>
      </c>
      <c r="F17" s="37" t="s">
        <v>33</v>
      </c>
      <c r="G17" s="38" t="s">
        <v>34</v>
      </c>
      <c r="J17" s="39"/>
      <c r="K17" s="85"/>
      <c r="L17" s="14" t="s">
        <v>59</v>
      </c>
    </row>
    <row r="18" spans="1:12" ht="14.4" thickBot="1" x14ac:dyDescent="0.35">
      <c r="A18" s="40">
        <v>4</v>
      </c>
      <c r="B18" s="41">
        <v>32</v>
      </c>
      <c r="C18" s="41">
        <v>450</v>
      </c>
      <c r="D18" s="41">
        <v>0.5</v>
      </c>
      <c r="E18" s="41">
        <v>5</v>
      </c>
      <c r="F18" s="42">
        <v>25</v>
      </c>
      <c r="G18" s="43">
        <v>0.3</v>
      </c>
    </row>
    <row r="19" spans="1:12" ht="14.4" thickBot="1" x14ac:dyDescent="0.35">
      <c r="A19" s="40">
        <v>4</v>
      </c>
      <c r="B19" s="41">
        <v>32</v>
      </c>
      <c r="C19" s="41">
        <v>450</v>
      </c>
      <c r="D19" s="41">
        <v>0.25</v>
      </c>
      <c r="E19" s="41">
        <v>5</v>
      </c>
      <c r="F19" s="42">
        <v>25</v>
      </c>
      <c r="G19" s="43">
        <v>0.3</v>
      </c>
    </row>
    <row r="20" spans="1:12" ht="14.4" thickBot="1" x14ac:dyDescent="0.35">
      <c r="J20" s="44"/>
      <c r="K20" s="86"/>
      <c r="L20" s="14" t="s">
        <v>60</v>
      </c>
    </row>
    <row r="21" spans="1:12" x14ac:dyDescent="0.3">
      <c r="A21" s="45" t="s">
        <v>35</v>
      </c>
      <c r="B21" s="46"/>
      <c r="C21" s="46" t="s">
        <v>36</v>
      </c>
      <c r="D21" s="47" t="s">
        <v>37</v>
      </c>
    </row>
    <row r="22" spans="1:12" x14ac:dyDescent="0.3">
      <c r="A22" s="48" t="s">
        <v>40</v>
      </c>
      <c r="B22" s="49">
        <v>2</v>
      </c>
      <c r="C22" s="50">
        <v>96</v>
      </c>
      <c r="D22" s="51"/>
    </row>
    <row r="23" spans="1:12" x14ac:dyDescent="0.3">
      <c r="A23" s="48" t="s">
        <v>40</v>
      </c>
      <c r="B23" s="49">
        <v>15</v>
      </c>
      <c r="C23" s="50">
        <v>4</v>
      </c>
      <c r="D23" s="51"/>
    </row>
    <row r="24" spans="1:12" x14ac:dyDescent="0.3">
      <c r="A24" s="48" t="s">
        <v>40</v>
      </c>
      <c r="B24" s="49">
        <v>0</v>
      </c>
      <c r="C24" s="50"/>
      <c r="D24" s="51"/>
    </row>
    <row r="25" spans="1:12" ht="14.4" thickBot="1" x14ac:dyDescent="0.35">
      <c r="A25" s="48" t="s">
        <v>44</v>
      </c>
      <c r="B25" s="49">
        <v>0</v>
      </c>
      <c r="C25" s="50"/>
      <c r="D25" s="51"/>
    </row>
    <row r="26" spans="1:12" ht="14.4" thickBot="1" x14ac:dyDescent="0.35">
      <c r="A26" s="52" t="s">
        <v>45</v>
      </c>
      <c r="B26" s="53">
        <f>SUM(B22:B25)</f>
        <v>17</v>
      </c>
      <c r="C26" s="54">
        <f>(B22*C22/100)+(B23*C23/100)+(B24*C24/100)+(B25*C25/100)</f>
        <v>2.52</v>
      </c>
      <c r="D26" s="55" t="s">
        <v>62</v>
      </c>
    </row>
    <row r="27" spans="1:12" ht="14.4" thickBot="1" x14ac:dyDescent="0.35"/>
    <row r="28" spans="1:12" x14ac:dyDescent="0.3">
      <c r="A28" s="56" t="s">
        <v>38</v>
      </c>
      <c r="B28" s="57"/>
      <c r="C28" s="58"/>
      <c r="D28" s="59" t="s">
        <v>39</v>
      </c>
      <c r="E28" s="60" t="s">
        <v>97</v>
      </c>
    </row>
    <row r="29" spans="1:12" x14ac:dyDescent="0.3">
      <c r="A29" s="61" t="s">
        <v>42</v>
      </c>
      <c r="B29" s="62">
        <v>1100</v>
      </c>
      <c r="C29" s="63"/>
      <c r="D29" s="64"/>
      <c r="E29" s="65"/>
    </row>
    <row r="30" spans="1:12" x14ac:dyDescent="0.3">
      <c r="A30" s="61" t="s">
        <v>86</v>
      </c>
      <c r="B30" s="62">
        <v>9</v>
      </c>
      <c r="C30" s="63" t="s">
        <v>41</v>
      </c>
      <c r="D30" s="66">
        <v>0.68100000000000005</v>
      </c>
      <c r="E30" s="65">
        <f>D30*B30</f>
        <v>6.1290000000000004</v>
      </c>
    </row>
    <row r="31" spans="1:12" x14ac:dyDescent="0.3">
      <c r="A31" s="61" t="s">
        <v>87</v>
      </c>
      <c r="B31" s="62">
        <f>B30*B29</f>
        <v>9900</v>
      </c>
      <c r="C31" s="67"/>
      <c r="D31" s="68"/>
      <c r="E31" s="65"/>
    </row>
    <row r="32" spans="1:12" x14ac:dyDescent="0.3">
      <c r="A32" s="61" t="s">
        <v>88</v>
      </c>
      <c r="B32" s="62">
        <v>9</v>
      </c>
      <c r="C32" s="63" t="s">
        <v>43</v>
      </c>
      <c r="D32" s="69">
        <v>0.13800000000000001</v>
      </c>
      <c r="E32" s="65">
        <f>D32*B32</f>
        <v>1.242</v>
      </c>
    </row>
    <row r="33" spans="1:5" x14ac:dyDescent="0.3">
      <c r="A33" s="61" t="s">
        <v>46</v>
      </c>
      <c r="B33" s="62">
        <f>B32*5</f>
        <v>45</v>
      </c>
      <c r="C33" s="63" t="s">
        <v>47</v>
      </c>
      <c r="D33" s="66">
        <v>4.3400000000000001E-2</v>
      </c>
      <c r="E33" s="65">
        <f>D33*B33</f>
        <v>1.9530000000000001</v>
      </c>
    </row>
    <row r="34" spans="1:5" ht="14.4" thickBot="1" x14ac:dyDescent="0.35">
      <c r="A34" s="70" t="s">
        <v>48</v>
      </c>
      <c r="B34" s="71" t="s">
        <v>49</v>
      </c>
      <c r="C34" s="72" t="s">
        <v>50</v>
      </c>
      <c r="D34" s="73">
        <v>2</v>
      </c>
      <c r="E34" s="74">
        <f>D34</f>
        <v>2</v>
      </c>
    </row>
    <row r="35" spans="1:5" ht="14.4" thickBot="1" x14ac:dyDescent="0.35">
      <c r="E35" s="75">
        <f>SUM(E29:E34)</f>
        <v>11.324</v>
      </c>
    </row>
    <row r="36" spans="1:5" ht="14.4" thickBot="1" x14ac:dyDescent="0.35">
      <c r="D36" s="76" t="s">
        <v>98</v>
      </c>
      <c r="E36" s="77">
        <f>E35/B31</f>
        <v>1.1438383838383839E-3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E822E-1765-407C-A1FA-37598DF3F7D0}">
  <dimension ref="A2:AD36"/>
  <sheetViews>
    <sheetView topLeftCell="P1" workbookViewId="0">
      <selection activeCell="AA11" sqref="AA11"/>
    </sheetView>
  </sheetViews>
  <sheetFormatPr defaultColWidth="9.109375" defaultRowHeight="13.8" x14ac:dyDescent="0.3"/>
  <cols>
    <col min="1" max="1" width="28.6640625" style="14" bestFit="1" customWidth="1"/>
    <col min="2" max="2" width="10.109375" style="14" bestFit="1" customWidth="1"/>
    <col min="3" max="3" width="21" style="14" bestFit="1" customWidth="1"/>
    <col min="4" max="4" width="12.44140625" style="14" bestFit="1" customWidth="1"/>
    <col min="5" max="5" width="21" style="14" bestFit="1" customWidth="1"/>
    <col min="6" max="6" width="14.88671875" style="14" bestFit="1" customWidth="1"/>
    <col min="7" max="7" width="23.5546875" style="14" bestFit="1" customWidth="1"/>
    <col min="8" max="8" width="18.6640625" style="14" customWidth="1"/>
    <col min="9" max="9" width="0.109375" style="14" customWidth="1"/>
    <col min="10" max="10" width="9.5546875" style="14" bestFit="1" customWidth="1"/>
    <col min="11" max="11" width="15.33203125" style="82" customWidth="1"/>
    <col min="12" max="12" width="17.5546875" style="14" bestFit="1" customWidth="1"/>
    <col min="13" max="13" width="19.33203125" style="14" customWidth="1"/>
    <col min="14" max="14" width="9.109375" style="14" customWidth="1"/>
    <col min="15" max="15" width="22.88671875" style="14" customWidth="1"/>
    <col min="16" max="16" width="11.88671875" style="14" customWidth="1"/>
    <col min="17" max="17" width="23.5546875" style="14" bestFit="1" customWidth="1"/>
    <col min="18" max="18" width="24.33203125" style="14" customWidth="1"/>
    <col min="19" max="19" width="11" style="14" customWidth="1"/>
    <col min="20" max="20" width="35.5546875" style="14" bestFit="1" customWidth="1"/>
    <col min="21" max="21" width="14.6640625" style="14" bestFit="1" customWidth="1"/>
    <col min="22" max="27" width="14.6640625" style="14" customWidth="1"/>
    <col min="28" max="28" width="16.5546875" style="14" bestFit="1" customWidth="1"/>
    <col min="29" max="29" width="17.44140625" style="14" bestFit="1" customWidth="1"/>
    <col min="30" max="30" width="11.88671875" style="14" bestFit="1" customWidth="1"/>
    <col min="31" max="16384" width="9.109375" style="14"/>
  </cols>
  <sheetData>
    <row r="2" spans="1:30" ht="14.4" thickBot="1" x14ac:dyDescent="0.35"/>
    <row r="3" spans="1:30" ht="74.25" customHeight="1" thickBot="1" x14ac:dyDescent="0.35">
      <c r="A3" s="15" t="s">
        <v>57</v>
      </c>
      <c r="B3" s="15" t="s">
        <v>24</v>
      </c>
      <c r="C3" s="15" t="s">
        <v>25</v>
      </c>
      <c r="D3" s="15" t="s">
        <v>26</v>
      </c>
      <c r="E3" s="15" t="s">
        <v>55</v>
      </c>
      <c r="F3" s="15" t="s">
        <v>58</v>
      </c>
      <c r="G3" s="16" t="s">
        <v>51</v>
      </c>
      <c r="H3" s="17" t="s">
        <v>52</v>
      </c>
      <c r="I3" s="17" t="s">
        <v>61</v>
      </c>
      <c r="J3" s="90" t="s">
        <v>53</v>
      </c>
      <c r="K3" s="83" t="s">
        <v>99</v>
      </c>
      <c r="L3" s="18" t="s">
        <v>96</v>
      </c>
      <c r="M3" s="19" t="s">
        <v>54</v>
      </c>
      <c r="N3" s="19" t="s">
        <v>100</v>
      </c>
      <c r="O3" s="19" t="s">
        <v>108</v>
      </c>
      <c r="P3" s="19" t="s">
        <v>101</v>
      </c>
      <c r="Q3" s="91" t="s">
        <v>116</v>
      </c>
      <c r="R3" s="87" t="s">
        <v>107</v>
      </c>
      <c r="S3" s="88" t="s">
        <v>102</v>
      </c>
      <c r="T3" s="87" t="s">
        <v>104</v>
      </c>
      <c r="U3" s="87" t="s">
        <v>105</v>
      </c>
      <c r="V3" s="19" t="s">
        <v>109</v>
      </c>
      <c r="W3" s="20" t="s">
        <v>110</v>
      </c>
      <c r="X3" s="20"/>
      <c r="Y3" s="20"/>
      <c r="Z3" s="20" t="s">
        <v>111</v>
      </c>
      <c r="AA3" s="20" t="s">
        <v>112</v>
      </c>
      <c r="AB3" s="20" t="s">
        <v>103</v>
      </c>
      <c r="AC3" s="79" t="s">
        <v>106</v>
      </c>
      <c r="AD3" s="21" t="s">
        <v>113</v>
      </c>
    </row>
    <row r="4" spans="1:30" ht="14.4" x14ac:dyDescent="0.3">
      <c r="A4" s="15">
        <v>30</v>
      </c>
      <c r="B4" s="7" t="s">
        <v>2</v>
      </c>
      <c r="C4" s="22" t="s">
        <v>13</v>
      </c>
      <c r="D4" s="23">
        <v>2000</v>
      </c>
      <c r="E4" s="24">
        <v>0.1</v>
      </c>
      <c r="F4" s="25">
        <v>8</v>
      </c>
      <c r="G4" s="26">
        <f>F4+F4*E4</f>
        <v>8.8000000000000007</v>
      </c>
      <c r="H4" s="27">
        <f>(G4*D4)/1000</f>
        <v>17.600000000000001</v>
      </c>
      <c r="I4" s="27">
        <f>C26</f>
        <v>1.5999999999999999</v>
      </c>
      <c r="J4" s="89">
        <f>H4*I4</f>
        <v>28.16</v>
      </c>
      <c r="K4" s="84">
        <f>E36</f>
        <v>1.1438383838383839E-3</v>
      </c>
      <c r="L4" s="28">
        <f t="shared" ref="L4:L14" si="0">K4*D4</f>
        <v>2.2876767676767678</v>
      </c>
      <c r="M4" s="29">
        <f>A18*B18</f>
        <v>128</v>
      </c>
      <c r="N4" s="29">
        <f>C18</f>
        <v>450</v>
      </c>
      <c r="O4" s="29">
        <f>E18+F18*D18</f>
        <v>17.5</v>
      </c>
      <c r="P4" s="29">
        <f t="shared" ref="P4:P14" si="1">D4/N4</f>
        <v>4.4444444444444446</v>
      </c>
      <c r="Q4" s="28">
        <f>O4*P4</f>
        <v>77.777777777777786</v>
      </c>
      <c r="R4" s="26">
        <f>Q4+L4+J4+M4</f>
        <v>236.22545454545457</v>
      </c>
      <c r="S4" s="26">
        <f>G18</f>
        <v>0.3</v>
      </c>
      <c r="T4" s="26">
        <f>R4+R4*S4</f>
        <v>307.09309090909096</v>
      </c>
      <c r="U4" s="27">
        <f t="shared" ref="U4:U14" si="2">T4/D4</f>
        <v>0.15354654545454549</v>
      </c>
      <c r="V4" s="78">
        <f>E19+F19*D19</f>
        <v>11.25</v>
      </c>
      <c r="W4" s="78">
        <f>V4*P4</f>
        <v>50</v>
      </c>
      <c r="X4" s="92">
        <f>W4+M4+L4+J4</f>
        <v>208.44767676767677</v>
      </c>
      <c r="Y4" s="78">
        <f>G18</f>
        <v>0.3</v>
      </c>
      <c r="Z4" s="26">
        <f>X4+X4*Y4</f>
        <v>270.98197979797982</v>
      </c>
      <c r="AA4" s="78">
        <f t="shared" ref="AA4:AA14" si="3">Z4/D4</f>
        <v>0.13549098989898992</v>
      </c>
      <c r="AB4" s="30">
        <v>180</v>
      </c>
      <c r="AC4" s="81">
        <f>U4*2+(U4*2*80/100)</f>
        <v>0.55276756363636381</v>
      </c>
      <c r="AD4" s="81">
        <f>AA4*2+(AA4*2*80/100)</f>
        <v>0.4877675636363637</v>
      </c>
    </row>
    <row r="5" spans="1:30" ht="14.4" x14ac:dyDescent="0.3">
      <c r="A5" s="15">
        <v>30</v>
      </c>
      <c r="B5" s="7" t="s">
        <v>3</v>
      </c>
      <c r="C5" s="22" t="s">
        <v>14</v>
      </c>
      <c r="D5" s="23">
        <v>4000</v>
      </c>
      <c r="E5" s="24">
        <v>0.1</v>
      </c>
      <c r="F5" s="25">
        <v>8</v>
      </c>
      <c r="G5" s="26">
        <f t="shared" ref="G5:G14" si="4">F5+F5*E5</f>
        <v>8.8000000000000007</v>
      </c>
      <c r="H5" s="27">
        <f t="shared" ref="H5:H14" si="5">(G5*D5)/1000</f>
        <v>35.200000000000003</v>
      </c>
      <c r="I5" s="27">
        <f>C26</f>
        <v>1.5999999999999999</v>
      </c>
      <c r="J5" s="89">
        <f t="shared" ref="J5:J14" si="6">H5*I5</f>
        <v>56.32</v>
      </c>
      <c r="K5" s="84">
        <f>E36</f>
        <v>1.1438383838383839E-3</v>
      </c>
      <c r="L5" s="28">
        <f t="shared" si="0"/>
        <v>4.5753535353535355</v>
      </c>
      <c r="M5" s="29">
        <f>A18*B18</f>
        <v>128</v>
      </c>
      <c r="N5" s="29">
        <f>C18</f>
        <v>450</v>
      </c>
      <c r="O5" s="29">
        <f>E18+F18*D18</f>
        <v>17.5</v>
      </c>
      <c r="P5" s="29">
        <f t="shared" si="1"/>
        <v>8.8888888888888893</v>
      </c>
      <c r="Q5" s="28">
        <f t="shared" ref="Q5:Q14" si="7">O5*P5</f>
        <v>155.55555555555557</v>
      </c>
      <c r="R5" s="26">
        <f t="shared" ref="R5:R14" si="8">Q5+L5+J5+M5</f>
        <v>344.45090909090914</v>
      </c>
      <c r="S5" s="26">
        <f>G18</f>
        <v>0.3</v>
      </c>
      <c r="T5" s="26">
        <f t="shared" ref="T5:T14" si="9">R5+R5*S5</f>
        <v>447.78618181818189</v>
      </c>
      <c r="U5" s="27">
        <f t="shared" si="2"/>
        <v>0.11194654545454547</v>
      </c>
      <c r="V5" s="78">
        <f>E19+F19*D19</f>
        <v>11.25</v>
      </c>
      <c r="W5" s="78">
        <f t="shared" ref="W5:W14" si="10">V5*P5</f>
        <v>100</v>
      </c>
      <c r="X5" s="92">
        <f t="shared" ref="X5:X14" si="11">W5+M5+L5+J5</f>
        <v>288.89535353535354</v>
      </c>
      <c r="Y5" s="78">
        <f>G18</f>
        <v>0.3</v>
      </c>
      <c r="Z5" s="26">
        <f t="shared" ref="Z5:Z14" si="12">X5+X5*Y5</f>
        <v>375.5639595959596</v>
      </c>
      <c r="AA5" s="78">
        <f t="shared" si="3"/>
        <v>9.3890989898989904E-2</v>
      </c>
      <c r="AB5" s="30">
        <v>160</v>
      </c>
      <c r="AC5" s="31">
        <f>U5*2+(U5*2*80/100)</f>
        <v>0.4030075636363637</v>
      </c>
      <c r="AD5" s="31">
        <f>AA5*2+(AA5*2*80/100)</f>
        <v>0.33800756363636364</v>
      </c>
    </row>
    <row r="6" spans="1:30" ht="14.4" x14ac:dyDescent="0.3">
      <c r="A6" s="15">
        <v>30</v>
      </c>
      <c r="B6" s="7" t="s">
        <v>4</v>
      </c>
      <c r="C6" s="22" t="s">
        <v>15</v>
      </c>
      <c r="D6" s="23">
        <v>7500</v>
      </c>
      <c r="E6" s="24">
        <v>7.0000000000000007E-2</v>
      </c>
      <c r="F6" s="25">
        <v>8</v>
      </c>
      <c r="G6" s="26">
        <f t="shared" si="4"/>
        <v>8.56</v>
      </c>
      <c r="H6" s="27">
        <f t="shared" si="5"/>
        <v>64.2</v>
      </c>
      <c r="I6" s="27">
        <f>C26</f>
        <v>1.5999999999999999</v>
      </c>
      <c r="J6" s="89">
        <f t="shared" si="6"/>
        <v>102.72</v>
      </c>
      <c r="K6" s="84">
        <f>E36</f>
        <v>1.1438383838383839E-3</v>
      </c>
      <c r="L6" s="28">
        <f t="shared" si="0"/>
        <v>8.57878787878788</v>
      </c>
      <c r="M6" s="29">
        <f>A18*B18</f>
        <v>128</v>
      </c>
      <c r="N6" s="29">
        <f>C18</f>
        <v>450</v>
      </c>
      <c r="O6" s="29">
        <f>E18+F18*D18</f>
        <v>17.5</v>
      </c>
      <c r="P6" s="29">
        <f t="shared" si="1"/>
        <v>16.666666666666668</v>
      </c>
      <c r="Q6" s="28">
        <f t="shared" si="7"/>
        <v>291.66666666666669</v>
      </c>
      <c r="R6" s="26">
        <f t="shared" si="8"/>
        <v>530.96545454545458</v>
      </c>
      <c r="S6" s="26">
        <f>G18</f>
        <v>0.3</v>
      </c>
      <c r="T6" s="26">
        <f t="shared" si="9"/>
        <v>690.255090909091</v>
      </c>
      <c r="U6" s="27">
        <f t="shared" si="2"/>
        <v>9.2034012121212136E-2</v>
      </c>
      <c r="V6" s="78">
        <f>E19+F19*D19</f>
        <v>11.25</v>
      </c>
      <c r="W6" s="78">
        <f t="shared" si="10"/>
        <v>187.5</v>
      </c>
      <c r="X6" s="92">
        <f t="shared" si="11"/>
        <v>426.79878787878783</v>
      </c>
      <c r="Y6" s="78">
        <f>G18</f>
        <v>0.3</v>
      </c>
      <c r="Z6" s="26">
        <f t="shared" si="12"/>
        <v>554.83842424242414</v>
      </c>
      <c r="AA6" s="78">
        <f t="shared" si="3"/>
        <v>7.3978456565656547E-2</v>
      </c>
      <c r="AB6" s="30">
        <v>140</v>
      </c>
      <c r="AC6" s="31">
        <f>U6*2+(U6*2*80/100)</f>
        <v>0.33132244363636371</v>
      </c>
      <c r="AD6" s="31">
        <f>AA6*2+(AA6*2*80/100)</f>
        <v>0.26632244363636359</v>
      </c>
    </row>
    <row r="7" spans="1:30" ht="14.4" x14ac:dyDescent="0.3">
      <c r="A7" s="15">
        <v>30</v>
      </c>
      <c r="B7" s="7" t="s">
        <v>5</v>
      </c>
      <c r="C7" s="22" t="s">
        <v>16</v>
      </c>
      <c r="D7" s="23">
        <v>12500</v>
      </c>
      <c r="E7" s="24">
        <v>7.0000000000000007E-2</v>
      </c>
      <c r="F7" s="25">
        <v>8</v>
      </c>
      <c r="G7" s="26">
        <f t="shared" si="4"/>
        <v>8.56</v>
      </c>
      <c r="H7" s="27">
        <f t="shared" si="5"/>
        <v>107</v>
      </c>
      <c r="I7" s="27">
        <f>C26</f>
        <v>1.5999999999999999</v>
      </c>
      <c r="J7" s="89">
        <f t="shared" si="6"/>
        <v>171.2</v>
      </c>
      <c r="K7" s="84">
        <f>E36</f>
        <v>1.1438383838383839E-3</v>
      </c>
      <c r="L7" s="28">
        <f t="shared" si="0"/>
        <v>14.297979797979799</v>
      </c>
      <c r="M7" s="29">
        <f>A18*B18</f>
        <v>128</v>
      </c>
      <c r="N7" s="29">
        <f>C18</f>
        <v>450</v>
      </c>
      <c r="O7" s="29">
        <f>E18+F18*D18</f>
        <v>17.5</v>
      </c>
      <c r="P7" s="29">
        <f t="shared" si="1"/>
        <v>27.777777777777779</v>
      </c>
      <c r="Q7" s="28">
        <f t="shared" si="7"/>
        <v>486.11111111111114</v>
      </c>
      <c r="R7" s="26">
        <f t="shared" si="8"/>
        <v>799.60909090909092</v>
      </c>
      <c r="S7" s="26">
        <f>G18</f>
        <v>0.3</v>
      </c>
      <c r="T7" s="26">
        <f t="shared" si="9"/>
        <v>1039.4918181818182</v>
      </c>
      <c r="U7" s="27">
        <f t="shared" si="2"/>
        <v>8.3159345454545452E-2</v>
      </c>
      <c r="V7" s="78">
        <f>E19+F19*D19</f>
        <v>11.25</v>
      </c>
      <c r="W7" s="78">
        <f t="shared" si="10"/>
        <v>312.5</v>
      </c>
      <c r="X7" s="92">
        <f t="shared" si="11"/>
        <v>625.99797979797972</v>
      </c>
      <c r="Y7" s="78">
        <f>G18</f>
        <v>0.3</v>
      </c>
      <c r="Z7" s="26">
        <f t="shared" si="12"/>
        <v>813.79737373737362</v>
      </c>
      <c r="AA7" s="78">
        <f t="shared" si="3"/>
        <v>6.5103789898989892E-2</v>
      </c>
      <c r="AB7" s="30">
        <v>85</v>
      </c>
      <c r="AC7" s="31">
        <f>U7+U7*AB7/100</f>
        <v>0.1538447890909091</v>
      </c>
      <c r="AD7" s="31">
        <f>AA7+AA7*AB7/100</f>
        <v>0.1204420113131313</v>
      </c>
    </row>
    <row r="8" spans="1:30" ht="14.4" x14ac:dyDescent="0.3">
      <c r="A8" s="15">
        <v>30</v>
      </c>
      <c r="B8" s="7" t="s">
        <v>6</v>
      </c>
      <c r="C8" s="22" t="s">
        <v>17</v>
      </c>
      <c r="D8" s="23">
        <v>17500</v>
      </c>
      <c r="E8" s="24">
        <v>7.0000000000000007E-2</v>
      </c>
      <c r="F8" s="25">
        <v>8</v>
      </c>
      <c r="G8" s="26">
        <f t="shared" si="4"/>
        <v>8.56</v>
      </c>
      <c r="H8" s="27">
        <f t="shared" si="5"/>
        <v>149.80000000000001</v>
      </c>
      <c r="I8" s="27">
        <f>C26</f>
        <v>1.5999999999999999</v>
      </c>
      <c r="J8" s="89">
        <f t="shared" si="6"/>
        <v>239.68</v>
      </c>
      <c r="K8" s="84">
        <f>E36</f>
        <v>1.1438383838383839E-3</v>
      </c>
      <c r="L8" s="28">
        <f t="shared" si="0"/>
        <v>20.017171717171717</v>
      </c>
      <c r="M8" s="29">
        <f>A18*B18</f>
        <v>128</v>
      </c>
      <c r="N8" s="29">
        <f>C18</f>
        <v>450</v>
      </c>
      <c r="O8" s="29">
        <f>E18+F18*D18</f>
        <v>17.5</v>
      </c>
      <c r="P8" s="29">
        <f t="shared" si="1"/>
        <v>38.888888888888886</v>
      </c>
      <c r="Q8" s="28">
        <f t="shared" si="7"/>
        <v>680.55555555555554</v>
      </c>
      <c r="R8" s="26">
        <f t="shared" si="8"/>
        <v>1068.2527272727273</v>
      </c>
      <c r="S8" s="26">
        <f>G18</f>
        <v>0.3</v>
      </c>
      <c r="T8" s="26">
        <f t="shared" si="9"/>
        <v>1388.7285454545454</v>
      </c>
      <c r="U8" s="27">
        <f t="shared" si="2"/>
        <v>7.9355916883116884E-2</v>
      </c>
      <c r="V8" s="78">
        <f>E19+F19*D19</f>
        <v>11.25</v>
      </c>
      <c r="W8" s="78">
        <f t="shared" si="10"/>
        <v>437.49999999999994</v>
      </c>
      <c r="X8" s="92">
        <f t="shared" si="11"/>
        <v>825.19717171717161</v>
      </c>
      <c r="Y8" s="78">
        <f>G18</f>
        <v>0.3</v>
      </c>
      <c r="Z8" s="26">
        <f t="shared" si="12"/>
        <v>1072.7563232323232</v>
      </c>
      <c r="AA8" s="78">
        <f t="shared" si="3"/>
        <v>6.1300361327561323E-2</v>
      </c>
      <c r="AB8" s="30">
        <v>80</v>
      </c>
      <c r="AC8" s="31">
        <f t="shared" ref="AC8:AC14" si="13">U8+U8*AB8/100</f>
        <v>0.14284065038961039</v>
      </c>
      <c r="AD8" s="31">
        <f t="shared" ref="AD8:AD14" si="14">AA8+AA8*AB8/100</f>
        <v>0.11034065038961038</v>
      </c>
    </row>
    <row r="9" spans="1:30" ht="14.4" x14ac:dyDescent="0.3">
      <c r="A9" s="15">
        <v>30</v>
      </c>
      <c r="B9" s="7" t="s">
        <v>7</v>
      </c>
      <c r="C9" s="22" t="s">
        <v>18</v>
      </c>
      <c r="D9" s="23">
        <v>25000</v>
      </c>
      <c r="E9" s="24">
        <v>0.05</v>
      </c>
      <c r="F9" s="25">
        <v>8</v>
      </c>
      <c r="G9" s="26">
        <f t="shared" si="4"/>
        <v>8.4</v>
      </c>
      <c r="H9" s="27">
        <f t="shared" si="5"/>
        <v>210</v>
      </c>
      <c r="I9" s="27">
        <f>C26</f>
        <v>1.5999999999999999</v>
      </c>
      <c r="J9" s="89">
        <f t="shared" si="6"/>
        <v>336</v>
      </c>
      <c r="K9" s="84">
        <f>E36</f>
        <v>1.1438383838383839E-3</v>
      </c>
      <c r="L9" s="28">
        <f t="shared" si="0"/>
        <v>28.595959595959599</v>
      </c>
      <c r="M9" s="29">
        <f>A18*B18</f>
        <v>128</v>
      </c>
      <c r="N9" s="29">
        <f>C18</f>
        <v>450</v>
      </c>
      <c r="O9" s="29">
        <f>E18+F18*D18</f>
        <v>17.5</v>
      </c>
      <c r="P9" s="29">
        <f t="shared" si="1"/>
        <v>55.555555555555557</v>
      </c>
      <c r="Q9" s="28">
        <f t="shared" si="7"/>
        <v>972.22222222222229</v>
      </c>
      <c r="R9" s="26">
        <f t="shared" si="8"/>
        <v>1464.818181818182</v>
      </c>
      <c r="S9" s="26">
        <f>G18</f>
        <v>0.3</v>
      </c>
      <c r="T9" s="26">
        <f t="shared" si="9"/>
        <v>1904.2636363636366</v>
      </c>
      <c r="U9" s="27">
        <f t="shared" si="2"/>
        <v>7.6170545454545463E-2</v>
      </c>
      <c r="V9" s="78">
        <f>E19+F19*D19</f>
        <v>11.25</v>
      </c>
      <c r="W9" s="78">
        <f t="shared" si="10"/>
        <v>625</v>
      </c>
      <c r="X9" s="92">
        <f t="shared" si="11"/>
        <v>1117.5959595959596</v>
      </c>
      <c r="Y9" s="78">
        <f>G18</f>
        <v>0.3</v>
      </c>
      <c r="Z9" s="26">
        <f t="shared" si="12"/>
        <v>1452.8747474747474</v>
      </c>
      <c r="AA9" s="78">
        <f t="shared" si="3"/>
        <v>5.8114989898989895E-2</v>
      </c>
      <c r="AB9" s="30">
        <v>75</v>
      </c>
      <c r="AC9" s="31">
        <f t="shared" si="13"/>
        <v>0.13329845454545458</v>
      </c>
      <c r="AD9" s="31">
        <f t="shared" si="14"/>
        <v>0.10170123232323232</v>
      </c>
    </row>
    <row r="10" spans="1:30" ht="14.4" x14ac:dyDescent="0.3">
      <c r="A10" s="15">
        <v>30</v>
      </c>
      <c r="B10" s="7" t="s">
        <v>8</v>
      </c>
      <c r="C10" s="22" t="s">
        <v>19</v>
      </c>
      <c r="D10" s="23">
        <v>35000</v>
      </c>
      <c r="E10" s="24">
        <v>0.05</v>
      </c>
      <c r="F10" s="25">
        <v>8</v>
      </c>
      <c r="G10" s="26">
        <f t="shared" si="4"/>
        <v>8.4</v>
      </c>
      <c r="H10" s="27">
        <f t="shared" si="5"/>
        <v>294</v>
      </c>
      <c r="I10" s="27">
        <f>C26</f>
        <v>1.5999999999999999</v>
      </c>
      <c r="J10" s="89">
        <f t="shared" si="6"/>
        <v>470.4</v>
      </c>
      <c r="K10" s="84">
        <f>E36</f>
        <v>1.1438383838383839E-3</v>
      </c>
      <c r="L10" s="28">
        <f t="shared" si="0"/>
        <v>40.034343434343434</v>
      </c>
      <c r="M10" s="29">
        <f>A18*B18</f>
        <v>128</v>
      </c>
      <c r="N10" s="29">
        <f>C18</f>
        <v>450</v>
      </c>
      <c r="O10" s="29">
        <f>E18+F18*D18</f>
        <v>17.5</v>
      </c>
      <c r="P10" s="29">
        <f t="shared" si="1"/>
        <v>77.777777777777771</v>
      </c>
      <c r="Q10" s="28">
        <f t="shared" si="7"/>
        <v>1361.1111111111111</v>
      </c>
      <c r="R10" s="26">
        <f t="shared" si="8"/>
        <v>1999.5454545454545</v>
      </c>
      <c r="S10" s="26">
        <f>G18</f>
        <v>0.3</v>
      </c>
      <c r="T10" s="26">
        <f t="shared" si="9"/>
        <v>2599.409090909091</v>
      </c>
      <c r="U10" s="27">
        <f t="shared" si="2"/>
        <v>7.4268831168831165E-2</v>
      </c>
      <c r="V10" s="78">
        <f>E19+F19*D19</f>
        <v>11.25</v>
      </c>
      <c r="W10" s="78">
        <f t="shared" si="10"/>
        <v>874.99999999999989</v>
      </c>
      <c r="X10" s="92">
        <f t="shared" si="11"/>
        <v>1513.4343434343432</v>
      </c>
      <c r="Y10" s="78">
        <f>G18</f>
        <v>0.3</v>
      </c>
      <c r="Z10" s="26">
        <f t="shared" si="12"/>
        <v>1967.4646464646462</v>
      </c>
      <c r="AA10" s="78">
        <f t="shared" si="3"/>
        <v>5.6213275613275604E-2</v>
      </c>
      <c r="AB10" s="30">
        <v>75</v>
      </c>
      <c r="AC10" s="31">
        <f t="shared" si="13"/>
        <v>0.12997045454545453</v>
      </c>
      <c r="AD10" s="31">
        <f t="shared" si="14"/>
        <v>9.8373232323232307E-2</v>
      </c>
    </row>
    <row r="11" spans="1:30" ht="14.4" x14ac:dyDescent="0.3">
      <c r="A11" s="15">
        <v>30</v>
      </c>
      <c r="B11" s="7" t="s">
        <v>9</v>
      </c>
      <c r="C11" s="22" t="s">
        <v>20</v>
      </c>
      <c r="D11" s="23">
        <v>45000</v>
      </c>
      <c r="E11" s="24">
        <v>0.05</v>
      </c>
      <c r="F11" s="25">
        <v>8</v>
      </c>
      <c r="G11" s="26">
        <f t="shared" si="4"/>
        <v>8.4</v>
      </c>
      <c r="H11" s="27">
        <f t="shared" si="5"/>
        <v>378</v>
      </c>
      <c r="I11" s="27">
        <f>C26</f>
        <v>1.5999999999999999</v>
      </c>
      <c r="J11" s="89">
        <f t="shared" si="6"/>
        <v>604.79999999999995</v>
      </c>
      <c r="K11" s="84">
        <f>E36</f>
        <v>1.1438383838383839E-3</v>
      </c>
      <c r="L11" s="28">
        <f t="shared" si="0"/>
        <v>51.472727272727276</v>
      </c>
      <c r="M11" s="29">
        <f>A18*B18</f>
        <v>128</v>
      </c>
      <c r="N11" s="29">
        <f>C18</f>
        <v>450</v>
      </c>
      <c r="O11" s="29">
        <f>E18+F18*D18</f>
        <v>17.5</v>
      </c>
      <c r="P11" s="29">
        <f t="shared" si="1"/>
        <v>100</v>
      </c>
      <c r="Q11" s="28">
        <f t="shared" si="7"/>
        <v>1750</v>
      </c>
      <c r="R11" s="26">
        <f t="shared" si="8"/>
        <v>2534.272727272727</v>
      </c>
      <c r="S11" s="26">
        <f>G18</f>
        <v>0.3</v>
      </c>
      <c r="T11" s="26">
        <f t="shared" si="9"/>
        <v>3294.554545454545</v>
      </c>
      <c r="U11" s="27">
        <f t="shared" si="2"/>
        <v>7.3212323232323226E-2</v>
      </c>
      <c r="V11" s="78">
        <f>E19+F19*D19</f>
        <v>11.25</v>
      </c>
      <c r="W11" s="78">
        <f t="shared" si="10"/>
        <v>1125</v>
      </c>
      <c r="X11" s="92">
        <f t="shared" si="11"/>
        <v>1909.2727272727273</v>
      </c>
      <c r="Y11" s="78">
        <f>G18</f>
        <v>0.3</v>
      </c>
      <c r="Z11" s="26">
        <f t="shared" si="12"/>
        <v>2482.0545454545454</v>
      </c>
      <c r="AA11" s="78">
        <f t="shared" si="3"/>
        <v>5.5156767676767679E-2</v>
      </c>
      <c r="AB11" s="30">
        <v>70</v>
      </c>
      <c r="AC11" s="31">
        <f t="shared" si="13"/>
        <v>0.12446094949494949</v>
      </c>
      <c r="AD11" s="31">
        <f t="shared" si="14"/>
        <v>9.3766505050505058E-2</v>
      </c>
    </row>
    <row r="12" spans="1:30" ht="14.4" x14ac:dyDescent="0.3">
      <c r="A12" s="15">
        <v>30</v>
      </c>
      <c r="B12" s="7" t="s">
        <v>10</v>
      </c>
      <c r="C12" s="22" t="s">
        <v>21</v>
      </c>
      <c r="D12" s="23">
        <v>75000</v>
      </c>
      <c r="E12" s="24">
        <v>0.05</v>
      </c>
      <c r="F12" s="25">
        <v>8</v>
      </c>
      <c r="G12" s="26">
        <f t="shared" si="4"/>
        <v>8.4</v>
      </c>
      <c r="H12" s="27">
        <f t="shared" si="5"/>
        <v>630</v>
      </c>
      <c r="I12" s="27">
        <f>C26</f>
        <v>1.5999999999999999</v>
      </c>
      <c r="J12" s="89">
        <f t="shared" si="6"/>
        <v>1007.9999999999999</v>
      </c>
      <c r="K12" s="84">
        <f>E36</f>
        <v>1.1438383838383839E-3</v>
      </c>
      <c r="L12" s="28">
        <f t="shared" si="0"/>
        <v>85.787878787878796</v>
      </c>
      <c r="M12" s="29">
        <f>A18*B18</f>
        <v>128</v>
      </c>
      <c r="N12" s="29">
        <f>C18</f>
        <v>450</v>
      </c>
      <c r="O12" s="29">
        <f>E18+F18*D18</f>
        <v>17.5</v>
      </c>
      <c r="P12" s="29">
        <f t="shared" si="1"/>
        <v>166.66666666666666</v>
      </c>
      <c r="Q12" s="28">
        <f>O12*P12</f>
        <v>2916.6666666666665</v>
      </c>
      <c r="R12" s="26">
        <f t="shared" si="8"/>
        <v>4138.454545454546</v>
      </c>
      <c r="S12" s="26">
        <f>G18</f>
        <v>0.3</v>
      </c>
      <c r="T12" s="26">
        <f t="shared" si="9"/>
        <v>5379.9909090909096</v>
      </c>
      <c r="U12" s="27">
        <f t="shared" si="2"/>
        <v>7.1733212121212128E-2</v>
      </c>
      <c r="V12" s="78">
        <f>E19+F19*D19</f>
        <v>11.25</v>
      </c>
      <c r="W12" s="78">
        <f t="shared" si="10"/>
        <v>1875</v>
      </c>
      <c r="X12" s="92">
        <f t="shared" si="11"/>
        <v>3096.787878787879</v>
      </c>
      <c r="Y12" s="78">
        <f>G18</f>
        <v>0.3</v>
      </c>
      <c r="Z12" s="26">
        <f t="shared" si="12"/>
        <v>4025.8242424242426</v>
      </c>
      <c r="AA12" s="78">
        <f t="shared" si="3"/>
        <v>5.3677656565656567E-2</v>
      </c>
      <c r="AB12" s="30">
        <v>70</v>
      </c>
      <c r="AC12" s="31">
        <f t="shared" si="13"/>
        <v>0.12194646060606062</v>
      </c>
      <c r="AD12" s="31">
        <f t="shared" si="14"/>
        <v>9.1252016161616156E-2</v>
      </c>
    </row>
    <row r="13" spans="1:30" ht="14.4" x14ac:dyDescent="0.3">
      <c r="A13" s="15">
        <v>30</v>
      </c>
      <c r="B13" s="7" t="s">
        <v>11</v>
      </c>
      <c r="C13" s="22" t="s">
        <v>22</v>
      </c>
      <c r="D13" s="23">
        <v>125000</v>
      </c>
      <c r="E13" s="24">
        <v>0.03</v>
      </c>
      <c r="F13" s="25">
        <v>8</v>
      </c>
      <c r="G13" s="26">
        <f t="shared" si="4"/>
        <v>8.24</v>
      </c>
      <c r="H13" s="27">
        <f t="shared" si="5"/>
        <v>1030</v>
      </c>
      <c r="I13" s="27">
        <f>C26</f>
        <v>1.5999999999999999</v>
      </c>
      <c r="J13" s="89">
        <f t="shared" si="6"/>
        <v>1647.9999999999998</v>
      </c>
      <c r="K13" s="84">
        <f>E36</f>
        <v>1.1438383838383839E-3</v>
      </c>
      <c r="L13" s="28">
        <f t="shared" si="0"/>
        <v>142.97979797979798</v>
      </c>
      <c r="M13" s="29">
        <f>A18*B18</f>
        <v>128</v>
      </c>
      <c r="N13" s="29">
        <f>C18</f>
        <v>450</v>
      </c>
      <c r="O13" s="29">
        <f>E18+F18*D18</f>
        <v>17.5</v>
      </c>
      <c r="P13" s="29">
        <f t="shared" si="1"/>
        <v>277.77777777777777</v>
      </c>
      <c r="Q13" s="28">
        <f t="shared" si="7"/>
        <v>4861.1111111111113</v>
      </c>
      <c r="R13" s="26">
        <f t="shared" si="8"/>
        <v>6780.090909090909</v>
      </c>
      <c r="S13" s="26">
        <f>G18</f>
        <v>0.3</v>
      </c>
      <c r="T13" s="26">
        <f t="shared" si="9"/>
        <v>8814.1181818181813</v>
      </c>
      <c r="U13" s="27">
        <f t="shared" si="2"/>
        <v>7.051294545454545E-2</v>
      </c>
      <c r="V13" s="78">
        <f>E19+F19*D19</f>
        <v>11.25</v>
      </c>
      <c r="W13" s="78">
        <f t="shared" si="10"/>
        <v>3125</v>
      </c>
      <c r="X13" s="92">
        <f t="shared" si="11"/>
        <v>5043.9797979797977</v>
      </c>
      <c r="Y13" s="78">
        <f>G18</f>
        <v>0.3</v>
      </c>
      <c r="Z13" s="26">
        <f t="shared" si="12"/>
        <v>6557.1737373737369</v>
      </c>
      <c r="AA13" s="78">
        <f t="shared" si="3"/>
        <v>5.2457389898989897E-2</v>
      </c>
      <c r="AB13" s="30">
        <v>65</v>
      </c>
      <c r="AC13" s="31">
        <f t="shared" si="13"/>
        <v>0.11634636</v>
      </c>
      <c r="AD13" s="31">
        <f t="shared" si="14"/>
        <v>8.6554693333333321E-2</v>
      </c>
    </row>
    <row r="14" spans="1:30" ht="15" thickBot="1" x14ac:dyDescent="0.35">
      <c r="A14" s="15">
        <v>30</v>
      </c>
      <c r="B14" s="7" t="s">
        <v>12</v>
      </c>
      <c r="C14" s="22" t="s">
        <v>23</v>
      </c>
      <c r="D14" s="23">
        <v>200000</v>
      </c>
      <c r="E14" s="24">
        <v>0.03</v>
      </c>
      <c r="F14" s="25">
        <v>8</v>
      </c>
      <c r="G14" s="26">
        <f t="shared" si="4"/>
        <v>8.24</v>
      </c>
      <c r="H14" s="27">
        <f t="shared" si="5"/>
        <v>1648</v>
      </c>
      <c r="I14" s="27">
        <f>C26</f>
        <v>1.5999999999999999</v>
      </c>
      <c r="J14" s="89">
        <f t="shared" si="6"/>
        <v>2636.7999999999997</v>
      </c>
      <c r="K14" s="84">
        <f>E36</f>
        <v>1.1438383838383839E-3</v>
      </c>
      <c r="L14" s="28">
        <f t="shared" si="0"/>
        <v>228.76767676767679</v>
      </c>
      <c r="M14" s="29">
        <f>A18*B18</f>
        <v>128</v>
      </c>
      <c r="N14" s="29">
        <f>C18</f>
        <v>450</v>
      </c>
      <c r="O14" s="29">
        <f>E18+F18*D18</f>
        <v>17.5</v>
      </c>
      <c r="P14" s="29">
        <f t="shared" si="1"/>
        <v>444.44444444444446</v>
      </c>
      <c r="Q14" s="28">
        <f t="shared" si="7"/>
        <v>7777.7777777777783</v>
      </c>
      <c r="R14" s="26">
        <f t="shared" si="8"/>
        <v>10771.345454545455</v>
      </c>
      <c r="S14" s="26">
        <f>G18</f>
        <v>0.3</v>
      </c>
      <c r="T14" s="26">
        <f t="shared" si="9"/>
        <v>14002.749090909092</v>
      </c>
      <c r="U14" s="27">
        <f t="shared" si="2"/>
        <v>7.0013745454545459E-2</v>
      </c>
      <c r="V14" s="78">
        <f>E19+F19*D19</f>
        <v>11.25</v>
      </c>
      <c r="W14" s="78">
        <f t="shared" si="10"/>
        <v>5000</v>
      </c>
      <c r="X14" s="92">
        <f t="shared" si="11"/>
        <v>7993.5676767676759</v>
      </c>
      <c r="Y14" s="78">
        <f>G18</f>
        <v>0.3</v>
      </c>
      <c r="Z14" s="26">
        <f t="shared" si="12"/>
        <v>10391.637979797979</v>
      </c>
      <c r="AA14" s="78">
        <f t="shared" si="3"/>
        <v>5.1958189898989891E-2</v>
      </c>
      <c r="AB14" s="30">
        <v>60</v>
      </c>
      <c r="AC14" s="32">
        <f t="shared" si="13"/>
        <v>0.11202199272727273</v>
      </c>
      <c r="AD14" s="32">
        <f t="shared" si="14"/>
        <v>8.3133103838383821E-2</v>
      </c>
    </row>
    <row r="15" spans="1:30" ht="14.4" thickBot="1" x14ac:dyDescent="0.35"/>
    <row r="16" spans="1:30" x14ac:dyDescent="0.3">
      <c r="A16" s="33" t="s">
        <v>27</v>
      </c>
      <c r="B16" s="34"/>
      <c r="C16" s="34"/>
      <c r="D16" s="34"/>
      <c r="E16" s="34"/>
      <c r="F16" s="34"/>
      <c r="G16" s="35"/>
      <c r="AC16" s="80"/>
    </row>
    <row r="17" spans="1:12" x14ac:dyDescent="0.3">
      <c r="A17" s="36" t="s">
        <v>28</v>
      </c>
      <c r="B17" s="37" t="s">
        <v>29</v>
      </c>
      <c r="C17" s="37" t="s">
        <v>30</v>
      </c>
      <c r="D17" s="37" t="s">
        <v>31</v>
      </c>
      <c r="E17" s="37" t="s">
        <v>32</v>
      </c>
      <c r="F17" s="37" t="s">
        <v>33</v>
      </c>
      <c r="G17" s="38" t="s">
        <v>34</v>
      </c>
      <c r="J17" s="39"/>
      <c r="K17" s="85"/>
      <c r="L17" s="14" t="s">
        <v>59</v>
      </c>
    </row>
    <row r="18" spans="1:12" ht="14.4" thickBot="1" x14ac:dyDescent="0.35">
      <c r="A18" s="40">
        <v>4</v>
      </c>
      <c r="B18" s="41">
        <v>32</v>
      </c>
      <c r="C18" s="41">
        <v>450</v>
      </c>
      <c r="D18" s="41">
        <v>0.5</v>
      </c>
      <c r="E18" s="41">
        <v>5</v>
      </c>
      <c r="F18" s="42">
        <v>25</v>
      </c>
      <c r="G18" s="43">
        <v>0.3</v>
      </c>
    </row>
    <row r="19" spans="1:12" ht="14.4" thickBot="1" x14ac:dyDescent="0.35">
      <c r="A19" s="40">
        <v>4</v>
      </c>
      <c r="B19" s="41">
        <v>32</v>
      </c>
      <c r="C19" s="41">
        <v>450</v>
      </c>
      <c r="D19" s="41">
        <v>0.25</v>
      </c>
      <c r="E19" s="41">
        <v>5</v>
      </c>
      <c r="F19" s="42">
        <v>25</v>
      </c>
      <c r="G19" s="43">
        <v>0.3</v>
      </c>
    </row>
    <row r="20" spans="1:12" ht="14.4" thickBot="1" x14ac:dyDescent="0.35">
      <c r="J20" s="44"/>
      <c r="K20" s="86"/>
      <c r="L20" s="14" t="s">
        <v>60</v>
      </c>
    </row>
    <row r="21" spans="1:12" x14ac:dyDescent="0.3">
      <c r="A21" s="45" t="s">
        <v>35</v>
      </c>
      <c r="B21" s="46"/>
      <c r="C21" s="46" t="s">
        <v>36</v>
      </c>
      <c r="D21" s="47" t="s">
        <v>37</v>
      </c>
    </row>
    <row r="22" spans="1:12" x14ac:dyDescent="0.3">
      <c r="A22" s="48" t="s">
        <v>40</v>
      </c>
      <c r="B22" s="49">
        <v>1.5</v>
      </c>
      <c r="C22" s="50">
        <v>96</v>
      </c>
      <c r="D22" s="51"/>
    </row>
    <row r="23" spans="1:12" x14ac:dyDescent="0.3">
      <c r="A23" s="48" t="s">
        <v>40</v>
      </c>
      <c r="B23" s="49">
        <v>4</v>
      </c>
      <c r="C23" s="50">
        <v>4</v>
      </c>
      <c r="D23" s="51"/>
    </row>
    <row r="24" spans="1:12" x14ac:dyDescent="0.3">
      <c r="A24" s="48" t="s">
        <v>40</v>
      </c>
      <c r="B24" s="49">
        <v>0</v>
      </c>
      <c r="C24" s="50"/>
      <c r="D24" s="51"/>
    </row>
    <row r="25" spans="1:12" ht="14.4" thickBot="1" x14ac:dyDescent="0.35">
      <c r="A25" s="48" t="s">
        <v>44</v>
      </c>
      <c r="B25" s="49">
        <v>0</v>
      </c>
      <c r="C25" s="50"/>
      <c r="D25" s="51"/>
    </row>
    <row r="26" spans="1:12" ht="14.4" thickBot="1" x14ac:dyDescent="0.35">
      <c r="A26" s="52" t="s">
        <v>45</v>
      </c>
      <c r="B26" s="53">
        <f>SUM(B22:B25)</f>
        <v>5.5</v>
      </c>
      <c r="C26" s="54">
        <f>(B22*C22/100)+(B23*C23/100)+(B24*C24/100)+(B25*C25/100)</f>
        <v>1.5999999999999999</v>
      </c>
      <c r="D26" s="55" t="s">
        <v>62</v>
      </c>
    </row>
    <row r="27" spans="1:12" ht="14.4" thickBot="1" x14ac:dyDescent="0.35"/>
    <row r="28" spans="1:12" x14ac:dyDescent="0.3">
      <c r="A28" s="56" t="s">
        <v>38</v>
      </c>
      <c r="B28" s="57"/>
      <c r="C28" s="58"/>
      <c r="D28" s="59" t="s">
        <v>39</v>
      </c>
      <c r="E28" s="60" t="s">
        <v>97</v>
      </c>
    </row>
    <row r="29" spans="1:12" x14ac:dyDescent="0.3">
      <c r="A29" s="61" t="s">
        <v>42</v>
      </c>
      <c r="B29" s="62">
        <v>1100</v>
      </c>
      <c r="C29" s="63"/>
      <c r="D29" s="64"/>
      <c r="E29" s="65"/>
    </row>
    <row r="30" spans="1:12" x14ac:dyDescent="0.3">
      <c r="A30" s="61" t="s">
        <v>86</v>
      </c>
      <c r="B30" s="62">
        <v>9</v>
      </c>
      <c r="C30" s="63" t="s">
        <v>41</v>
      </c>
      <c r="D30" s="66">
        <v>0.68100000000000005</v>
      </c>
      <c r="E30" s="65">
        <f>D30*B30</f>
        <v>6.1290000000000004</v>
      </c>
    </row>
    <row r="31" spans="1:12" x14ac:dyDescent="0.3">
      <c r="A31" s="61" t="s">
        <v>87</v>
      </c>
      <c r="B31" s="62">
        <f>B30*B29</f>
        <v>9900</v>
      </c>
      <c r="C31" s="67"/>
      <c r="D31" s="68"/>
      <c r="E31" s="65"/>
    </row>
    <row r="32" spans="1:12" x14ac:dyDescent="0.3">
      <c r="A32" s="61" t="s">
        <v>88</v>
      </c>
      <c r="B32" s="62">
        <v>9</v>
      </c>
      <c r="C32" s="63" t="s">
        <v>43</v>
      </c>
      <c r="D32" s="69">
        <v>0.13800000000000001</v>
      </c>
      <c r="E32" s="65">
        <f>D32*B32</f>
        <v>1.242</v>
      </c>
    </row>
    <row r="33" spans="1:5" x14ac:dyDescent="0.3">
      <c r="A33" s="61" t="s">
        <v>46</v>
      </c>
      <c r="B33" s="62">
        <f>B32*5</f>
        <v>45</v>
      </c>
      <c r="C33" s="63" t="s">
        <v>47</v>
      </c>
      <c r="D33" s="66">
        <v>4.3400000000000001E-2</v>
      </c>
      <c r="E33" s="65">
        <f>D33*B33</f>
        <v>1.9530000000000001</v>
      </c>
    </row>
    <row r="34" spans="1:5" ht="14.4" thickBot="1" x14ac:dyDescent="0.35">
      <c r="A34" s="70" t="s">
        <v>48</v>
      </c>
      <c r="B34" s="71" t="s">
        <v>49</v>
      </c>
      <c r="C34" s="72" t="s">
        <v>50</v>
      </c>
      <c r="D34" s="73">
        <v>2</v>
      </c>
      <c r="E34" s="74">
        <f>D34</f>
        <v>2</v>
      </c>
    </row>
    <row r="35" spans="1:5" ht="14.4" thickBot="1" x14ac:dyDescent="0.35">
      <c r="E35" s="75">
        <f>SUM(E29:E34)</f>
        <v>11.324</v>
      </c>
    </row>
    <row r="36" spans="1:5" ht="14.4" thickBot="1" x14ac:dyDescent="0.35">
      <c r="D36" s="76" t="s">
        <v>98</v>
      </c>
      <c r="E36" s="77">
        <f>E35/B31</f>
        <v>1.1438383838383839E-3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48D42-EFB7-4F3D-A7DB-3E520731C31F}">
  <dimension ref="A2:AD36"/>
  <sheetViews>
    <sheetView topLeftCell="P1" workbookViewId="0">
      <selection activeCell="Z10" sqref="Z10"/>
    </sheetView>
  </sheetViews>
  <sheetFormatPr defaultColWidth="9.109375" defaultRowHeight="13.8" x14ac:dyDescent="0.3"/>
  <cols>
    <col min="1" max="1" width="28.6640625" style="14" bestFit="1" customWidth="1"/>
    <col min="2" max="2" width="10.109375" style="14" bestFit="1" customWidth="1"/>
    <col min="3" max="3" width="21" style="14" bestFit="1" customWidth="1"/>
    <col min="4" max="4" width="12.44140625" style="14" bestFit="1" customWidth="1"/>
    <col min="5" max="5" width="21" style="14" bestFit="1" customWidth="1"/>
    <col min="6" max="6" width="14.88671875" style="14" bestFit="1" customWidth="1"/>
    <col min="7" max="7" width="23.5546875" style="14" bestFit="1" customWidth="1"/>
    <col min="8" max="8" width="18.6640625" style="14" customWidth="1"/>
    <col min="9" max="9" width="0.109375" style="14" customWidth="1"/>
    <col min="10" max="10" width="9.5546875" style="14" bestFit="1" customWidth="1"/>
    <col min="11" max="11" width="15.33203125" style="82" customWidth="1"/>
    <col min="12" max="12" width="17.5546875" style="14" bestFit="1" customWidth="1"/>
    <col min="13" max="13" width="19.33203125" style="14" customWidth="1"/>
    <col min="14" max="14" width="9.109375" style="14" customWidth="1"/>
    <col min="15" max="15" width="22.88671875" style="14" customWidth="1"/>
    <col min="16" max="16" width="11.88671875" style="14" customWidth="1"/>
    <col min="17" max="17" width="23.5546875" style="14" bestFit="1" customWidth="1"/>
    <col min="18" max="18" width="24.33203125" style="14" customWidth="1"/>
    <col min="19" max="19" width="11" style="14" customWidth="1"/>
    <col min="20" max="20" width="35.5546875" style="14" bestFit="1" customWidth="1"/>
    <col min="21" max="21" width="14.6640625" style="14" bestFit="1" customWidth="1"/>
    <col min="22" max="27" width="14.6640625" style="14" customWidth="1"/>
    <col min="28" max="28" width="16.5546875" style="14" bestFit="1" customWidth="1"/>
    <col min="29" max="29" width="17.44140625" style="14" bestFit="1" customWidth="1"/>
    <col min="30" max="30" width="11.88671875" style="14" bestFit="1" customWidth="1"/>
    <col min="31" max="16384" width="9.109375" style="14"/>
  </cols>
  <sheetData>
    <row r="2" spans="1:30" ht="14.4" thickBot="1" x14ac:dyDescent="0.35"/>
    <row r="3" spans="1:30" ht="74.25" customHeight="1" thickBot="1" x14ac:dyDescent="0.35">
      <c r="A3" s="15" t="s">
        <v>57</v>
      </c>
      <c r="B3" s="15" t="s">
        <v>24</v>
      </c>
      <c r="C3" s="15" t="s">
        <v>25</v>
      </c>
      <c r="D3" s="15" t="s">
        <v>26</v>
      </c>
      <c r="E3" s="15" t="s">
        <v>55</v>
      </c>
      <c r="F3" s="15" t="s">
        <v>58</v>
      </c>
      <c r="G3" s="16" t="s">
        <v>51</v>
      </c>
      <c r="H3" s="17" t="s">
        <v>52</v>
      </c>
      <c r="I3" s="17" t="s">
        <v>61</v>
      </c>
      <c r="J3" s="90" t="s">
        <v>53</v>
      </c>
      <c r="K3" s="83" t="s">
        <v>99</v>
      </c>
      <c r="L3" s="18" t="s">
        <v>96</v>
      </c>
      <c r="M3" s="19" t="s">
        <v>54</v>
      </c>
      <c r="N3" s="19" t="s">
        <v>100</v>
      </c>
      <c r="O3" s="19" t="s">
        <v>108</v>
      </c>
      <c r="P3" s="19" t="s">
        <v>101</v>
      </c>
      <c r="Q3" s="91" t="s">
        <v>116</v>
      </c>
      <c r="R3" s="87" t="s">
        <v>107</v>
      </c>
      <c r="S3" s="88" t="s">
        <v>102</v>
      </c>
      <c r="T3" s="87" t="s">
        <v>104</v>
      </c>
      <c r="U3" s="87" t="s">
        <v>105</v>
      </c>
      <c r="V3" s="19" t="s">
        <v>109</v>
      </c>
      <c r="W3" s="20" t="s">
        <v>110</v>
      </c>
      <c r="X3" s="20"/>
      <c r="Y3" s="20"/>
      <c r="Z3" s="20" t="s">
        <v>111</v>
      </c>
      <c r="AA3" s="20" t="s">
        <v>112</v>
      </c>
      <c r="AB3" s="20" t="s">
        <v>103</v>
      </c>
      <c r="AC3" s="79" t="s">
        <v>106</v>
      </c>
      <c r="AD3" s="21" t="s">
        <v>113</v>
      </c>
    </row>
    <row r="4" spans="1:30" ht="14.4" x14ac:dyDescent="0.3">
      <c r="A4" s="15">
        <v>30</v>
      </c>
      <c r="B4" s="7" t="s">
        <v>2</v>
      </c>
      <c r="C4" s="22" t="s">
        <v>13</v>
      </c>
      <c r="D4" s="23">
        <v>2000</v>
      </c>
      <c r="E4" s="24">
        <v>0.1</v>
      </c>
      <c r="F4" s="25">
        <v>8</v>
      </c>
      <c r="G4" s="26">
        <f>F4+F4*E4</f>
        <v>8.8000000000000007</v>
      </c>
      <c r="H4" s="27">
        <f>(G4*D4)/1000</f>
        <v>17.600000000000001</v>
      </c>
      <c r="I4" s="27">
        <f>C26</f>
        <v>2.04</v>
      </c>
      <c r="J4" s="89">
        <f>H4*I4</f>
        <v>35.904000000000003</v>
      </c>
      <c r="K4" s="84">
        <f>E36</f>
        <v>1.1438383838383839E-3</v>
      </c>
      <c r="L4" s="28">
        <f t="shared" ref="L4:L14" si="0">K4*D4</f>
        <v>2.2876767676767678</v>
      </c>
      <c r="M4" s="29">
        <f>A18*B18</f>
        <v>128</v>
      </c>
      <c r="N4" s="29">
        <f>C18</f>
        <v>450</v>
      </c>
      <c r="O4" s="29">
        <f>E18+F18*D18</f>
        <v>17.5</v>
      </c>
      <c r="P4" s="29">
        <f t="shared" ref="P4:P14" si="1">D4/N4</f>
        <v>4.4444444444444446</v>
      </c>
      <c r="Q4" s="28">
        <f>O4*P4</f>
        <v>77.777777777777786</v>
      </c>
      <c r="R4" s="26">
        <f>Q4+L4+J4+M4</f>
        <v>243.96945454545457</v>
      </c>
      <c r="S4" s="26">
        <f>G18</f>
        <v>0.3</v>
      </c>
      <c r="T4" s="26">
        <f>R4+R4*S4</f>
        <v>317.16029090909092</v>
      </c>
      <c r="U4" s="27">
        <f t="shared" ref="U4:U14" si="2">T4/D4</f>
        <v>0.15858014545454546</v>
      </c>
      <c r="V4" s="78">
        <f>E19+F19*D19</f>
        <v>11.25</v>
      </c>
      <c r="W4" s="78">
        <f>V4*P4</f>
        <v>50</v>
      </c>
      <c r="X4" s="92">
        <f>W4+M4+L4+J4</f>
        <v>216.19167676767677</v>
      </c>
      <c r="Y4" s="78">
        <f>G18</f>
        <v>0.3</v>
      </c>
      <c r="Z4" s="26">
        <f>X4+X4*Y4</f>
        <v>281.04917979797978</v>
      </c>
      <c r="AA4" s="78">
        <f t="shared" ref="AA4:AA14" si="3">Z4/D4</f>
        <v>0.14052458989898989</v>
      </c>
      <c r="AB4" s="30">
        <v>180</v>
      </c>
      <c r="AC4" s="81">
        <f>U4*2+(U4*2*80/100)</f>
        <v>0.57088852363636367</v>
      </c>
      <c r="AD4" s="81">
        <f>AA4*2+(AA4*2*80/100)</f>
        <v>0.50588852363636361</v>
      </c>
    </row>
    <row r="5" spans="1:30" ht="14.4" x14ac:dyDescent="0.3">
      <c r="A5" s="15">
        <v>30</v>
      </c>
      <c r="B5" s="7" t="s">
        <v>3</v>
      </c>
      <c r="C5" s="22" t="s">
        <v>14</v>
      </c>
      <c r="D5" s="23">
        <v>4000</v>
      </c>
      <c r="E5" s="24">
        <v>0.1</v>
      </c>
      <c r="F5" s="25">
        <v>8</v>
      </c>
      <c r="G5" s="26">
        <f t="shared" ref="G5:G14" si="4">F5+F5*E5</f>
        <v>8.8000000000000007</v>
      </c>
      <c r="H5" s="27">
        <f t="shared" ref="H5:H14" si="5">(G5*D5)/1000</f>
        <v>35.200000000000003</v>
      </c>
      <c r="I5" s="27">
        <f>C26</f>
        <v>2.04</v>
      </c>
      <c r="J5" s="89">
        <f t="shared" ref="J5:J14" si="6">H5*I5</f>
        <v>71.808000000000007</v>
      </c>
      <c r="K5" s="84">
        <f>E36</f>
        <v>1.1438383838383839E-3</v>
      </c>
      <c r="L5" s="28">
        <f t="shared" si="0"/>
        <v>4.5753535353535355</v>
      </c>
      <c r="M5" s="29">
        <f>A18*B18</f>
        <v>128</v>
      </c>
      <c r="N5" s="29">
        <f>C18</f>
        <v>450</v>
      </c>
      <c r="O5" s="29">
        <f>E18+F18*D18</f>
        <v>17.5</v>
      </c>
      <c r="P5" s="29">
        <f t="shared" si="1"/>
        <v>8.8888888888888893</v>
      </c>
      <c r="Q5" s="28">
        <f t="shared" ref="Q5:Q14" si="7">O5*P5</f>
        <v>155.55555555555557</v>
      </c>
      <c r="R5" s="26">
        <f t="shared" ref="R5:R14" si="8">Q5+L5+J5+M5</f>
        <v>359.93890909090914</v>
      </c>
      <c r="S5" s="26">
        <f>G18</f>
        <v>0.3</v>
      </c>
      <c r="T5" s="26">
        <f t="shared" ref="T5:T14" si="9">R5+R5*S5</f>
        <v>467.92058181818186</v>
      </c>
      <c r="U5" s="27">
        <f t="shared" si="2"/>
        <v>0.11698014545454546</v>
      </c>
      <c r="V5" s="78">
        <f>E19+F19*D19</f>
        <v>11.25</v>
      </c>
      <c r="W5" s="78">
        <f t="shared" ref="W5:W14" si="10">V5*P5</f>
        <v>100</v>
      </c>
      <c r="X5" s="92">
        <f t="shared" ref="X5:X14" si="11">W5+M5+L5+J5</f>
        <v>304.38335353535354</v>
      </c>
      <c r="Y5" s="78">
        <f>G18</f>
        <v>0.3</v>
      </c>
      <c r="Z5" s="26">
        <f t="shared" ref="Z5:Z14" si="12">X5+X5*Y5</f>
        <v>395.69835959595957</v>
      </c>
      <c r="AA5" s="78">
        <f t="shared" si="3"/>
        <v>9.892458989898989E-2</v>
      </c>
      <c r="AB5" s="30">
        <v>160</v>
      </c>
      <c r="AC5" s="31">
        <f>U5*2+(U5*2*80/100)</f>
        <v>0.42112852363636366</v>
      </c>
      <c r="AD5" s="31">
        <f>AA5*2+(AA5*2*80/100)</f>
        <v>0.3561285236363636</v>
      </c>
    </row>
    <row r="6" spans="1:30" ht="14.4" x14ac:dyDescent="0.3">
      <c r="A6" s="15">
        <v>30</v>
      </c>
      <c r="B6" s="7" t="s">
        <v>4</v>
      </c>
      <c r="C6" s="22" t="s">
        <v>15</v>
      </c>
      <c r="D6" s="23">
        <v>7500</v>
      </c>
      <c r="E6" s="24">
        <v>7.0000000000000007E-2</v>
      </c>
      <c r="F6" s="25">
        <v>8</v>
      </c>
      <c r="G6" s="26">
        <f t="shared" si="4"/>
        <v>8.56</v>
      </c>
      <c r="H6" s="27">
        <f t="shared" si="5"/>
        <v>64.2</v>
      </c>
      <c r="I6" s="27">
        <f>C26</f>
        <v>2.04</v>
      </c>
      <c r="J6" s="89">
        <f t="shared" si="6"/>
        <v>130.96800000000002</v>
      </c>
      <c r="K6" s="84">
        <f>E36</f>
        <v>1.1438383838383839E-3</v>
      </c>
      <c r="L6" s="28">
        <f t="shared" si="0"/>
        <v>8.57878787878788</v>
      </c>
      <c r="M6" s="29">
        <f>A18*B18</f>
        <v>128</v>
      </c>
      <c r="N6" s="29">
        <f>C18</f>
        <v>450</v>
      </c>
      <c r="O6" s="29">
        <f>E18+F18*D18</f>
        <v>17.5</v>
      </c>
      <c r="P6" s="29">
        <f t="shared" si="1"/>
        <v>16.666666666666668</v>
      </c>
      <c r="Q6" s="28">
        <f t="shared" si="7"/>
        <v>291.66666666666669</v>
      </c>
      <c r="R6" s="26">
        <f t="shared" si="8"/>
        <v>559.21345454545462</v>
      </c>
      <c r="S6" s="26">
        <f>G18</f>
        <v>0.3</v>
      </c>
      <c r="T6" s="26">
        <f t="shared" si="9"/>
        <v>726.97749090909099</v>
      </c>
      <c r="U6" s="27">
        <f t="shared" si="2"/>
        <v>9.6930332121212132E-2</v>
      </c>
      <c r="V6" s="78">
        <f>E19+F19*D19</f>
        <v>11.25</v>
      </c>
      <c r="W6" s="78">
        <f t="shared" si="10"/>
        <v>187.5</v>
      </c>
      <c r="X6" s="92">
        <f t="shared" si="11"/>
        <v>455.04678787878788</v>
      </c>
      <c r="Y6" s="78">
        <f>G18</f>
        <v>0.3</v>
      </c>
      <c r="Z6" s="26">
        <f t="shared" si="12"/>
        <v>591.56082424242425</v>
      </c>
      <c r="AA6" s="78">
        <f t="shared" si="3"/>
        <v>7.8874776565656571E-2</v>
      </c>
      <c r="AB6" s="30">
        <v>140</v>
      </c>
      <c r="AC6" s="31">
        <f>U6*2+(U6*2*80/100)</f>
        <v>0.34894919563636367</v>
      </c>
      <c r="AD6" s="31">
        <f>AA6*2+(AA6*2*80/100)</f>
        <v>0.28394919563636367</v>
      </c>
    </row>
    <row r="7" spans="1:30" ht="14.4" x14ac:dyDescent="0.3">
      <c r="A7" s="15">
        <v>30</v>
      </c>
      <c r="B7" s="7" t="s">
        <v>5</v>
      </c>
      <c r="C7" s="22" t="s">
        <v>16</v>
      </c>
      <c r="D7" s="23">
        <v>12500</v>
      </c>
      <c r="E7" s="24">
        <v>7.0000000000000007E-2</v>
      </c>
      <c r="F7" s="25">
        <v>8</v>
      </c>
      <c r="G7" s="26">
        <f t="shared" si="4"/>
        <v>8.56</v>
      </c>
      <c r="H7" s="27">
        <f t="shared" si="5"/>
        <v>107</v>
      </c>
      <c r="I7" s="27">
        <f>C26</f>
        <v>2.04</v>
      </c>
      <c r="J7" s="89">
        <f t="shared" si="6"/>
        <v>218.28</v>
      </c>
      <c r="K7" s="84">
        <f>E36</f>
        <v>1.1438383838383839E-3</v>
      </c>
      <c r="L7" s="28">
        <f t="shared" si="0"/>
        <v>14.297979797979799</v>
      </c>
      <c r="M7" s="29">
        <f>A18*B18</f>
        <v>128</v>
      </c>
      <c r="N7" s="29">
        <f>C18</f>
        <v>450</v>
      </c>
      <c r="O7" s="29">
        <f>E18+F18*D18</f>
        <v>17.5</v>
      </c>
      <c r="P7" s="29">
        <f t="shared" si="1"/>
        <v>27.777777777777779</v>
      </c>
      <c r="Q7" s="28">
        <f t="shared" si="7"/>
        <v>486.11111111111114</v>
      </c>
      <c r="R7" s="26">
        <f t="shared" si="8"/>
        <v>846.68909090909096</v>
      </c>
      <c r="S7" s="26">
        <f>G18</f>
        <v>0.3</v>
      </c>
      <c r="T7" s="26">
        <f t="shared" si="9"/>
        <v>1100.6958181818181</v>
      </c>
      <c r="U7" s="27">
        <f t="shared" si="2"/>
        <v>8.8055665454545448E-2</v>
      </c>
      <c r="V7" s="78">
        <f>E19+F19*D19</f>
        <v>11.25</v>
      </c>
      <c r="W7" s="78">
        <f t="shared" si="10"/>
        <v>312.5</v>
      </c>
      <c r="X7" s="92">
        <f t="shared" si="11"/>
        <v>673.07797979797976</v>
      </c>
      <c r="Y7" s="78">
        <f>G18</f>
        <v>0.3</v>
      </c>
      <c r="Z7" s="26">
        <f t="shared" si="12"/>
        <v>875.00137373737368</v>
      </c>
      <c r="AA7" s="78">
        <f t="shared" si="3"/>
        <v>7.0000109898989901E-2</v>
      </c>
      <c r="AB7" s="30">
        <v>85</v>
      </c>
      <c r="AC7" s="31">
        <f>U7+U7*AB7/100</f>
        <v>0.16290298109090909</v>
      </c>
      <c r="AD7" s="31">
        <f>AA7+AA7*AB7/100</f>
        <v>0.12950020331313133</v>
      </c>
    </row>
    <row r="8" spans="1:30" ht="14.4" x14ac:dyDescent="0.3">
      <c r="A8" s="15">
        <v>30</v>
      </c>
      <c r="B8" s="7" t="s">
        <v>6</v>
      </c>
      <c r="C8" s="22" t="s">
        <v>17</v>
      </c>
      <c r="D8" s="23">
        <v>17500</v>
      </c>
      <c r="E8" s="24">
        <v>7.0000000000000007E-2</v>
      </c>
      <c r="F8" s="25">
        <v>8</v>
      </c>
      <c r="G8" s="26">
        <f t="shared" si="4"/>
        <v>8.56</v>
      </c>
      <c r="H8" s="27">
        <f t="shared" si="5"/>
        <v>149.80000000000001</v>
      </c>
      <c r="I8" s="27">
        <f>C26</f>
        <v>2.04</v>
      </c>
      <c r="J8" s="89">
        <f t="shared" si="6"/>
        <v>305.59200000000004</v>
      </c>
      <c r="K8" s="84">
        <f>E36</f>
        <v>1.1438383838383839E-3</v>
      </c>
      <c r="L8" s="28">
        <f t="shared" si="0"/>
        <v>20.017171717171717</v>
      </c>
      <c r="M8" s="29">
        <f>A18*B18</f>
        <v>128</v>
      </c>
      <c r="N8" s="29">
        <f>C18</f>
        <v>450</v>
      </c>
      <c r="O8" s="29">
        <f>E18+F18*D18</f>
        <v>17.5</v>
      </c>
      <c r="P8" s="29">
        <f t="shared" si="1"/>
        <v>38.888888888888886</v>
      </c>
      <c r="Q8" s="28">
        <f t="shared" si="7"/>
        <v>680.55555555555554</v>
      </c>
      <c r="R8" s="26">
        <f t="shared" si="8"/>
        <v>1134.1647272727273</v>
      </c>
      <c r="S8" s="26">
        <f>G18</f>
        <v>0.3</v>
      </c>
      <c r="T8" s="26">
        <f t="shared" si="9"/>
        <v>1474.4141454545454</v>
      </c>
      <c r="U8" s="27">
        <f t="shared" si="2"/>
        <v>8.4252236883116879E-2</v>
      </c>
      <c r="V8" s="78">
        <f>E19+F19*D19</f>
        <v>11.25</v>
      </c>
      <c r="W8" s="78">
        <f t="shared" si="10"/>
        <v>437.49999999999994</v>
      </c>
      <c r="X8" s="92">
        <f t="shared" si="11"/>
        <v>891.10917171717165</v>
      </c>
      <c r="Y8" s="78">
        <f>G18</f>
        <v>0.3</v>
      </c>
      <c r="Z8" s="26">
        <f t="shared" si="12"/>
        <v>1158.441923232323</v>
      </c>
      <c r="AA8" s="78">
        <f t="shared" si="3"/>
        <v>6.6196681327561319E-2</v>
      </c>
      <c r="AB8" s="30">
        <v>80</v>
      </c>
      <c r="AC8" s="31">
        <f t="shared" ref="AC8:AC14" si="13">U8+U8*AB8/100</f>
        <v>0.1516540263896104</v>
      </c>
      <c r="AD8" s="31">
        <f t="shared" ref="AD8:AD14" si="14">AA8+AA8*AB8/100</f>
        <v>0.11915402638961037</v>
      </c>
    </row>
    <row r="9" spans="1:30" ht="14.4" x14ac:dyDescent="0.3">
      <c r="A9" s="15">
        <v>30</v>
      </c>
      <c r="B9" s="7" t="s">
        <v>7</v>
      </c>
      <c r="C9" s="22" t="s">
        <v>18</v>
      </c>
      <c r="D9" s="23">
        <v>25000</v>
      </c>
      <c r="E9" s="24">
        <v>0.05</v>
      </c>
      <c r="F9" s="25">
        <v>8</v>
      </c>
      <c r="G9" s="26">
        <f t="shared" si="4"/>
        <v>8.4</v>
      </c>
      <c r="H9" s="27">
        <f t="shared" si="5"/>
        <v>210</v>
      </c>
      <c r="I9" s="27">
        <f>C26</f>
        <v>2.04</v>
      </c>
      <c r="J9" s="89">
        <f t="shared" si="6"/>
        <v>428.40000000000003</v>
      </c>
      <c r="K9" s="84">
        <f>E36</f>
        <v>1.1438383838383839E-3</v>
      </c>
      <c r="L9" s="28">
        <f t="shared" si="0"/>
        <v>28.595959595959599</v>
      </c>
      <c r="M9" s="29">
        <f>A18*B18</f>
        <v>128</v>
      </c>
      <c r="N9" s="29">
        <f>C18</f>
        <v>450</v>
      </c>
      <c r="O9" s="29">
        <f>E18+F18*D18</f>
        <v>17.5</v>
      </c>
      <c r="P9" s="29">
        <f t="shared" si="1"/>
        <v>55.555555555555557</v>
      </c>
      <c r="Q9" s="28">
        <f t="shared" si="7"/>
        <v>972.22222222222229</v>
      </c>
      <c r="R9" s="26">
        <f t="shared" si="8"/>
        <v>1557.2181818181818</v>
      </c>
      <c r="S9" s="26">
        <f>G18</f>
        <v>0.3</v>
      </c>
      <c r="T9" s="26">
        <f t="shared" si="9"/>
        <v>2024.3836363636365</v>
      </c>
      <c r="U9" s="27">
        <f t="shared" si="2"/>
        <v>8.0975345454545461E-2</v>
      </c>
      <c r="V9" s="78">
        <f>E19+F19*D19</f>
        <v>11.25</v>
      </c>
      <c r="W9" s="78">
        <f t="shared" si="10"/>
        <v>625</v>
      </c>
      <c r="X9" s="92">
        <f t="shared" si="11"/>
        <v>1209.9959595959597</v>
      </c>
      <c r="Y9" s="78">
        <f>G18</f>
        <v>0.3</v>
      </c>
      <c r="Z9" s="26">
        <f t="shared" si="12"/>
        <v>1572.9947474747476</v>
      </c>
      <c r="AA9" s="78">
        <f t="shared" si="3"/>
        <v>6.29197898989899E-2</v>
      </c>
      <c r="AB9" s="30">
        <v>75</v>
      </c>
      <c r="AC9" s="31">
        <f t="shared" si="13"/>
        <v>0.14170685454545456</v>
      </c>
      <c r="AD9" s="31">
        <f t="shared" si="14"/>
        <v>0.11010963232323231</v>
      </c>
    </row>
    <row r="10" spans="1:30" ht="14.4" x14ac:dyDescent="0.3">
      <c r="A10" s="15">
        <v>30</v>
      </c>
      <c r="B10" s="7" t="s">
        <v>8</v>
      </c>
      <c r="C10" s="22" t="s">
        <v>19</v>
      </c>
      <c r="D10" s="23">
        <v>35000</v>
      </c>
      <c r="E10" s="24">
        <v>0.05</v>
      </c>
      <c r="F10" s="25">
        <v>8</v>
      </c>
      <c r="G10" s="26">
        <f t="shared" si="4"/>
        <v>8.4</v>
      </c>
      <c r="H10" s="27">
        <f t="shared" si="5"/>
        <v>294</v>
      </c>
      <c r="I10" s="27">
        <f>C26</f>
        <v>2.04</v>
      </c>
      <c r="J10" s="89">
        <f t="shared" si="6"/>
        <v>599.76</v>
      </c>
      <c r="K10" s="84">
        <f>E36</f>
        <v>1.1438383838383839E-3</v>
      </c>
      <c r="L10" s="28">
        <f t="shared" si="0"/>
        <v>40.034343434343434</v>
      </c>
      <c r="M10" s="29">
        <f>A18*B18</f>
        <v>128</v>
      </c>
      <c r="N10" s="29">
        <f>C18</f>
        <v>450</v>
      </c>
      <c r="O10" s="29">
        <f>E18+F18*D18</f>
        <v>17.5</v>
      </c>
      <c r="P10" s="29">
        <f t="shared" si="1"/>
        <v>77.777777777777771</v>
      </c>
      <c r="Q10" s="28">
        <f t="shared" si="7"/>
        <v>1361.1111111111111</v>
      </c>
      <c r="R10" s="26">
        <f t="shared" si="8"/>
        <v>2128.9054545454546</v>
      </c>
      <c r="S10" s="26">
        <f>G18</f>
        <v>0.3</v>
      </c>
      <c r="T10" s="26">
        <f t="shared" si="9"/>
        <v>2767.5770909090911</v>
      </c>
      <c r="U10" s="27">
        <f t="shared" si="2"/>
        <v>7.9073631168831177E-2</v>
      </c>
      <c r="V10" s="78">
        <f>E19+F19*D19</f>
        <v>11.25</v>
      </c>
      <c r="W10" s="78">
        <f t="shared" si="10"/>
        <v>874.99999999999989</v>
      </c>
      <c r="X10" s="92">
        <f t="shared" si="11"/>
        <v>1642.7943434343433</v>
      </c>
      <c r="Y10" s="78">
        <f>G18</f>
        <v>0.3</v>
      </c>
      <c r="Z10" s="26">
        <f t="shared" si="12"/>
        <v>2135.6326464646463</v>
      </c>
      <c r="AA10" s="78">
        <f t="shared" si="3"/>
        <v>6.1018075613275609E-2</v>
      </c>
      <c r="AB10" s="30">
        <v>75</v>
      </c>
      <c r="AC10" s="31">
        <f t="shared" si="13"/>
        <v>0.13837885454545457</v>
      </c>
      <c r="AD10" s="31">
        <f t="shared" si="14"/>
        <v>0.10678163232323232</v>
      </c>
    </row>
    <row r="11" spans="1:30" ht="14.4" x14ac:dyDescent="0.3">
      <c r="A11" s="15">
        <v>30</v>
      </c>
      <c r="B11" s="7" t="s">
        <v>9</v>
      </c>
      <c r="C11" s="22" t="s">
        <v>20</v>
      </c>
      <c r="D11" s="23">
        <v>45000</v>
      </c>
      <c r="E11" s="24">
        <v>0.05</v>
      </c>
      <c r="F11" s="25">
        <v>8</v>
      </c>
      <c r="G11" s="26">
        <f t="shared" si="4"/>
        <v>8.4</v>
      </c>
      <c r="H11" s="27">
        <f t="shared" si="5"/>
        <v>378</v>
      </c>
      <c r="I11" s="27">
        <f>C26</f>
        <v>2.04</v>
      </c>
      <c r="J11" s="89">
        <f t="shared" si="6"/>
        <v>771.12</v>
      </c>
      <c r="K11" s="84">
        <f>E36</f>
        <v>1.1438383838383839E-3</v>
      </c>
      <c r="L11" s="28">
        <f t="shared" si="0"/>
        <v>51.472727272727276</v>
      </c>
      <c r="M11" s="29">
        <f>A18*B18</f>
        <v>128</v>
      </c>
      <c r="N11" s="29">
        <f>C18</f>
        <v>450</v>
      </c>
      <c r="O11" s="29">
        <f>E18+F18*D18</f>
        <v>17.5</v>
      </c>
      <c r="P11" s="29">
        <f t="shared" si="1"/>
        <v>100</v>
      </c>
      <c r="Q11" s="28">
        <f t="shared" si="7"/>
        <v>1750</v>
      </c>
      <c r="R11" s="26">
        <f t="shared" si="8"/>
        <v>2700.5927272727272</v>
      </c>
      <c r="S11" s="26">
        <f>G18</f>
        <v>0.3</v>
      </c>
      <c r="T11" s="26">
        <f t="shared" si="9"/>
        <v>3510.7705454545453</v>
      </c>
      <c r="U11" s="27">
        <f t="shared" si="2"/>
        <v>7.8017123232323224E-2</v>
      </c>
      <c r="V11" s="78">
        <f>E19+F19*D19</f>
        <v>11.25</v>
      </c>
      <c r="W11" s="78">
        <f t="shared" si="10"/>
        <v>1125</v>
      </c>
      <c r="X11" s="92">
        <f t="shared" si="11"/>
        <v>2075.5927272727272</v>
      </c>
      <c r="Y11" s="78">
        <f>G18</f>
        <v>0.3</v>
      </c>
      <c r="Z11" s="26">
        <f t="shared" si="12"/>
        <v>2698.2705454545453</v>
      </c>
      <c r="AA11" s="78">
        <f t="shared" si="3"/>
        <v>5.996156767676767E-2</v>
      </c>
      <c r="AB11" s="30">
        <v>70</v>
      </c>
      <c r="AC11" s="31">
        <f t="shared" si="13"/>
        <v>0.13262910949494949</v>
      </c>
      <c r="AD11" s="31">
        <f t="shared" si="14"/>
        <v>0.10193466505050504</v>
      </c>
    </row>
    <row r="12" spans="1:30" ht="14.4" x14ac:dyDescent="0.3">
      <c r="A12" s="15">
        <v>30</v>
      </c>
      <c r="B12" s="7" t="s">
        <v>10</v>
      </c>
      <c r="C12" s="22" t="s">
        <v>21</v>
      </c>
      <c r="D12" s="23">
        <v>75000</v>
      </c>
      <c r="E12" s="24">
        <v>0.05</v>
      </c>
      <c r="F12" s="25">
        <v>8</v>
      </c>
      <c r="G12" s="26">
        <f t="shared" si="4"/>
        <v>8.4</v>
      </c>
      <c r="H12" s="27">
        <f t="shared" si="5"/>
        <v>630</v>
      </c>
      <c r="I12" s="27">
        <f>C26</f>
        <v>2.04</v>
      </c>
      <c r="J12" s="89">
        <f t="shared" si="6"/>
        <v>1285.2</v>
      </c>
      <c r="K12" s="84">
        <f>E36</f>
        <v>1.1438383838383839E-3</v>
      </c>
      <c r="L12" s="28">
        <f t="shared" si="0"/>
        <v>85.787878787878796</v>
      </c>
      <c r="M12" s="29">
        <f>A18*B18</f>
        <v>128</v>
      </c>
      <c r="N12" s="29">
        <f>C18</f>
        <v>450</v>
      </c>
      <c r="O12" s="29">
        <f>E18+F18*D18</f>
        <v>17.5</v>
      </c>
      <c r="P12" s="29">
        <f t="shared" si="1"/>
        <v>166.66666666666666</v>
      </c>
      <c r="Q12" s="28">
        <f>O12*P12</f>
        <v>2916.6666666666665</v>
      </c>
      <c r="R12" s="26">
        <f t="shared" si="8"/>
        <v>4415.6545454545458</v>
      </c>
      <c r="S12" s="26">
        <f>G18</f>
        <v>0.3</v>
      </c>
      <c r="T12" s="26">
        <f t="shared" si="9"/>
        <v>5740.3509090909092</v>
      </c>
      <c r="U12" s="27">
        <f t="shared" si="2"/>
        <v>7.6538012121212126E-2</v>
      </c>
      <c r="V12" s="78">
        <f>E19+F19*D19</f>
        <v>11.25</v>
      </c>
      <c r="W12" s="78">
        <f t="shared" si="10"/>
        <v>1875</v>
      </c>
      <c r="X12" s="92">
        <f t="shared" si="11"/>
        <v>3373.9878787878788</v>
      </c>
      <c r="Y12" s="78">
        <f>G18</f>
        <v>0.3</v>
      </c>
      <c r="Z12" s="26">
        <f t="shared" si="12"/>
        <v>4386.1842424242423</v>
      </c>
      <c r="AA12" s="78">
        <f t="shared" si="3"/>
        <v>5.8482456565656565E-2</v>
      </c>
      <c r="AB12" s="30">
        <v>70</v>
      </c>
      <c r="AC12" s="31">
        <f t="shared" si="13"/>
        <v>0.1301146206060606</v>
      </c>
      <c r="AD12" s="31">
        <f t="shared" si="14"/>
        <v>9.9420176161616164E-2</v>
      </c>
    </row>
    <row r="13" spans="1:30" ht="14.4" x14ac:dyDescent="0.3">
      <c r="A13" s="15">
        <v>30</v>
      </c>
      <c r="B13" s="7" t="s">
        <v>11</v>
      </c>
      <c r="C13" s="22" t="s">
        <v>22</v>
      </c>
      <c r="D13" s="23">
        <v>125000</v>
      </c>
      <c r="E13" s="24">
        <v>0.03</v>
      </c>
      <c r="F13" s="25">
        <v>8</v>
      </c>
      <c r="G13" s="26">
        <f t="shared" si="4"/>
        <v>8.24</v>
      </c>
      <c r="H13" s="27">
        <f t="shared" si="5"/>
        <v>1030</v>
      </c>
      <c r="I13" s="27">
        <f>C26</f>
        <v>2.04</v>
      </c>
      <c r="J13" s="89">
        <f t="shared" si="6"/>
        <v>2101.1999999999998</v>
      </c>
      <c r="K13" s="84">
        <f>E36</f>
        <v>1.1438383838383839E-3</v>
      </c>
      <c r="L13" s="28">
        <f t="shared" si="0"/>
        <v>142.97979797979798</v>
      </c>
      <c r="M13" s="29">
        <f>A18*B18</f>
        <v>128</v>
      </c>
      <c r="N13" s="29">
        <f>C18</f>
        <v>450</v>
      </c>
      <c r="O13" s="29">
        <f>E18+F18*D18</f>
        <v>17.5</v>
      </c>
      <c r="P13" s="29">
        <f t="shared" si="1"/>
        <v>277.77777777777777</v>
      </c>
      <c r="Q13" s="28">
        <f t="shared" si="7"/>
        <v>4861.1111111111113</v>
      </c>
      <c r="R13" s="26">
        <f t="shared" si="8"/>
        <v>7233.2909090909088</v>
      </c>
      <c r="S13" s="26">
        <f>G18</f>
        <v>0.3</v>
      </c>
      <c r="T13" s="26">
        <f t="shared" si="9"/>
        <v>9403.2781818181811</v>
      </c>
      <c r="U13" s="27">
        <f t="shared" si="2"/>
        <v>7.5226225454545451E-2</v>
      </c>
      <c r="V13" s="78">
        <f>E19+F19*D19</f>
        <v>11.25</v>
      </c>
      <c r="W13" s="78">
        <f t="shared" si="10"/>
        <v>3125</v>
      </c>
      <c r="X13" s="92">
        <f t="shared" si="11"/>
        <v>5497.1797979797975</v>
      </c>
      <c r="Y13" s="78">
        <f>G18</f>
        <v>0.3</v>
      </c>
      <c r="Z13" s="26">
        <f t="shared" si="12"/>
        <v>7146.3337373737368</v>
      </c>
      <c r="AA13" s="78">
        <f t="shared" si="3"/>
        <v>5.7170669898989897E-2</v>
      </c>
      <c r="AB13" s="30">
        <v>65</v>
      </c>
      <c r="AC13" s="31">
        <f t="shared" si="13"/>
        <v>0.12412327199999999</v>
      </c>
      <c r="AD13" s="31">
        <f t="shared" si="14"/>
        <v>9.4331605333333318E-2</v>
      </c>
    </row>
    <row r="14" spans="1:30" ht="15" thickBot="1" x14ac:dyDescent="0.35">
      <c r="A14" s="15">
        <v>30</v>
      </c>
      <c r="B14" s="7" t="s">
        <v>12</v>
      </c>
      <c r="C14" s="22" t="s">
        <v>23</v>
      </c>
      <c r="D14" s="23">
        <v>200000</v>
      </c>
      <c r="E14" s="24">
        <v>0.03</v>
      </c>
      <c r="F14" s="25">
        <v>8</v>
      </c>
      <c r="G14" s="26">
        <f t="shared" si="4"/>
        <v>8.24</v>
      </c>
      <c r="H14" s="27">
        <f t="shared" si="5"/>
        <v>1648</v>
      </c>
      <c r="I14" s="27">
        <f>C26</f>
        <v>2.04</v>
      </c>
      <c r="J14" s="89">
        <f t="shared" si="6"/>
        <v>3361.92</v>
      </c>
      <c r="K14" s="84">
        <f>E36</f>
        <v>1.1438383838383839E-3</v>
      </c>
      <c r="L14" s="28">
        <f t="shared" si="0"/>
        <v>228.76767676767679</v>
      </c>
      <c r="M14" s="29">
        <f>A18*B18</f>
        <v>128</v>
      </c>
      <c r="N14" s="29">
        <f>C18</f>
        <v>450</v>
      </c>
      <c r="O14" s="29">
        <f>E18+F18*D18</f>
        <v>17.5</v>
      </c>
      <c r="P14" s="29">
        <f t="shared" si="1"/>
        <v>444.44444444444446</v>
      </c>
      <c r="Q14" s="28">
        <f t="shared" si="7"/>
        <v>7777.7777777777783</v>
      </c>
      <c r="R14" s="26">
        <f t="shared" si="8"/>
        <v>11496.465454545454</v>
      </c>
      <c r="S14" s="26">
        <f>G18</f>
        <v>0.3</v>
      </c>
      <c r="T14" s="26">
        <f t="shared" si="9"/>
        <v>14945.405090909091</v>
      </c>
      <c r="U14" s="27">
        <f t="shared" si="2"/>
        <v>7.4727025454545459E-2</v>
      </c>
      <c r="V14" s="78">
        <f>E19+F19*D19</f>
        <v>11.25</v>
      </c>
      <c r="W14" s="78">
        <f t="shared" si="10"/>
        <v>5000</v>
      </c>
      <c r="X14" s="92">
        <f t="shared" si="11"/>
        <v>8718.6876767676767</v>
      </c>
      <c r="Y14" s="78">
        <f>G18</f>
        <v>0.3</v>
      </c>
      <c r="Z14" s="26">
        <f t="shared" si="12"/>
        <v>11334.29397979798</v>
      </c>
      <c r="AA14" s="78">
        <f t="shared" si="3"/>
        <v>5.6671469898989899E-2</v>
      </c>
      <c r="AB14" s="30">
        <v>60</v>
      </c>
      <c r="AC14" s="32">
        <f t="shared" si="13"/>
        <v>0.11956324072727273</v>
      </c>
      <c r="AD14" s="32">
        <f t="shared" si="14"/>
        <v>9.0674351838383849E-2</v>
      </c>
    </row>
    <row r="15" spans="1:30" ht="14.4" thickBot="1" x14ac:dyDescent="0.35"/>
    <row r="16" spans="1:30" x14ac:dyDescent="0.3">
      <c r="A16" s="33" t="s">
        <v>27</v>
      </c>
      <c r="B16" s="34"/>
      <c r="C16" s="34"/>
      <c r="D16" s="34"/>
      <c r="E16" s="34"/>
      <c r="F16" s="34"/>
      <c r="G16" s="35"/>
      <c r="AC16" s="80"/>
    </row>
    <row r="17" spans="1:12" x14ac:dyDescent="0.3">
      <c r="A17" s="36" t="s">
        <v>28</v>
      </c>
      <c r="B17" s="37" t="s">
        <v>29</v>
      </c>
      <c r="C17" s="37" t="s">
        <v>30</v>
      </c>
      <c r="D17" s="37" t="s">
        <v>31</v>
      </c>
      <c r="E17" s="37" t="s">
        <v>32</v>
      </c>
      <c r="F17" s="37" t="s">
        <v>33</v>
      </c>
      <c r="G17" s="38" t="s">
        <v>34</v>
      </c>
      <c r="J17" s="39"/>
      <c r="K17" s="85"/>
      <c r="L17" s="14" t="s">
        <v>59</v>
      </c>
    </row>
    <row r="18" spans="1:12" ht="14.4" thickBot="1" x14ac:dyDescent="0.35">
      <c r="A18" s="40">
        <v>4</v>
      </c>
      <c r="B18" s="41">
        <v>32</v>
      </c>
      <c r="C18" s="41">
        <v>450</v>
      </c>
      <c r="D18" s="41">
        <v>0.5</v>
      </c>
      <c r="E18" s="41">
        <v>5</v>
      </c>
      <c r="F18" s="42">
        <v>25</v>
      </c>
      <c r="G18" s="43">
        <v>0.3</v>
      </c>
    </row>
    <row r="19" spans="1:12" ht="14.4" thickBot="1" x14ac:dyDescent="0.35">
      <c r="A19" s="40">
        <v>4</v>
      </c>
      <c r="B19" s="41">
        <v>32</v>
      </c>
      <c r="C19" s="41">
        <v>450</v>
      </c>
      <c r="D19" s="41">
        <v>0.25</v>
      </c>
      <c r="E19" s="41">
        <v>5</v>
      </c>
      <c r="F19" s="42">
        <v>25</v>
      </c>
      <c r="G19" s="43">
        <v>0.3</v>
      </c>
    </row>
    <row r="20" spans="1:12" ht="14.4" thickBot="1" x14ac:dyDescent="0.35">
      <c r="J20" s="44"/>
      <c r="K20" s="86"/>
      <c r="L20" s="14" t="s">
        <v>60</v>
      </c>
    </row>
    <row r="21" spans="1:12" x14ac:dyDescent="0.3">
      <c r="A21" s="45" t="s">
        <v>35</v>
      </c>
      <c r="B21" s="46"/>
      <c r="C21" s="46" t="s">
        <v>36</v>
      </c>
      <c r="D21" s="47" t="s">
        <v>37</v>
      </c>
    </row>
    <row r="22" spans="1:12" x14ac:dyDescent="0.3">
      <c r="A22" s="48" t="s">
        <v>40</v>
      </c>
      <c r="B22" s="49">
        <v>1.5</v>
      </c>
      <c r="C22" s="50">
        <v>96</v>
      </c>
      <c r="D22" s="51"/>
    </row>
    <row r="23" spans="1:12" x14ac:dyDescent="0.3">
      <c r="A23" s="48" t="s">
        <v>40</v>
      </c>
      <c r="B23" s="49">
        <v>15</v>
      </c>
      <c r="C23" s="50">
        <v>4</v>
      </c>
      <c r="D23" s="51"/>
    </row>
    <row r="24" spans="1:12" x14ac:dyDescent="0.3">
      <c r="A24" s="48" t="s">
        <v>40</v>
      </c>
      <c r="B24" s="49">
        <v>0</v>
      </c>
      <c r="C24" s="50"/>
      <c r="D24" s="51"/>
    </row>
    <row r="25" spans="1:12" ht="14.4" thickBot="1" x14ac:dyDescent="0.35">
      <c r="A25" s="48" t="s">
        <v>44</v>
      </c>
      <c r="B25" s="49">
        <v>0</v>
      </c>
      <c r="C25" s="50"/>
      <c r="D25" s="51"/>
    </row>
    <row r="26" spans="1:12" ht="14.4" thickBot="1" x14ac:dyDescent="0.35">
      <c r="A26" s="52" t="s">
        <v>45</v>
      </c>
      <c r="B26" s="53">
        <f>SUM(B22:B25)</f>
        <v>16.5</v>
      </c>
      <c r="C26" s="54">
        <f>(B22*C22/100)+(B23*C23/100)+(B24*C24/100)+(B25*C25/100)</f>
        <v>2.04</v>
      </c>
      <c r="D26" s="55" t="s">
        <v>62</v>
      </c>
    </row>
    <row r="27" spans="1:12" ht="14.4" thickBot="1" x14ac:dyDescent="0.35"/>
    <row r="28" spans="1:12" x14ac:dyDescent="0.3">
      <c r="A28" s="56" t="s">
        <v>38</v>
      </c>
      <c r="B28" s="57"/>
      <c r="C28" s="58"/>
      <c r="D28" s="59" t="s">
        <v>39</v>
      </c>
      <c r="E28" s="60" t="s">
        <v>97</v>
      </c>
    </row>
    <row r="29" spans="1:12" x14ac:dyDescent="0.3">
      <c r="A29" s="61" t="s">
        <v>42</v>
      </c>
      <c r="B29" s="62">
        <v>1100</v>
      </c>
      <c r="C29" s="63"/>
      <c r="D29" s="64"/>
      <c r="E29" s="65"/>
    </row>
    <row r="30" spans="1:12" x14ac:dyDescent="0.3">
      <c r="A30" s="61" t="s">
        <v>86</v>
      </c>
      <c r="B30" s="62">
        <v>9</v>
      </c>
      <c r="C30" s="63" t="s">
        <v>41</v>
      </c>
      <c r="D30" s="66">
        <v>0.68100000000000005</v>
      </c>
      <c r="E30" s="65">
        <f>D30*B30</f>
        <v>6.1290000000000004</v>
      </c>
    </row>
    <row r="31" spans="1:12" x14ac:dyDescent="0.3">
      <c r="A31" s="61" t="s">
        <v>87</v>
      </c>
      <c r="B31" s="62">
        <f>B30*B29</f>
        <v>9900</v>
      </c>
      <c r="C31" s="67"/>
      <c r="D31" s="68"/>
      <c r="E31" s="65"/>
    </row>
    <row r="32" spans="1:12" x14ac:dyDescent="0.3">
      <c r="A32" s="61" t="s">
        <v>88</v>
      </c>
      <c r="B32" s="62">
        <v>9</v>
      </c>
      <c r="C32" s="63" t="s">
        <v>43</v>
      </c>
      <c r="D32" s="69">
        <v>0.13800000000000001</v>
      </c>
      <c r="E32" s="65">
        <f>D32*B32</f>
        <v>1.242</v>
      </c>
    </row>
    <row r="33" spans="1:5" x14ac:dyDescent="0.3">
      <c r="A33" s="61" t="s">
        <v>46</v>
      </c>
      <c r="B33" s="62">
        <f>B32*5</f>
        <v>45</v>
      </c>
      <c r="C33" s="63" t="s">
        <v>47</v>
      </c>
      <c r="D33" s="66">
        <v>4.3400000000000001E-2</v>
      </c>
      <c r="E33" s="65">
        <f>D33*B33</f>
        <v>1.9530000000000001</v>
      </c>
    </row>
    <row r="34" spans="1:5" ht="14.4" thickBot="1" x14ac:dyDescent="0.35">
      <c r="A34" s="70" t="s">
        <v>48</v>
      </c>
      <c r="B34" s="71" t="s">
        <v>49</v>
      </c>
      <c r="C34" s="72" t="s">
        <v>50</v>
      </c>
      <c r="D34" s="73">
        <v>2</v>
      </c>
      <c r="E34" s="74">
        <f>D34</f>
        <v>2</v>
      </c>
    </row>
    <row r="35" spans="1:5" ht="14.4" thickBot="1" x14ac:dyDescent="0.35">
      <c r="E35" s="75">
        <f>SUM(E29:E34)</f>
        <v>11.324</v>
      </c>
    </row>
    <row r="36" spans="1:5" ht="14.4" thickBot="1" x14ac:dyDescent="0.35">
      <c r="D36" s="76" t="s">
        <v>98</v>
      </c>
      <c r="E36" s="77">
        <f>E35/B31</f>
        <v>1.1438383838383839E-3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B74E0-0D37-4EF0-B2A3-1F20FE7256BA}">
  <dimension ref="A2:AD36"/>
  <sheetViews>
    <sheetView workbookViewId="0">
      <selection activeCell="B23" sqref="B23"/>
    </sheetView>
  </sheetViews>
  <sheetFormatPr defaultColWidth="9.109375" defaultRowHeight="13.8" x14ac:dyDescent="0.3"/>
  <cols>
    <col min="1" max="1" width="28.6640625" style="14" bestFit="1" customWidth="1"/>
    <col min="2" max="2" width="10.109375" style="14" bestFit="1" customWidth="1"/>
    <col min="3" max="3" width="21" style="14" bestFit="1" customWidth="1"/>
    <col min="4" max="4" width="12.44140625" style="14" bestFit="1" customWidth="1"/>
    <col min="5" max="5" width="21" style="14" bestFit="1" customWidth="1"/>
    <col min="6" max="6" width="14.88671875" style="14" bestFit="1" customWidth="1"/>
    <col min="7" max="7" width="23.5546875" style="14" bestFit="1" customWidth="1"/>
    <col min="8" max="8" width="18.6640625" style="14" customWidth="1"/>
    <col min="9" max="9" width="0.109375" style="14" customWidth="1"/>
    <col min="10" max="10" width="9.5546875" style="14" bestFit="1" customWidth="1"/>
    <col min="11" max="11" width="15.33203125" style="82" customWidth="1"/>
    <col min="12" max="12" width="17.5546875" style="14" bestFit="1" customWidth="1"/>
    <col min="13" max="13" width="19.33203125" style="14" customWidth="1"/>
    <col min="14" max="14" width="9.109375" style="14" customWidth="1"/>
    <col min="15" max="15" width="22.88671875" style="14" customWidth="1"/>
    <col min="16" max="16" width="11.88671875" style="14" customWidth="1"/>
    <col min="17" max="17" width="23.5546875" style="14" bestFit="1" customWidth="1"/>
    <col min="18" max="18" width="24.33203125" style="14" customWidth="1"/>
    <col min="19" max="19" width="11" style="14" customWidth="1"/>
    <col min="20" max="20" width="35.5546875" style="14" bestFit="1" customWidth="1"/>
    <col min="21" max="21" width="14.6640625" style="14" bestFit="1" customWidth="1"/>
    <col min="22" max="27" width="14.6640625" style="14" customWidth="1"/>
    <col min="28" max="28" width="16.5546875" style="14" bestFit="1" customWidth="1"/>
    <col min="29" max="29" width="17.44140625" style="14" bestFit="1" customWidth="1"/>
    <col min="30" max="30" width="11.88671875" style="14" bestFit="1" customWidth="1"/>
    <col min="31" max="33" width="11.109375" style="14" customWidth="1"/>
    <col min="34" max="16384" width="9.109375" style="14"/>
  </cols>
  <sheetData>
    <row r="2" spans="1:30" ht="14.4" thickBot="1" x14ac:dyDescent="0.35"/>
    <row r="3" spans="1:30" ht="74.25" customHeight="1" thickBot="1" x14ac:dyDescent="0.35">
      <c r="A3" s="15" t="s">
        <v>57</v>
      </c>
      <c r="B3" s="15" t="s">
        <v>24</v>
      </c>
      <c r="C3" s="15" t="s">
        <v>25</v>
      </c>
      <c r="D3" s="15" t="s">
        <v>26</v>
      </c>
      <c r="E3" s="15" t="s">
        <v>55</v>
      </c>
      <c r="F3" s="15" t="s">
        <v>58</v>
      </c>
      <c r="G3" s="16" t="s">
        <v>51</v>
      </c>
      <c r="H3" s="17" t="s">
        <v>52</v>
      </c>
      <c r="I3" s="17" t="s">
        <v>61</v>
      </c>
      <c r="J3" s="90" t="s">
        <v>53</v>
      </c>
      <c r="K3" s="83" t="s">
        <v>99</v>
      </c>
      <c r="L3" s="18" t="s">
        <v>96</v>
      </c>
      <c r="M3" s="19" t="s">
        <v>54</v>
      </c>
      <c r="N3" s="19" t="s">
        <v>100</v>
      </c>
      <c r="O3" s="19" t="s">
        <v>108</v>
      </c>
      <c r="P3" s="19" t="s">
        <v>101</v>
      </c>
      <c r="Q3" s="91" t="s">
        <v>116</v>
      </c>
      <c r="R3" s="87" t="s">
        <v>107</v>
      </c>
      <c r="S3" s="88" t="s">
        <v>102</v>
      </c>
      <c r="T3" s="87" t="s">
        <v>104</v>
      </c>
      <c r="U3" s="87" t="s">
        <v>105</v>
      </c>
      <c r="V3" s="19" t="s">
        <v>109</v>
      </c>
      <c r="W3" s="20" t="s">
        <v>110</v>
      </c>
      <c r="X3" s="20"/>
      <c r="Y3" s="20"/>
      <c r="Z3" s="20" t="s">
        <v>111</v>
      </c>
      <c r="AA3" s="20" t="s">
        <v>112</v>
      </c>
      <c r="AB3" s="20" t="s">
        <v>103</v>
      </c>
      <c r="AC3" s="79" t="s">
        <v>106</v>
      </c>
      <c r="AD3" s="21" t="s">
        <v>113</v>
      </c>
    </row>
    <row r="4" spans="1:30" ht="14.4" x14ac:dyDescent="0.3">
      <c r="A4" s="15">
        <v>50</v>
      </c>
      <c r="B4" s="7" t="s">
        <v>2</v>
      </c>
      <c r="C4" s="22" t="s">
        <v>13</v>
      </c>
      <c r="D4" s="23">
        <v>2000</v>
      </c>
      <c r="E4" s="24">
        <v>0.1</v>
      </c>
      <c r="F4" s="25">
        <v>10</v>
      </c>
      <c r="G4" s="26">
        <f>F4+F4*E4</f>
        <v>11</v>
      </c>
      <c r="H4" s="27">
        <f>(G4*D4)/1000</f>
        <v>22</v>
      </c>
      <c r="I4" s="27">
        <f>C26</f>
        <v>1.4944</v>
      </c>
      <c r="J4" s="89">
        <f>H4*I4</f>
        <v>32.876799999999996</v>
      </c>
      <c r="K4" s="84">
        <f>E36</f>
        <v>1.1438383838383839E-3</v>
      </c>
      <c r="L4" s="28">
        <f t="shared" ref="L4:L14" si="0">K4*D4</f>
        <v>2.2876767676767678</v>
      </c>
      <c r="M4" s="29">
        <f>A18*B18</f>
        <v>128</v>
      </c>
      <c r="N4" s="29">
        <f>C18</f>
        <v>550</v>
      </c>
      <c r="O4" s="29">
        <f>E18+F18*D18</f>
        <v>17.5</v>
      </c>
      <c r="P4" s="29">
        <f t="shared" ref="P4:P14" si="1">D4/N4</f>
        <v>3.6363636363636362</v>
      </c>
      <c r="Q4" s="28">
        <f>O4*P4</f>
        <v>63.636363636363633</v>
      </c>
      <c r="R4" s="26">
        <f>Q4+L4+J4+M4</f>
        <v>226.8008404040404</v>
      </c>
      <c r="S4" s="26">
        <f>G18</f>
        <v>0.3</v>
      </c>
      <c r="T4" s="26">
        <f>R4+R4*S4</f>
        <v>294.84109252525252</v>
      </c>
      <c r="U4" s="27">
        <f t="shared" ref="U4:U14" si="2">T4/D4</f>
        <v>0.14742054626262627</v>
      </c>
      <c r="V4" s="78">
        <f>E19+F19*D19</f>
        <v>11.25</v>
      </c>
      <c r="W4" s="78">
        <f>V4*P4</f>
        <v>40.909090909090907</v>
      </c>
      <c r="X4" s="92">
        <f>W4+M4+L4+J4</f>
        <v>204.07356767676768</v>
      </c>
      <c r="Y4" s="78">
        <f>G18</f>
        <v>0.3</v>
      </c>
      <c r="Z4" s="26">
        <f>X4+X4*Y4</f>
        <v>265.29563797979796</v>
      </c>
      <c r="AA4" s="78">
        <f t="shared" ref="AA4:AA14" si="3">Z4/D4</f>
        <v>0.13264781898989897</v>
      </c>
      <c r="AB4" s="30">
        <v>180</v>
      </c>
      <c r="AC4" s="81">
        <f>U4*2+(U4*2*80/100)</f>
        <v>0.53071396654545455</v>
      </c>
      <c r="AD4" s="81">
        <f>AA4*2+(AA4*2*80/100)</f>
        <v>0.47753214836363628</v>
      </c>
    </row>
    <row r="5" spans="1:30" ht="14.4" x14ac:dyDescent="0.3">
      <c r="A5" s="15">
        <v>50</v>
      </c>
      <c r="B5" s="7" t="s">
        <v>3</v>
      </c>
      <c r="C5" s="22" t="s">
        <v>14</v>
      </c>
      <c r="D5" s="23">
        <v>4000</v>
      </c>
      <c r="E5" s="24">
        <v>0.1</v>
      </c>
      <c r="F5" s="25">
        <v>10</v>
      </c>
      <c r="G5" s="26">
        <f>F5+F5*E5</f>
        <v>11</v>
      </c>
      <c r="H5" s="27">
        <f t="shared" ref="H5:H14" si="4">(G5*D5)/1000</f>
        <v>44</v>
      </c>
      <c r="I5" s="27">
        <f>C26</f>
        <v>1.4944</v>
      </c>
      <c r="J5" s="89">
        <f t="shared" ref="J5:J14" si="5">H5*I5</f>
        <v>65.753599999999992</v>
      </c>
      <c r="K5" s="84">
        <f>E36</f>
        <v>1.1438383838383839E-3</v>
      </c>
      <c r="L5" s="28">
        <f t="shared" si="0"/>
        <v>4.5753535353535355</v>
      </c>
      <c r="M5" s="29">
        <f>A18*B18</f>
        <v>128</v>
      </c>
      <c r="N5" s="29">
        <f>C18</f>
        <v>550</v>
      </c>
      <c r="O5" s="29">
        <f>E18+F18*D18</f>
        <v>17.5</v>
      </c>
      <c r="P5" s="29">
        <f t="shared" si="1"/>
        <v>7.2727272727272725</v>
      </c>
      <c r="Q5" s="28">
        <f t="shared" ref="Q5:Q14" si="6">O5*P5</f>
        <v>127.27272727272727</v>
      </c>
      <c r="R5" s="26">
        <f t="shared" ref="R5:R14" si="7">Q5+L5+J5+M5</f>
        <v>325.6016808080808</v>
      </c>
      <c r="S5" s="26">
        <f>G18</f>
        <v>0.3</v>
      </c>
      <c r="T5" s="26">
        <f t="shared" ref="T5:T14" si="8">R5+R5*S5</f>
        <v>423.28218505050506</v>
      </c>
      <c r="U5" s="27">
        <f t="shared" si="2"/>
        <v>0.10582054626262627</v>
      </c>
      <c r="V5" s="78">
        <f>E19+F19*D19</f>
        <v>11.25</v>
      </c>
      <c r="W5" s="78">
        <f t="shared" ref="W5:W14" si="9">V5*P5</f>
        <v>81.818181818181813</v>
      </c>
      <c r="X5" s="92">
        <f t="shared" ref="X5:X14" si="10">W5+M5+L5+J5</f>
        <v>280.14713535353536</v>
      </c>
      <c r="Y5" s="78">
        <f>G18</f>
        <v>0.3</v>
      </c>
      <c r="Z5" s="26">
        <f t="shared" ref="Z5:Z14" si="11">X5+X5*Y5</f>
        <v>364.19127595959594</v>
      </c>
      <c r="AA5" s="78">
        <f t="shared" si="3"/>
        <v>9.1047818989898985E-2</v>
      </c>
      <c r="AB5" s="30">
        <v>160</v>
      </c>
      <c r="AC5" s="31">
        <f>U5*2+(U5*2*80/100)</f>
        <v>0.38095396654545455</v>
      </c>
      <c r="AD5" s="31">
        <f>AA5*2+(AA5*2*80/100)</f>
        <v>0.32777214836363633</v>
      </c>
    </row>
    <row r="6" spans="1:30" ht="14.4" x14ac:dyDescent="0.3">
      <c r="A6" s="15">
        <v>50</v>
      </c>
      <c r="B6" s="7" t="s">
        <v>4</v>
      </c>
      <c r="C6" s="22" t="s">
        <v>15</v>
      </c>
      <c r="D6" s="23">
        <v>7500</v>
      </c>
      <c r="E6" s="24">
        <v>7.0000000000000007E-2</v>
      </c>
      <c r="F6" s="25">
        <v>10</v>
      </c>
      <c r="G6" s="26">
        <f t="shared" ref="G6:G14" si="12">F6+F6*E6</f>
        <v>10.7</v>
      </c>
      <c r="H6" s="27">
        <f t="shared" si="4"/>
        <v>80.25</v>
      </c>
      <c r="I6" s="27">
        <f>C26</f>
        <v>1.4944</v>
      </c>
      <c r="J6" s="89">
        <f t="shared" si="5"/>
        <v>119.9256</v>
      </c>
      <c r="K6" s="84">
        <f>E36</f>
        <v>1.1438383838383839E-3</v>
      </c>
      <c r="L6" s="28">
        <f t="shared" si="0"/>
        <v>8.57878787878788</v>
      </c>
      <c r="M6" s="29">
        <f>A18*B18</f>
        <v>128</v>
      </c>
      <c r="N6" s="29">
        <f>C18</f>
        <v>550</v>
      </c>
      <c r="O6" s="29">
        <f>E18+F18*D18</f>
        <v>17.5</v>
      </c>
      <c r="P6" s="29">
        <f t="shared" si="1"/>
        <v>13.636363636363637</v>
      </c>
      <c r="Q6" s="28">
        <f t="shared" si="6"/>
        <v>238.63636363636365</v>
      </c>
      <c r="R6" s="26">
        <f t="shared" si="7"/>
        <v>495.14075151515158</v>
      </c>
      <c r="S6" s="26">
        <f>G18</f>
        <v>0.3</v>
      </c>
      <c r="T6" s="26">
        <f t="shared" si="8"/>
        <v>643.68297696969705</v>
      </c>
      <c r="U6" s="27">
        <f t="shared" si="2"/>
        <v>8.5824396929292945E-2</v>
      </c>
      <c r="V6" s="78">
        <f>E19+F19*D19</f>
        <v>11.25</v>
      </c>
      <c r="W6" s="78">
        <f t="shared" si="9"/>
        <v>153.40909090909091</v>
      </c>
      <c r="X6" s="92">
        <f t="shared" si="10"/>
        <v>409.91347878787872</v>
      </c>
      <c r="Y6" s="78">
        <f>G18</f>
        <v>0.3</v>
      </c>
      <c r="Z6" s="26">
        <f t="shared" si="11"/>
        <v>532.88752242424232</v>
      </c>
      <c r="AA6" s="78">
        <f t="shared" si="3"/>
        <v>7.1051669656565647E-2</v>
      </c>
      <c r="AB6" s="30">
        <v>140</v>
      </c>
      <c r="AC6" s="31">
        <f>U6*2+(U6*2*80/100)</f>
        <v>0.3089678289454546</v>
      </c>
      <c r="AD6" s="31">
        <f>AA6*2+(AA6*2*80/100)</f>
        <v>0.25578601076363633</v>
      </c>
    </row>
    <row r="7" spans="1:30" ht="14.4" x14ac:dyDescent="0.3">
      <c r="A7" s="15">
        <v>50</v>
      </c>
      <c r="B7" s="7" t="s">
        <v>5</v>
      </c>
      <c r="C7" s="22" t="s">
        <v>16</v>
      </c>
      <c r="D7" s="23">
        <v>12500</v>
      </c>
      <c r="E7" s="24">
        <v>7.0000000000000007E-2</v>
      </c>
      <c r="F7" s="25">
        <v>10</v>
      </c>
      <c r="G7" s="26">
        <f t="shared" si="12"/>
        <v>10.7</v>
      </c>
      <c r="H7" s="27">
        <f t="shared" si="4"/>
        <v>133.75</v>
      </c>
      <c r="I7" s="27">
        <f>C26</f>
        <v>1.4944</v>
      </c>
      <c r="J7" s="89">
        <f t="shared" si="5"/>
        <v>199.876</v>
      </c>
      <c r="K7" s="84">
        <f>E36</f>
        <v>1.1438383838383839E-3</v>
      </c>
      <c r="L7" s="28">
        <f t="shared" si="0"/>
        <v>14.297979797979799</v>
      </c>
      <c r="M7" s="29">
        <f>A18*B18</f>
        <v>128</v>
      </c>
      <c r="N7" s="29">
        <f>C18</f>
        <v>550</v>
      </c>
      <c r="O7" s="29">
        <f>E18+F18*D18</f>
        <v>17.5</v>
      </c>
      <c r="P7" s="29">
        <f t="shared" si="1"/>
        <v>22.727272727272727</v>
      </c>
      <c r="Q7" s="28">
        <f t="shared" si="6"/>
        <v>397.72727272727269</v>
      </c>
      <c r="R7" s="26">
        <f t="shared" si="7"/>
        <v>739.90125252525252</v>
      </c>
      <c r="S7" s="26">
        <f>G18</f>
        <v>0.3</v>
      </c>
      <c r="T7" s="26">
        <f t="shared" si="8"/>
        <v>961.87162828282828</v>
      </c>
      <c r="U7" s="27">
        <f t="shared" si="2"/>
        <v>7.6949730262626262E-2</v>
      </c>
      <c r="V7" s="78">
        <f>E19+F19*D19</f>
        <v>11.25</v>
      </c>
      <c r="W7" s="78">
        <f t="shared" si="9"/>
        <v>255.68181818181819</v>
      </c>
      <c r="X7" s="92">
        <f t="shared" si="10"/>
        <v>597.85579797979801</v>
      </c>
      <c r="Y7" s="78">
        <f>G18</f>
        <v>0.3</v>
      </c>
      <c r="Z7" s="26">
        <f t="shared" si="11"/>
        <v>777.2125373737374</v>
      </c>
      <c r="AA7" s="78">
        <f t="shared" si="3"/>
        <v>6.2177002989898991E-2</v>
      </c>
      <c r="AB7" s="30">
        <v>85</v>
      </c>
      <c r="AC7" s="31">
        <f>U7+U7*AB7/100</f>
        <v>0.14235700098585857</v>
      </c>
      <c r="AD7" s="31">
        <f>AA7+AA7*AB7/100</f>
        <v>0.11502745553131313</v>
      </c>
    </row>
    <row r="8" spans="1:30" ht="14.4" x14ac:dyDescent="0.3">
      <c r="A8" s="15">
        <v>50</v>
      </c>
      <c r="B8" s="7" t="s">
        <v>6</v>
      </c>
      <c r="C8" s="22" t="s">
        <v>17</v>
      </c>
      <c r="D8" s="23">
        <v>17500</v>
      </c>
      <c r="E8" s="24">
        <v>7.0000000000000007E-2</v>
      </c>
      <c r="F8" s="25">
        <v>10</v>
      </c>
      <c r="G8" s="26">
        <f t="shared" si="12"/>
        <v>10.7</v>
      </c>
      <c r="H8" s="27">
        <f t="shared" si="4"/>
        <v>187.25</v>
      </c>
      <c r="I8" s="27">
        <f>C26</f>
        <v>1.4944</v>
      </c>
      <c r="J8" s="89">
        <f t="shared" si="5"/>
        <v>279.82639999999998</v>
      </c>
      <c r="K8" s="84">
        <f>E36</f>
        <v>1.1438383838383839E-3</v>
      </c>
      <c r="L8" s="28">
        <f t="shared" si="0"/>
        <v>20.017171717171717</v>
      </c>
      <c r="M8" s="29">
        <f>A18*B18</f>
        <v>128</v>
      </c>
      <c r="N8" s="29">
        <f>C18</f>
        <v>550</v>
      </c>
      <c r="O8" s="29">
        <f>E18+F18*D18</f>
        <v>17.5</v>
      </c>
      <c r="P8" s="29">
        <f t="shared" si="1"/>
        <v>31.818181818181817</v>
      </c>
      <c r="Q8" s="28">
        <f t="shared" si="6"/>
        <v>556.81818181818176</v>
      </c>
      <c r="R8" s="26">
        <f t="shared" si="7"/>
        <v>984.66175353535345</v>
      </c>
      <c r="S8" s="26">
        <f>G18</f>
        <v>0.3</v>
      </c>
      <c r="T8" s="26">
        <f t="shared" si="8"/>
        <v>1280.0602795959594</v>
      </c>
      <c r="U8" s="27">
        <f t="shared" si="2"/>
        <v>7.3146301691197679E-2</v>
      </c>
      <c r="V8" s="78">
        <f>E19+F19*D19</f>
        <v>11.25</v>
      </c>
      <c r="W8" s="78">
        <f t="shared" si="9"/>
        <v>357.95454545454544</v>
      </c>
      <c r="X8" s="92">
        <f t="shared" si="10"/>
        <v>785.79811717171719</v>
      </c>
      <c r="Y8" s="78">
        <f>G18</f>
        <v>0.3</v>
      </c>
      <c r="Z8" s="26">
        <f t="shared" si="11"/>
        <v>1021.5375523232324</v>
      </c>
      <c r="AA8" s="78">
        <f t="shared" si="3"/>
        <v>5.8373574418470422E-2</v>
      </c>
      <c r="AB8" s="30">
        <v>80</v>
      </c>
      <c r="AC8" s="31">
        <f t="shared" ref="AC8:AC14" si="13">U8+U8*AB8/100</f>
        <v>0.13166334304415583</v>
      </c>
      <c r="AD8" s="31">
        <f t="shared" ref="AD8:AD14" si="14">AA8+AA8*AB8/100</f>
        <v>0.10507243395324675</v>
      </c>
    </row>
    <row r="9" spans="1:30" ht="14.4" x14ac:dyDescent="0.3">
      <c r="A9" s="15">
        <v>50</v>
      </c>
      <c r="B9" s="7" t="s">
        <v>7</v>
      </c>
      <c r="C9" s="22" t="s">
        <v>18</v>
      </c>
      <c r="D9" s="23">
        <v>25000</v>
      </c>
      <c r="E9" s="24">
        <v>0.05</v>
      </c>
      <c r="F9" s="25">
        <v>10</v>
      </c>
      <c r="G9" s="26">
        <f t="shared" si="12"/>
        <v>10.5</v>
      </c>
      <c r="H9" s="27">
        <f t="shared" si="4"/>
        <v>262.5</v>
      </c>
      <c r="I9" s="27">
        <f>C26</f>
        <v>1.4944</v>
      </c>
      <c r="J9" s="89">
        <f t="shared" si="5"/>
        <v>392.28</v>
      </c>
      <c r="K9" s="84">
        <f>E36</f>
        <v>1.1438383838383839E-3</v>
      </c>
      <c r="L9" s="28">
        <f t="shared" si="0"/>
        <v>28.595959595959599</v>
      </c>
      <c r="M9" s="29">
        <f>A18*B18</f>
        <v>128</v>
      </c>
      <c r="N9" s="29">
        <f>C18</f>
        <v>550</v>
      </c>
      <c r="O9" s="29">
        <f>E18+F18*D18</f>
        <v>17.5</v>
      </c>
      <c r="P9" s="29">
        <f t="shared" si="1"/>
        <v>45.454545454545453</v>
      </c>
      <c r="Q9" s="28">
        <f t="shared" si="6"/>
        <v>795.45454545454538</v>
      </c>
      <c r="R9" s="26">
        <f t="shared" si="7"/>
        <v>1344.3305050505051</v>
      </c>
      <c r="S9" s="26">
        <f>G18</f>
        <v>0.3</v>
      </c>
      <c r="T9" s="26">
        <f t="shared" si="8"/>
        <v>1747.6296565656567</v>
      </c>
      <c r="U9" s="27">
        <f t="shared" si="2"/>
        <v>6.9905186262626262E-2</v>
      </c>
      <c r="V9" s="78">
        <f>E19+F19*D19</f>
        <v>11.25</v>
      </c>
      <c r="W9" s="78">
        <f t="shared" si="9"/>
        <v>511.36363636363637</v>
      </c>
      <c r="X9" s="92">
        <f t="shared" si="10"/>
        <v>1060.239595959596</v>
      </c>
      <c r="Y9" s="78">
        <f>G18</f>
        <v>0.3</v>
      </c>
      <c r="Z9" s="26">
        <f t="shared" si="11"/>
        <v>1378.3114747474749</v>
      </c>
      <c r="AA9" s="78">
        <f t="shared" si="3"/>
        <v>5.5132458989898998E-2</v>
      </c>
      <c r="AB9" s="30">
        <v>75</v>
      </c>
      <c r="AC9" s="31">
        <f t="shared" si="13"/>
        <v>0.12233407595959596</v>
      </c>
      <c r="AD9" s="31">
        <f t="shared" si="14"/>
        <v>9.6481803232323249E-2</v>
      </c>
    </row>
    <row r="10" spans="1:30" ht="14.4" x14ac:dyDescent="0.3">
      <c r="A10" s="15">
        <v>50</v>
      </c>
      <c r="B10" s="7" t="s">
        <v>8</v>
      </c>
      <c r="C10" s="22" t="s">
        <v>19</v>
      </c>
      <c r="D10" s="23">
        <v>35000</v>
      </c>
      <c r="E10" s="24">
        <v>0.05</v>
      </c>
      <c r="F10" s="25">
        <v>10</v>
      </c>
      <c r="G10" s="26">
        <f t="shared" si="12"/>
        <v>10.5</v>
      </c>
      <c r="H10" s="27">
        <f t="shared" si="4"/>
        <v>367.5</v>
      </c>
      <c r="I10" s="27">
        <f>C26</f>
        <v>1.4944</v>
      </c>
      <c r="J10" s="89">
        <f t="shared" si="5"/>
        <v>549.19200000000001</v>
      </c>
      <c r="K10" s="84">
        <f>E36</f>
        <v>1.1438383838383839E-3</v>
      </c>
      <c r="L10" s="28">
        <f t="shared" si="0"/>
        <v>40.034343434343434</v>
      </c>
      <c r="M10" s="29">
        <f>A18*B18</f>
        <v>128</v>
      </c>
      <c r="N10" s="29">
        <f>C18</f>
        <v>550</v>
      </c>
      <c r="O10" s="29">
        <f>E18+F18*D18</f>
        <v>17.5</v>
      </c>
      <c r="P10" s="29">
        <f t="shared" si="1"/>
        <v>63.636363636363633</v>
      </c>
      <c r="Q10" s="28">
        <f t="shared" si="6"/>
        <v>1113.6363636363635</v>
      </c>
      <c r="R10" s="26">
        <f t="shared" si="7"/>
        <v>1830.8627070707068</v>
      </c>
      <c r="S10" s="26">
        <f>G18</f>
        <v>0.3</v>
      </c>
      <c r="T10" s="26">
        <f t="shared" si="8"/>
        <v>2380.1215191919191</v>
      </c>
      <c r="U10" s="27">
        <f t="shared" si="2"/>
        <v>6.8003471976911978E-2</v>
      </c>
      <c r="V10" s="78">
        <f>E19+F19*D19</f>
        <v>11.25</v>
      </c>
      <c r="W10" s="78">
        <f t="shared" si="9"/>
        <v>715.90909090909088</v>
      </c>
      <c r="X10" s="92">
        <f t="shared" si="10"/>
        <v>1433.1354343434343</v>
      </c>
      <c r="Y10" s="78">
        <f>G18</f>
        <v>0.3</v>
      </c>
      <c r="Z10" s="26">
        <f t="shared" si="11"/>
        <v>1863.0760646464646</v>
      </c>
      <c r="AA10" s="78">
        <f t="shared" si="3"/>
        <v>5.32307447041847E-2</v>
      </c>
      <c r="AB10" s="30">
        <v>75</v>
      </c>
      <c r="AC10" s="31">
        <f t="shared" si="13"/>
        <v>0.11900607595959596</v>
      </c>
      <c r="AD10" s="31">
        <f t="shared" si="14"/>
        <v>9.3153803232323223E-2</v>
      </c>
    </row>
    <row r="11" spans="1:30" ht="14.4" x14ac:dyDescent="0.3">
      <c r="A11" s="15">
        <v>50</v>
      </c>
      <c r="B11" s="7" t="s">
        <v>9</v>
      </c>
      <c r="C11" s="22" t="s">
        <v>20</v>
      </c>
      <c r="D11" s="23">
        <v>45000</v>
      </c>
      <c r="E11" s="24">
        <v>0.05</v>
      </c>
      <c r="F11" s="25">
        <v>10</v>
      </c>
      <c r="G11" s="26">
        <f t="shared" si="12"/>
        <v>10.5</v>
      </c>
      <c r="H11" s="27">
        <f t="shared" si="4"/>
        <v>472.5</v>
      </c>
      <c r="I11" s="27">
        <f>C26</f>
        <v>1.4944</v>
      </c>
      <c r="J11" s="89">
        <f t="shared" si="5"/>
        <v>706.10399999999993</v>
      </c>
      <c r="K11" s="84">
        <f>E36</f>
        <v>1.1438383838383839E-3</v>
      </c>
      <c r="L11" s="28">
        <f t="shared" si="0"/>
        <v>51.472727272727276</v>
      </c>
      <c r="M11" s="29">
        <f>A18*B18</f>
        <v>128</v>
      </c>
      <c r="N11" s="29">
        <f>C18</f>
        <v>550</v>
      </c>
      <c r="O11" s="29">
        <f>E18+F18*D18</f>
        <v>17.5</v>
      </c>
      <c r="P11" s="29">
        <f t="shared" si="1"/>
        <v>81.818181818181813</v>
      </c>
      <c r="Q11" s="28">
        <f t="shared" si="6"/>
        <v>1431.8181818181818</v>
      </c>
      <c r="R11" s="26">
        <f t="shared" si="7"/>
        <v>2317.3949090909091</v>
      </c>
      <c r="S11" s="26">
        <f>G18</f>
        <v>0.3</v>
      </c>
      <c r="T11" s="26">
        <f t="shared" si="8"/>
        <v>3012.6133818181816</v>
      </c>
      <c r="U11" s="27">
        <f t="shared" si="2"/>
        <v>6.6946964040404039E-2</v>
      </c>
      <c r="V11" s="78">
        <f>E19+F19*D19</f>
        <v>11.25</v>
      </c>
      <c r="W11" s="78">
        <f t="shared" si="9"/>
        <v>920.45454545454538</v>
      </c>
      <c r="X11" s="92">
        <f t="shared" si="10"/>
        <v>1806.0312727272726</v>
      </c>
      <c r="Y11" s="78">
        <f>G18</f>
        <v>0.3</v>
      </c>
      <c r="Z11" s="26">
        <f t="shared" si="11"/>
        <v>2347.8406545454545</v>
      </c>
      <c r="AA11" s="78">
        <f t="shared" si="3"/>
        <v>5.2174236767676768E-2</v>
      </c>
      <c r="AB11" s="30">
        <v>70</v>
      </c>
      <c r="AC11" s="31">
        <f t="shared" si="13"/>
        <v>0.11380983886868687</v>
      </c>
      <c r="AD11" s="31">
        <f t="shared" si="14"/>
        <v>8.8696202505050503E-2</v>
      </c>
    </row>
    <row r="12" spans="1:30" ht="14.4" x14ac:dyDescent="0.3">
      <c r="A12" s="15">
        <v>50</v>
      </c>
      <c r="B12" s="7" t="s">
        <v>10</v>
      </c>
      <c r="C12" s="22" t="s">
        <v>21</v>
      </c>
      <c r="D12" s="23">
        <v>75000</v>
      </c>
      <c r="E12" s="24">
        <v>0.05</v>
      </c>
      <c r="F12" s="25">
        <v>10</v>
      </c>
      <c r="G12" s="26">
        <f t="shared" si="12"/>
        <v>10.5</v>
      </c>
      <c r="H12" s="27">
        <f t="shared" si="4"/>
        <v>787.5</v>
      </c>
      <c r="I12" s="27">
        <f>C26</f>
        <v>1.4944</v>
      </c>
      <c r="J12" s="89">
        <f t="shared" si="5"/>
        <v>1176.8399999999999</v>
      </c>
      <c r="K12" s="84">
        <f>E36</f>
        <v>1.1438383838383839E-3</v>
      </c>
      <c r="L12" s="28">
        <f t="shared" si="0"/>
        <v>85.787878787878796</v>
      </c>
      <c r="M12" s="29">
        <f>A18*B18</f>
        <v>128</v>
      </c>
      <c r="N12" s="29">
        <f>C18</f>
        <v>550</v>
      </c>
      <c r="O12" s="29">
        <f>E18+F18*D18</f>
        <v>17.5</v>
      </c>
      <c r="P12" s="29">
        <f t="shared" si="1"/>
        <v>136.36363636363637</v>
      </c>
      <c r="Q12" s="28">
        <f>O12*P12</f>
        <v>2386.3636363636365</v>
      </c>
      <c r="R12" s="26">
        <f t="shared" si="7"/>
        <v>3776.9915151515152</v>
      </c>
      <c r="S12" s="26">
        <f>G18</f>
        <v>0.3</v>
      </c>
      <c r="T12" s="26">
        <f t="shared" si="8"/>
        <v>4910.0889696969698</v>
      </c>
      <c r="U12" s="27">
        <f t="shared" si="2"/>
        <v>6.5467852929292927E-2</v>
      </c>
      <c r="V12" s="78">
        <f>E19+F19*D19</f>
        <v>11.25</v>
      </c>
      <c r="W12" s="78">
        <f t="shared" si="9"/>
        <v>1534.0909090909092</v>
      </c>
      <c r="X12" s="92">
        <f t="shared" si="10"/>
        <v>2924.7187878787881</v>
      </c>
      <c r="Y12" s="78">
        <f>G18</f>
        <v>0.3</v>
      </c>
      <c r="Z12" s="26">
        <f t="shared" si="11"/>
        <v>3802.1344242424248</v>
      </c>
      <c r="AA12" s="78">
        <f t="shared" si="3"/>
        <v>5.0695125656565664E-2</v>
      </c>
      <c r="AB12" s="30">
        <v>70</v>
      </c>
      <c r="AC12" s="31">
        <f t="shared" si="13"/>
        <v>0.11129534997979798</v>
      </c>
      <c r="AD12" s="31">
        <f t="shared" si="14"/>
        <v>8.6181713616161629E-2</v>
      </c>
    </row>
    <row r="13" spans="1:30" ht="14.4" x14ac:dyDescent="0.3">
      <c r="A13" s="15">
        <v>50</v>
      </c>
      <c r="B13" s="7" t="s">
        <v>11</v>
      </c>
      <c r="C13" s="22" t="s">
        <v>22</v>
      </c>
      <c r="D13" s="23">
        <v>125000</v>
      </c>
      <c r="E13" s="24">
        <v>0.03</v>
      </c>
      <c r="F13" s="25">
        <v>10</v>
      </c>
      <c r="G13" s="26">
        <f t="shared" si="12"/>
        <v>10.3</v>
      </c>
      <c r="H13" s="27">
        <f t="shared" si="4"/>
        <v>1287.5</v>
      </c>
      <c r="I13" s="27">
        <f>C26</f>
        <v>1.4944</v>
      </c>
      <c r="J13" s="89">
        <f t="shared" si="5"/>
        <v>1924.04</v>
      </c>
      <c r="K13" s="84">
        <f>E36</f>
        <v>1.1438383838383839E-3</v>
      </c>
      <c r="L13" s="28">
        <f t="shared" si="0"/>
        <v>142.97979797979798</v>
      </c>
      <c r="M13" s="29">
        <f>A18*B18</f>
        <v>128</v>
      </c>
      <c r="N13" s="29">
        <f>C18</f>
        <v>550</v>
      </c>
      <c r="O13" s="29">
        <f>E18+F18*D18</f>
        <v>17.5</v>
      </c>
      <c r="P13" s="29">
        <f t="shared" si="1"/>
        <v>227.27272727272728</v>
      </c>
      <c r="Q13" s="28">
        <f t="shared" si="6"/>
        <v>3977.2727272727275</v>
      </c>
      <c r="R13" s="26">
        <f t="shared" si="7"/>
        <v>6172.2925252525256</v>
      </c>
      <c r="S13" s="26">
        <f>G18</f>
        <v>0.3</v>
      </c>
      <c r="T13" s="26">
        <f t="shared" si="8"/>
        <v>8023.9802828282827</v>
      </c>
      <c r="U13" s="27">
        <f t="shared" si="2"/>
        <v>6.4191842262626267E-2</v>
      </c>
      <c r="V13" s="78">
        <f>E19+F19*D19</f>
        <v>11.25</v>
      </c>
      <c r="W13" s="78">
        <f t="shared" si="9"/>
        <v>2556.818181818182</v>
      </c>
      <c r="X13" s="92">
        <f t="shared" si="10"/>
        <v>4751.8379797979796</v>
      </c>
      <c r="Y13" s="78">
        <f>G18</f>
        <v>0.3</v>
      </c>
      <c r="Z13" s="26">
        <f t="shared" si="11"/>
        <v>6177.3893737373737</v>
      </c>
      <c r="AA13" s="78">
        <f t="shared" si="3"/>
        <v>4.9419114989898989E-2</v>
      </c>
      <c r="AB13" s="30">
        <v>65</v>
      </c>
      <c r="AC13" s="31">
        <f t="shared" si="13"/>
        <v>0.10591653973333334</v>
      </c>
      <c r="AD13" s="31">
        <f t="shared" si="14"/>
        <v>8.1541539733333335E-2</v>
      </c>
    </row>
    <row r="14" spans="1:30" ht="15" thickBot="1" x14ac:dyDescent="0.35">
      <c r="A14" s="15">
        <v>50</v>
      </c>
      <c r="B14" s="7" t="s">
        <v>12</v>
      </c>
      <c r="C14" s="22" t="s">
        <v>23</v>
      </c>
      <c r="D14" s="23">
        <v>1000000</v>
      </c>
      <c r="E14" s="24">
        <v>0.03</v>
      </c>
      <c r="F14" s="25">
        <v>10</v>
      </c>
      <c r="G14" s="26">
        <f t="shared" si="12"/>
        <v>10.3</v>
      </c>
      <c r="H14" s="27">
        <f t="shared" si="4"/>
        <v>10300</v>
      </c>
      <c r="I14" s="27">
        <f>C26</f>
        <v>1.4944</v>
      </c>
      <c r="J14" s="89">
        <f t="shared" si="5"/>
        <v>15392.32</v>
      </c>
      <c r="K14" s="84">
        <f>E36</f>
        <v>1.1438383838383839E-3</v>
      </c>
      <c r="L14" s="28">
        <f t="shared" si="0"/>
        <v>1143.8383838383838</v>
      </c>
      <c r="M14" s="29">
        <f>A18*B18</f>
        <v>128</v>
      </c>
      <c r="N14" s="29">
        <f>C18</f>
        <v>550</v>
      </c>
      <c r="O14" s="29">
        <f>E18+F18*D18</f>
        <v>17.5</v>
      </c>
      <c r="P14" s="29">
        <f t="shared" si="1"/>
        <v>1818.1818181818182</v>
      </c>
      <c r="Q14" s="28">
        <f t="shared" si="6"/>
        <v>31818.18181818182</v>
      </c>
      <c r="R14" s="26">
        <f t="shared" si="7"/>
        <v>48482.340202020205</v>
      </c>
      <c r="S14" s="26">
        <f>G18</f>
        <v>0.3</v>
      </c>
      <c r="T14" s="26">
        <f t="shared" si="8"/>
        <v>63027.042262626266</v>
      </c>
      <c r="U14" s="27">
        <f t="shared" si="2"/>
        <v>6.3027042262626259E-2</v>
      </c>
      <c r="V14" s="78">
        <f>E19+F19*D19</f>
        <v>11.25</v>
      </c>
      <c r="W14" s="78">
        <f t="shared" si="9"/>
        <v>20454.545454545456</v>
      </c>
      <c r="X14" s="92">
        <f t="shared" si="10"/>
        <v>37118.703838383837</v>
      </c>
      <c r="Y14" s="78">
        <f>G18</f>
        <v>0.3</v>
      </c>
      <c r="Z14" s="26">
        <f t="shared" si="11"/>
        <v>48254.314989898987</v>
      </c>
      <c r="AA14" s="78">
        <f t="shared" si="3"/>
        <v>4.8254314989898989E-2</v>
      </c>
      <c r="AB14" s="30">
        <v>60</v>
      </c>
      <c r="AC14" s="32">
        <f t="shared" si="13"/>
        <v>0.10084326762020202</v>
      </c>
      <c r="AD14" s="32">
        <f t="shared" si="14"/>
        <v>7.7206903983838379E-2</v>
      </c>
    </row>
    <row r="15" spans="1:30" ht="14.4" thickBot="1" x14ac:dyDescent="0.35"/>
    <row r="16" spans="1:30" x14ac:dyDescent="0.3">
      <c r="A16" s="33" t="s">
        <v>27</v>
      </c>
      <c r="B16" s="34"/>
      <c r="C16" s="34"/>
      <c r="D16" s="34"/>
      <c r="E16" s="34"/>
      <c r="F16" s="34"/>
      <c r="G16" s="35"/>
      <c r="AC16" s="80"/>
    </row>
    <row r="17" spans="1:12" x14ac:dyDescent="0.3">
      <c r="A17" s="36" t="s">
        <v>28</v>
      </c>
      <c r="B17" s="37" t="s">
        <v>29</v>
      </c>
      <c r="C17" s="37" t="s">
        <v>30</v>
      </c>
      <c r="D17" s="37" t="s">
        <v>31</v>
      </c>
      <c r="E17" s="37" t="s">
        <v>32</v>
      </c>
      <c r="F17" s="37" t="s">
        <v>33</v>
      </c>
      <c r="G17" s="38" t="s">
        <v>34</v>
      </c>
      <c r="J17" s="39"/>
      <c r="K17" s="85"/>
      <c r="L17" s="14" t="s">
        <v>59</v>
      </c>
    </row>
    <row r="18" spans="1:12" ht="14.4" thickBot="1" x14ac:dyDescent="0.35">
      <c r="A18" s="40">
        <v>4</v>
      </c>
      <c r="B18" s="41">
        <v>32</v>
      </c>
      <c r="C18" s="41">
        <v>550</v>
      </c>
      <c r="D18" s="41">
        <v>0.5</v>
      </c>
      <c r="E18" s="41">
        <v>5</v>
      </c>
      <c r="F18" s="42">
        <v>25</v>
      </c>
      <c r="G18" s="43">
        <v>0.3</v>
      </c>
    </row>
    <row r="19" spans="1:12" ht="14.4" thickBot="1" x14ac:dyDescent="0.35">
      <c r="A19" s="40">
        <v>4</v>
      </c>
      <c r="B19" s="41">
        <v>32</v>
      </c>
      <c r="C19" s="41">
        <v>550</v>
      </c>
      <c r="D19" s="41">
        <v>0.25</v>
      </c>
      <c r="E19" s="41">
        <v>5</v>
      </c>
      <c r="F19" s="42">
        <v>25</v>
      </c>
      <c r="G19" s="43">
        <v>0.3</v>
      </c>
    </row>
    <row r="20" spans="1:12" ht="14.4" thickBot="1" x14ac:dyDescent="0.35">
      <c r="J20" s="44"/>
      <c r="K20" s="86"/>
      <c r="L20" s="14" t="s">
        <v>60</v>
      </c>
    </row>
    <row r="21" spans="1:12" x14ac:dyDescent="0.3">
      <c r="A21" s="45" t="s">
        <v>35</v>
      </c>
      <c r="B21" s="46"/>
      <c r="C21" s="46" t="s">
        <v>36</v>
      </c>
      <c r="D21" s="47" t="s">
        <v>37</v>
      </c>
    </row>
    <row r="22" spans="1:12" x14ac:dyDescent="0.3">
      <c r="A22" s="48" t="s">
        <v>40</v>
      </c>
      <c r="B22" s="49">
        <v>1.39</v>
      </c>
      <c r="C22" s="50">
        <v>96</v>
      </c>
      <c r="D22" s="51"/>
    </row>
    <row r="23" spans="1:12" x14ac:dyDescent="0.3">
      <c r="A23" s="48" t="s">
        <v>40</v>
      </c>
      <c r="B23" s="49">
        <v>4</v>
      </c>
      <c r="C23" s="50">
        <v>4</v>
      </c>
      <c r="D23" s="51"/>
    </row>
    <row r="24" spans="1:12" x14ac:dyDescent="0.3">
      <c r="A24" s="48" t="s">
        <v>40</v>
      </c>
      <c r="B24" s="49">
        <v>0</v>
      </c>
      <c r="C24" s="50"/>
      <c r="D24" s="51"/>
    </row>
    <row r="25" spans="1:12" ht="14.4" thickBot="1" x14ac:dyDescent="0.35">
      <c r="A25" s="48" t="s">
        <v>44</v>
      </c>
      <c r="B25" s="49">
        <v>0</v>
      </c>
      <c r="C25" s="50"/>
      <c r="D25" s="51"/>
    </row>
    <row r="26" spans="1:12" ht="14.4" thickBot="1" x14ac:dyDescent="0.35">
      <c r="A26" s="52" t="s">
        <v>45</v>
      </c>
      <c r="B26" s="53">
        <f>SUM(B22:B25)</f>
        <v>5.39</v>
      </c>
      <c r="C26" s="54">
        <f>(B22*C22/100)+(B23*C23/100)+(B24*C24/100)+(B25*C25/100)</f>
        <v>1.4944</v>
      </c>
      <c r="D26" s="55" t="s">
        <v>62</v>
      </c>
    </row>
    <row r="27" spans="1:12" ht="14.4" thickBot="1" x14ac:dyDescent="0.35"/>
    <row r="28" spans="1:12" x14ac:dyDescent="0.3">
      <c r="A28" s="56" t="s">
        <v>38</v>
      </c>
      <c r="B28" s="57"/>
      <c r="C28" s="58"/>
      <c r="D28" s="59" t="s">
        <v>39</v>
      </c>
      <c r="E28" s="60" t="s">
        <v>97</v>
      </c>
    </row>
    <row r="29" spans="1:12" x14ac:dyDescent="0.3">
      <c r="A29" s="61" t="s">
        <v>42</v>
      </c>
      <c r="B29" s="62">
        <v>1100</v>
      </c>
      <c r="C29" s="63"/>
      <c r="D29" s="64"/>
      <c r="E29" s="65"/>
    </row>
    <row r="30" spans="1:12" x14ac:dyDescent="0.3">
      <c r="A30" s="61" t="s">
        <v>86</v>
      </c>
      <c r="B30" s="62">
        <v>9</v>
      </c>
      <c r="C30" s="63" t="s">
        <v>41</v>
      </c>
      <c r="D30" s="66">
        <v>0.68100000000000005</v>
      </c>
      <c r="E30" s="65">
        <f>D30*B30</f>
        <v>6.1290000000000004</v>
      </c>
    </row>
    <row r="31" spans="1:12" x14ac:dyDescent="0.3">
      <c r="A31" s="61" t="s">
        <v>87</v>
      </c>
      <c r="B31" s="62">
        <f>B30*B29</f>
        <v>9900</v>
      </c>
      <c r="C31" s="67"/>
      <c r="D31" s="68"/>
      <c r="E31" s="65"/>
    </row>
    <row r="32" spans="1:12" x14ac:dyDescent="0.3">
      <c r="A32" s="61" t="s">
        <v>88</v>
      </c>
      <c r="B32" s="62">
        <v>9</v>
      </c>
      <c r="C32" s="63" t="s">
        <v>43</v>
      </c>
      <c r="D32" s="69">
        <v>0.13800000000000001</v>
      </c>
      <c r="E32" s="65">
        <f>D32*B32</f>
        <v>1.242</v>
      </c>
    </row>
    <row r="33" spans="1:5" x14ac:dyDescent="0.3">
      <c r="A33" s="61" t="s">
        <v>46</v>
      </c>
      <c r="B33" s="62">
        <f>B32*5</f>
        <v>45</v>
      </c>
      <c r="C33" s="63" t="s">
        <v>47</v>
      </c>
      <c r="D33" s="66">
        <v>4.3400000000000001E-2</v>
      </c>
      <c r="E33" s="65">
        <f>D33*B33</f>
        <v>1.9530000000000001</v>
      </c>
    </row>
    <row r="34" spans="1:5" ht="14.4" thickBot="1" x14ac:dyDescent="0.35">
      <c r="A34" s="70" t="s">
        <v>48</v>
      </c>
      <c r="B34" s="71" t="s">
        <v>49</v>
      </c>
      <c r="C34" s="72" t="s">
        <v>50</v>
      </c>
      <c r="D34" s="73">
        <v>2</v>
      </c>
      <c r="E34" s="74">
        <f>D34</f>
        <v>2</v>
      </c>
    </row>
    <row r="35" spans="1:5" ht="14.4" thickBot="1" x14ac:dyDescent="0.35">
      <c r="E35" s="75">
        <f>SUM(E29:E34)</f>
        <v>11.324</v>
      </c>
    </row>
    <row r="36" spans="1:5" ht="14.4" thickBot="1" x14ac:dyDescent="0.35">
      <c r="D36" s="76" t="s">
        <v>98</v>
      </c>
      <c r="E36" s="77">
        <f>E35/B31</f>
        <v>1.1438383838383839E-3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3AC6E-621C-4393-9EE3-F3568EC8A700}">
  <dimension ref="A2:AD36"/>
  <sheetViews>
    <sheetView topLeftCell="Q1" workbookViewId="0">
      <selection activeCell="AC14" sqref="AC14"/>
    </sheetView>
  </sheetViews>
  <sheetFormatPr defaultColWidth="9.109375" defaultRowHeight="13.8" x14ac:dyDescent="0.3"/>
  <cols>
    <col min="1" max="1" width="28.6640625" style="14" bestFit="1" customWidth="1"/>
    <col min="2" max="2" width="10.109375" style="14" bestFit="1" customWidth="1"/>
    <col min="3" max="3" width="21" style="14" bestFit="1" customWidth="1"/>
    <col min="4" max="4" width="12.44140625" style="14" bestFit="1" customWidth="1"/>
    <col min="5" max="5" width="21" style="14" bestFit="1" customWidth="1"/>
    <col min="6" max="6" width="14.88671875" style="14" bestFit="1" customWidth="1"/>
    <col min="7" max="7" width="23.5546875" style="14" bestFit="1" customWidth="1"/>
    <col min="8" max="8" width="18.6640625" style="14" customWidth="1"/>
    <col min="9" max="9" width="0.109375" style="14" customWidth="1"/>
    <col min="10" max="10" width="9.5546875" style="14" bestFit="1" customWidth="1"/>
    <col min="11" max="11" width="15.33203125" style="82" customWidth="1"/>
    <col min="12" max="12" width="17.5546875" style="14" bestFit="1" customWidth="1"/>
    <col min="13" max="13" width="19.33203125" style="14" customWidth="1"/>
    <col min="14" max="14" width="9.109375" style="14" customWidth="1"/>
    <col min="15" max="15" width="22.88671875" style="14" customWidth="1"/>
    <col min="16" max="16" width="11.88671875" style="14" customWidth="1"/>
    <col min="17" max="17" width="23.5546875" style="14" bestFit="1" customWidth="1"/>
    <col min="18" max="18" width="24.33203125" style="14" customWidth="1"/>
    <col min="19" max="19" width="11" style="14" customWidth="1"/>
    <col min="20" max="20" width="35.5546875" style="14" bestFit="1" customWidth="1"/>
    <col min="21" max="21" width="14.6640625" style="14" bestFit="1" customWidth="1"/>
    <col min="22" max="27" width="14.6640625" style="14" customWidth="1"/>
    <col min="28" max="28" width="16.5546875" style="14" bestFit="1" customWidth="1"/>
    <col min="29" max="29" width="17.44140625" style="14" bestFit="1" customWidth="1"/>
    <col min="30" max="30" width="11.88671875" style="14" bestFit="1" customWidth="1"/>
    <col min="31" max="16384" width="9.109375" style="14"/>
  </cols>
  <sheetData>
    <row r="2" spans="1:30" ht="14.4" thickBot="1" x14ac:dyDescent="0.35"/>
    <row r="3" spans="1:30" ht="74.25" customHeight="1" thickBot="1" x14ac:dyDescent="0.35">
      <c r="A3" s="15" t="s">
        <v>57</v>
      </c>
      <c r="B3" s="15" t="s">
        <v>24</v>
      </c>
      <c r="C3" s="15" t="s">
        <v>25</v>
      </c>
      <c r="D3" s="15" t="s">
        <v>26</v>
      </c>
      <c r="E3" s="15" t="s">
        <v>55</v>
      </c>
      <c r="F3" s="15" t="s">
        <v>58</v>
      </c>
      <c r="G3" s="16" t="s">
        <v>51</v>
      </c>
      <c r="H3" s="17" t="s">
        <v>52</v>
      </c>
      <c r="I3" s="17" t="s">
        <v>61</v>
      </c>
      <c r="J3" s="90" t="s">
        <v>53</v>
      </c>
      <c r="K3" s="83" t="s">
        <v>99</v>
      </c>
      <c r="L3" s="18" t="s">
        <v>96</v>
      </c>
      <c r="M3" s="19" t="s">
        <v>54</v>
      </c>
      <c r="N3" s="19" t="s">
        <v>100</v>
      </c>
      <c r="O3" s="19" t="s">
        <v>108</v>
      </c>
      <c r="P3" s="19" t="s">
        <v>101</v>
      </c>
      <c r="Q3" s="91" t="s">
        <v>116</v>
      </c>
      <c r="R3" s="87" t="s">
        <v>107</v>
      </c>
      <c r="S3" s="88" t="s">
        <v>102</v>
      </c>
      <c r="T3" s="87" t="s">
        <v>104</v>
      </c>
      <c r="U3" s="87" t="s">
        <v>105</v>
      </c>
      <c r="V3" s="19" t="s">
        <v>109</v>
      </c>
      <c r="W3" s="20" t="s">
        <v>110</v>
      </c>
      <c r="X3" s="20"/>
      <c r="Y3" s="20"/>
      <c r="Z3" s="20" t="s">
        <v>111</v>
      </c>
      <c r="AA3" s="20" t="s">
        <v>112</v>
      </c>
      <c r="AB3" s="20" t="s">
        <v>103</v>
      </c>
      <c r="AC3" s="79" t="s">
        <v>106</v>
      </c>
      <c r="AD3" s="21" t="s">
        <v>113</v>
      </c>
    </row>
    <row r="4" spans="1:30" ht="14.4" x14ac:dyDescent="0.3">
      <c r="A4" s="15">
        <v>50</v>
      </c>
      <c r="B4" s="7" t="s">
        <v>2</v>
      </c>
      <c r="C4" s="22" t="s">
        <v>13</v>
      </c>
      <c r="D4" s="23">
        <v>2000</v>
      </c>
      <c r="E4" s="24">
        <v>0.1</v>
      </c>
      <c r="F4" s="25">
        <v>10</v>
      </c>
      <c r="G4" s="26">
        <f>F4+F4*E4</f>
        <v>11</v>
      </c>
      <c r="H4" s="27">
        <f>(G4*D4)/1000</f>
        <v>22</v>
      </c>
      <c r="I4" s="27">
        <f>C26</f>
        <v>2.52</v>
      </c>
      <c r="J4" s="89">
        <f>H4*I4</f>
        <v>55.44</v>
      </c>
      <c r="K4" s="84">
        <f>E36</f>
        <v>1.1438383838383839E-3</v>
      </c>
      <c r="L4" s="28">
        <f t="shared" ref="L4:L14" si="0">K4*D4</f>
        <v>2.2876767676767678</v>
      </c>
      <c r="M4" s="29">
        <f>A18*B18</f>
        <v>128</v>
      </c>
      <c r="N4" s="29">
        <f>C18</f>
        <v>450</v>
      </c>
      <c r="O4" s="29">
        <f>E18+F18*D18</f>
        <v>17.5</v>
      </c>
      <c r="P4" s="29">
        <f t="shared" ref="P4:P14" si="1">D4/N4</f>
        <v>4.4444444444444446</v>
      </c>
      <c r="Q4" s="28">
        <f>O4*P4</f>
        <v>77.777777777777786</v>
      </c>
      <c r="R4" s="26">
        <f>Q4+L4+J4+M4</f>
        <v>263.50545454545454</v>
      </c>
      <c r="S4" s="26">
        <f>G18</f>
        <v>0.3</v>
      </c>
      <c r="T4" s="26">
        <f>R4+R4*S4</f>
        <v>342.5570909090909</v>
      </c>
      <c r="U4" s="27">
        <f t="shared" ref="U4:U14" si="2">T4/D4</f>
        <v>0.17127854545454546</v>
      </c>
      <c r="V4" s="78">
        <f>E19+F19*D19</f>
        <v>11.25</v>
      </c>
      <c r="W4" s="78">
        <f>V4*P4</f>
        <v>50</v>
      </c>
      <c r="X4" s="92">
        <f>W4+M4+L4+J4</f>
        <v>235.72767676767677</v>
      </c>
      <c r="Y4" s="78">
        <f>G18</f>
        <v>0.3</v>
      </c>
      <c r="Z4" s="26">
        <f>X4+X4*Y4</f>
        <v>306.44597979797982</v>
      </c>
      <c r="AA4" s="78">
        <f t="shared" ref="AA4:AA14" si="3">Z4/D4</f>
        <v>0.15322298989898991</v>
      </c>
      <c r="AB4" s="30">
        <v>180</v>
      </c>
      <c r="AC4" s="81">
        <f>U4*2+(U4*2*80/100)</f>
        <v>0.61660276363636368</v>
      </c>
      <c r="AD4" s="81">
        <f>AA4*2+(AA4*2*80/100)</f>
        <v>0.55160276363636362</v>
      </c>
    </row>
    <row r="5" spans="1:30" ht="14.4" x14ac:dyDescent="0.3">
      <c r="A5" s="15">
        <v>50</v>
      </c>
      <c r="B5" s="7" t="s">
        <v>3</v>
      </c>
      <c r="C5" s="22" t="s">
        <v>14</v>
      </c>
      <c r="D5" s="23">
        <v>4000</v>
      </c>
      <c r="E5" s="24">
        <v>0.1</v>
      </c>
      <c r="F5" s="25">
        <v>10</v>
      </c>
      <c r="G5" s="26">
        <f t="shared" ref="G5:G14" si="4">F5+F5*E5</f>
        <v>11</v>
      </c>
      <c r="H5" s="27">
        <f t="shared" ref="H5:H14" si="5">(G5*D5)/1000</f>
        <v>44</v>
      </c>
      <c r="I5" s="27">
        <f>C26</f>
        <v>2.52</v>
      </c>
      <c r="J5" s="89">
        <f t="shared" ref="J5:J14" si="6">H5*I5</f>
        <v>110.88</v>
      </c>
      <c r="K5" s="84">
        <f>E36</f>
        <v>1.1438383838383839E-3</v>
      </c>
      <c r="L5" s="28">
        <f t="shared" si="0"/>
        <v>4.5753535353535355</v>
      </c>
      <c r="M5" s="29">
        <f>A18*B18</f>
        <v>128</v>
      </c>
      <c r="N5" s="29">
        <f>C18</f>
        <v>450</v>
      </c>
      <c r="O5" s="29">
        <f>E18+F18*D18</f>
        <v>17.5</v>
      </c>
      <c r="P5" s="29">
        <f t="shared" si="1"/>
        <v>8.8888888888888893</v>
      </c>
      <c r="Q5" s="28">
        <f t="shared" ref="Q5:Q14" si="7">O5*P5</f>
        <v>155.55555555555557</v>
      </c>
      <c r="R5" s="26">
        <f t="shared" ref="R5:R14" si="8">Q5+L5+J5+M5</f>
        <v>399.01090909090908</v>
      </c>
      <c r="S5" s="26">
        <f>G18</f>
        <v>0.3</v>
      </c>
      <c r="T5" s="26">
        <f t="shared" ref="T5:T14" si="9">R5+R5*S5</f>
        <v>518.71418181818183</v>
      </c>
      <c r="U5" s="27">
        <f t="shared" si="2"/>
        <v>0.12967854545454546</v>
      </c>
      <c r="V5" s="78">
        <f>E19+F19*D19</f>
        <v>11.25</v>
      </c>
      <c r="W5" s="78">
        <f t="shared" ref="W5:W14" si="10">V5*P5</f>
        <v>100</v>
      </c>
      <c r="X5" s="92">
        <f t="shared" ref="X5:X14" si="11">W5+M5+L5+J5</f>
        <v>343.45535353535354</v>
      </c>
      <c r="Y5" s="78">
        <f>G18</f>
        <v>0.3</v>
      </c>
      <c r="Z5" s="26">
        <f t="shared" ref="Z5:Z14" si="12">X5+X5*Y5</f>
        <v>446.4919595959596</v>
      </c>
      <c r="AA5" s="78">
        <f t="shared" si="3"/>
        <v>0.1116229898989899</v>
      </c>
      <c r="AB5" s="30">
        <v>160</v>
      </c>
      <c r="AC5" s="31">
        <f>U5*2+(U5*2*80/100)</f>
        <v>0.46684276363636368</v>
      </c>
      <c r="AD5" s="31">
        <f>AA5*2+(AA5*2*80/100)</f>
        <v>0.40184276363636362</v>
      </c>
    </row>
    <row r="6" spans="1:30" ht="14.4" x14ac:dyDescent="0.3">
      <c r="A6" s="15">
        <v>50</v>
      </c>
      <c r="B6" s="7" t="s">
        <v>4</v>
      </c>
      <c r="C6" s="22" t="s">
        <v>15</v>
      </c>
      <c r="D6" s="23">
        <v>7500</v>
      </c>
      <c r="E6" s="24">
        <v>7.0000000000000007E-2</v>
      </c>
      <c r="F6" s="25">
        <v>10</v>
      </c>
      <c r="G6" s="26">
        <f t="shared" si="4"/>
        <v>10.7</v>
      </c>
      <c r="H6" s="27">
        <f t="shared" si="5"/>
        <v>80.25</v>
      </c>
      <c r="I6" s="27">
        <f>C26</f>
        <v>2.52</v>
      </c>
      <c r="J6" s="89">
        <f t="shared" si="6"/>
        <v>202.23</v>
      </c>
      <c r="K6" s="84">
        <f>E36</f>
        <v>1.1438383838383839E-3</v>
      </c>
      <c r="L6" s="28">
        <f t="shared" si="0"/>
        <v>8.57878787878788</v>
      </c>
      <c r="M6" s="29">
        <f>A18*B18</f>
        <v>128</v>
      </c>
      <c r="N6" s="29">
        <f>C18</f>
        <v>450</v>
      </c>
      <c r="O6" s="29">
        <f>E18+F18*D18</f>
        <v>17.5</v>
      </c>
      <c r="P6" s="29">
        <f t="shared" si="1"/>
        <v>16.666666666666668</v>
      </c>
      <c r="Q6" s="28">
        <f t="shared" si="7"/>
        <v>291.66666666666669</v>
      </c>
      <c r="R6" s="26">
        <f t="shared" si="8"/>
        <v>630.47545454545457</v>
      </c>
      <c r="S6" s="26">
        <f>G18</f>
        <v>0.3</v>
      </c>
      <c r="T6" s="26">
        <f t="shared" si="9"/>
        <v>819.61809090909094</v>
      </c>
      <c r="U6" s="27">
        <f t="shared" si="2"/>
        <v>0.10928241212121212</v>
      </c>
      <c r="V6" s="78">
        <f>E19+F19*D19</f>
        <v>11.25</v>
      </c>
      <c r="W6" s="78">
        <f t="shared" si="10"/>
        <v>187.5</v>
      </c>
      <c r="X6" s="92">
        <f t="shared" si="11"/>
        <v>526.30878787878783</v>
      </c>
      <c r="Y6" s="78">
        <f>G18</f>
        <v>0.3</v>
      </c>
      <c r="Z6" s="26">
        <f t="shared" si="12"/>
        <v>684.2014242424242</v>
      </c>
      <c r="AA6" s="78">
        <f t="shared" si="3"/>
        <v>9.1226856565656558E-2</v>
      </c>
      <c r="AB6" s="30">
        <v>140</v>
      </c>
      <c r="AC6" s="31">
        <f>U6*2+(U6*2*80/100)</f>
        <v>0.39341668363636362</v>
      </c>
      <c r="AD6" s="31">
        <f>AA6*2+(AA6*2*80/100)</f>
        <v>0.32841668363636362</v>
      </c>
    </row>
    <row r="7" spans="1:30" ht="14.4" x14ac:dyDescent="0.3">
      <c r="A7" s="15">
        <v>50</v>
      </c>
      <c r="B7" s="7" t="s">
        <v>5</v>
      </c>
      <c r="C7" s="22" t="s">
        <v>16</v>
      </c>
      <c r="D7" s="23">
        <v>12500</v>
      </c>
      <c r="E7" s="24">
        <v>7.0000000000000007E-2</v>
      </c>
      <c r="F7" s="25">
        <v>10</v>
      </c>
      <c r="G7" s="26">
        <f t="shared" si="4"/>
        <v>10.7</v>
      </c>
      <c r="H7" s="27">
        <f t="shared" si="5"/>
        <v>133.75</v>
      </c>
      <c r="I7" s="27">
        <f>C26</f>
        <v>2.52</v>
      </c>
      <c r="J7" s="89">
        <f t="shared" si="6"/>
        <v>337.05</v>
      </c>
      <c r="K7" s="84">
        <f>E36</f>
        <v>1.1438383838383839E-3</v>
      </c>
      <c r="L7" s="28">
        <f t="shared" si="0"/>
        <v>14.297979797979799</v>
      </c>
      <c r="M7" s="29">
        <f>A18*B18</f>
        <v>128</v>
      </c>
      <c r="N7" s="29">
        <f>C18</f>
        <v>450</v>
      </c>
      <c r="O7" s="29">
        <f>E18+F18*D18</f>
        <v>17.5</v>
      </c>
      <c r="P7" s="29">
        <f t="shared" si="1"/>
        <v>27.777777777777779</v>
      </c>
      <c r="Q7" s="28">
        <f t="shared" si="7"/>
        <v>486.11111111111114</v>
      </c>
      <c r="R7" s="26">
        <f t="shared" si="8"/>
        <v>965.45909090909095</v>
      </c>
      <c r="S7" s="26">
        <f>G18</f>
        <v>0.3</v>
      </c>
      <c r="T7" s="26">
        <f t="shared" si="9"/>
        <v>1255.0968181818182</v>
      </c>
      <c r="U7" s="27">
        <f t="shared" si="2"/>
        <v>0.10040774545454546</v>
      </c>
      <c r="V7" s="78">
        <f>E19+F19*D19</f>
        <v>11.25</v>
      </c>
      <c r="W7" s="78">
        <f t="shared" si="10"/>
        <v>312.5</v>
      </c>
      <c r="X7" s="92">
        <f t="shared" si="11"/>
        <v>791.84797979797986</v>
      </c>
      <c r="Y7" s="78">
        <f>G18</f>
        <v>0.3</v>
      </c>
      <c r="Z7" s="26">
        <f t="shared" si="12"/>
        <v>1029.4023737373739</v>
      </c>
      <c r="AA7" s="78">
        <f t="shared" si="3"/>
        <v>8.2352189898989903E-2</v>
      </c>
      <c r="AB7" s="30">
        <v>85</v>
      </c>
      <c r="AC7" s="31">
        <f>U7+U7*AB7/100</f>
        <v>0.18575432909090911</v>
      </c>
      <c r="AD7" s="31">
        <f>AA7+AA7*AB7/100</f>
        <v>0.15235155131313133</v>
      </c>
    </row>
    <row r="8" spans="1:30" ht="14.4" x14ac:dyDescent="0.3">
      <c r="A8" s="15">
        <v>50</v>
      </c>
      <c r="B8" s="7" t="s">
        <v>6</v>
      </c>
      <c r="C8" s="22" t="s">
        <v>17</v>
      </c>
      <c r="D8" s="23">
        <v>17500</v>
      </c>
      <c r="E8" s="24">
        <v>7.0000000000000007E-2</v>
      </c>
      <c r="F8" s="25">
        <v>10</v>
      </c>
      <c r="G8" s="26">
        <f t="shared" si="4"/>
        <v>10.7</v>
      </c>
      <c r="H8" s="27">
        <f t="shared" si="5"/>
        <v>187.25</v>
      </c>
      <c r="I8" s="27">
        <f>C26</f>
        <v>2.52</v>
      </c>
      <c r="J8" s="89">
        <f t="shared" si="6"/>
        <v>471.87</v>
      </c>
      <c r="K8" s="84">
        <f>E36</f>
        <v>1.1438383838383839E-3</v>
      </c>
      <c r="L8" s="28">
        <f t="shared" si="0"/>
        <v>20.017171717171717</v>
      </c>
      <c r="M8" s="29">
        <f>A18*B18</f>
        <v>128</v>
      </c>
      <c r="N8" s="29">
        <f>C18</f>
        <v>450</v>
      </c>
      <c r="O8" s="29">
        <f>E18+F18*D18</f>
        <v>17.5</v>
      </c>
      <c r="P8" s="29">
        <f t="shared" si="1"/>
        <v>38.888888888888886</v>
      </c>
      <c r="Q8" s="28">
        <f t="shared" si="7"/>
        <v>680.55555555555554</v>
      </c>
      <c r="R8" s="26">
        <f t="shared" si="8"/>
        <v>1300.4427272727271</v>
      </c>
      <c r="S8" s="26">
        <f>G18</f>
        <v>0.3</v>
      </c>
      <c r="T8" s="26">
        <f t="shared" si="9"/>
        <v>1690.5755454545451</v>
      </c>
      <c r="U8" s="27">
        <f t="shared" si="2"/>
        <v>9.6604316883116867E-2</v>
      </c>
      <c r="V8" s="78">
        <f>E19+F19*D19</f>
        <v>11.25</v>
      </c>
      <c r="W8" s="78">
        <f t="shared" si="10"/>
        <v>437.49999999999994</v>
      </c>
      <c r="X8" s="92">
        <f t="shared" si="11"/>
        <v>1057.3871717171717</v>
      </c>
      <c r="Y8" s="78">
        <f>G18</f>
        <v>0.3</v>
      </c>
      <c r="Z8" s="26">
        <f t="shared" si="12"/>
        <v>1374.6033232323232</v>
      </c>
      <c r="AA8" s="78">
        <f t="shared" si="3"/>
        <v>7.854876132756132E-2</v>
      </c>
      <c r="AB8" s="30">
        <v>80</v>
      </c>
      <c r="AC8" s="31">
        <f t="shared" ref="AC8:AC14" si="13">U8+U8*AB8/100</f>
        <v>0.17388777038961037</v>
      </c>
      <c r="AD8" s="31">
        <f t="shared" ref="AD8:AD14" si="14">AA8+AA8*AB8/100</f>
        <v>0.14138777038961037</v>
      </c>
    </row>
    <row r="9" spans="1:30" ht="14.4" x14ac:dyDescent="0.3">
      <c r="A9" s="15">
        <v>50</v>
      </c>
      <c r="B9" s="7" t="s">
        <v>7</v>
      </c>
      <c r="C9" s="22" t="s">
        <v>18</v>
      </c>
      <c r="D9" s="23">
        <v>25000</v>
      </c>
      <c r="E9" s="24">
        <v>0.05</v>
      </c>
      <c r="F9" s="25">
        <v>10</v>
      </c>
      <c r="G9" s="26">
        <f t="shared" si="4"/>
        <v>10.5</v>
      </c>
      <c r="H9" s="27">
        <f t="shared" si="5"/>
        <v>262.5</v>
      </c>
      <c r="I9" s="27">
        <f>C26</f>
        <v>2.52</v>
      </c>
      <c r="J9" s="89">
        <f t="shared" si="6"/>
        <v>661.5</v>
      </c>
      <c r="K9" s="84">
        <f>E36</f>
        <v>1.1438383838383839E-3</v>
      </c>
      <c r="L9" s="28">
        <f t="shared" si="0"/>
        <v>28.595959595959599</v>
      </c>
      <c r="M9" s="29">
        <f>A18*B18</f>
        <v>128</v>
      </c>
      <c r="N9" s="29">
        <f>C18</f>
        <v>450</v>
      </c>
      <c r="O9" s="29">
        <f>E18+F18*D18</f>
        <v>17.5</v>
      </c>
      <c r="P9" s="29">
        <f t="shared" si="1"/>
        <v>55.555555555555557</v>
      </c>
      <c r="Q9" s="28">
        <f t="shared" si="7"/>
        <v>972.22222222222229</v>
      </c>
      <c r="R9" s="26">
        <f t="shared" si="8"/>
        <v>1790.318181818182</v>
      </c>
      <c r="S9" s="26">
        <f>G18</f>
        <v>0.3</v>
      </c>
      <c r="T9" s="26">
        <f t="shared" si="9"/>
        <v>2327.4136363636367</v>
      </c>
      <c r="U9" s="27">
        <f t="shared" si="2"/>
        <v>9.3096545454545473E-2</v>
      </c>
      <c r="V9" s="78">
        <f>E19+F19*D19</f>
        <v>11.25</v>
      </c>
      <c r="W9" s="78">
        <f t="shared" si="10"/>
        <v>625</v>
      </c>
      <c r="X9" s="92">
        <f t="shared" si="11"/>
        <v>1443.0959595959596</v>
      </c>
      <c r="Y9" s="78">
        <f>G18</f>
        <v>0.3</v>
      </c>
      <c r="Z9" s="26">
        <f t="shared" si="12"/>
        <v>1876.0247474747475</v>
      </c>
      <c r="AA9" s="78">
        <f t="shared" si="3"/>
        <v>7.5040989898989899E-2</v>
      </c>
      <c r="AB9" s="30">
        <v>75</v>
      </c>
      <c r="AC9" s="31">
        <f t="shared" si="13"/>
        <v>0.16291895454545458</v>
      </c>
      <c r="AD9" s="31">
        <f t="shared" si="14"/>
        <v>0.13132173232323233</v>
      </c>
    </row>
    <row r="10" spans="1:30" ht="14.4" x14ac:dyDescent="0.3">
      <c r="A10" s="15">
        <v>50</v>
      </c>
      <c r="B10" s="7" t="s">
        <v>8</v>
      </c>
      <c r="C10" s="22" t="s">
        <v>19</v>
      </c>
      <c r="D10" s="23">
        <v>35000</v>
      </c>
      <c r="E10" s="24">
        <v>0.05</v>
      </c>
      <c r="F10" s="25">
        <v>10</v>
      </c>
      <c r="G10" s="26">
        <f t="shared" si="4"/>
        <v>10.5</v>
      </c>
      <c r="H10" s="27">
        <f t="shared" si="5"/>
        <v>367.5</v>
      </c>
      <c r="I10" s="27">
        <f>C26</f>
        <v>2.52</v>
      </c>
      <c r="J10" s="89">
        <f t="shared" si="6"/>
        <v>926.1</v>
      </c>
      <c r="K10" s="84">
        <f>E36</f>
        <v>1.1438383838383839E-3</v>
      </c>
      <c r="L10" s="28">
        <f t="shared" si="0"/>
        <v>40.034343434343434</v>
      </c>
      <c r="M10" s="29">
        <f>A18*B18</f>
        <v>128</v>
      </c>
      <c r="N10" s="29">
        <f>C18</f>
        <v>450</v>
      </c>
      <c r="O10" s="29">
        <f>E18+F18*D18</f>
        <v>17.5</v>
      </c>
      <c r="P10" s="29">
        <f t="shared" si="1"/>
        <v>77.777777777777771</v>
      </c>
      <c r="Q10" s="28">
        <f t="shared" si="7"/>
        <v>1361.1111111111111</v>
      </c>
      <c r="R10" s="26">
        <f t="shared" si="8"/>
        <v>2455.2454545454543</v>
      </c>
      <c r="S10" s="26">
        <f>G18</f>
        <v>0.3</v>
      </c>
      <c r="T10" s="26">
        <f t="shared" si="9"/>
        <v>3191.8190909090908</v>
      </c>
      <c r="U10" s="27">
        <f t="shared" si="2"/>
        <v>9.1194831168831161E-2</v>
      </c>
      <c r="V10" s="78">
        <f>E19+F19*D19</f>
        <v>11.25</v>
      </c>
      <c r="W10" s="78">
        <f t="shared" si="10"/>
        <v>874.99999999999989</v>
      </c>
      <c r="X10" s="92">
        <f t="shared" si="11"/>
        <v>1969.1343434343435</v>
      </c>
      <c r="Y10" s="78">
        <f>G18</f>
        <v>0.3</v>
      </c>
      <c r="Z10" s="26">
        <f t="shared" si="12"/>
        <v>2559.8746464646465</v>
      </c>
      <c r="AA10" s="78">
        <f t="shared" si="3"/>
        <v>7.3139275613275614E-2</v>
      </c>
      <c r="AB10" s="30">
        <v>75</v>
      </c>
      <c r="AC10" s="31">
        <f t="shared" si="13"/>
        <v>0.15959095454545452</v>
      </c>
      <c r="AD10" s="31">
        <f t="shared" si="14"/>
        <v>0.12799373232323233</v>
      </c>
    </row>
    <row r="11" spans="1:30" ht="14.4" x14ac:dyDescent="0.3">
      <c r="A11" s="15">
        <v>50</v>
      </c>
      <c r="B11" s="7" t="s">
        <v>9</v>
      </c>
      <c r="C11" s="22" t="s">
        <v>20</v>
      </c>
      <c r="D11" s="23">
        <v>45000</v>
      </c>
      <c r="E11" s="24">
        <v>0.05</v>
      </c>
      <c r="F11" s="25">
        <v>10</v>
      </c>
      <c r="G11" s="26">
        <f t="shared" si="4"/>
        <v>10.5</v>
      </c>
      <c r="H11" s="27">
        <f t="shared" si="5"/>
        <v>472.5</v>
      </c>
      <c r="I11" s="27">
        <f>C26</f>
        <v>2.52</v>
      </c>
      <c r="J11" s="89">
        <f t="shared" si="6"/>
        <v>1190.7</v>
      </c>
      <c r="K11" s="84">
        <f>E36</f>
        <v>1.1438383838383839E-3</v>
      </c>
      <c r="L11" s="28">
        <f t="shared" si="0"/>
        <v>51.472727272727276</v>
      </c>
      <c r="M11" s="29">
        <f>A18*B18</f>
        <v>128</v>
      </c>
      <c r="N11" s="29">
        <f>C18</f>
        <v>450</v>
      </c>
      <c r="O11" s="29">
        <f>E18+F18*D18</f>
        <v>17.5</v>
      </c>
      <c r="P11" s="29">
        <f t="shared" si="1"/>
        <v>100</v>
      </c>
      <c r="Q11" s="28">
        <f t="shared" si="7"/>
        <v>1750</v>
      </c>
      <c r="R11" s="26">
        <f t="shared" si="8"/>
        <v>3120.1727272727276</v>
      </c>
      <c r="S11" s="26">
        <f>G18</f>
        <v>0.3</v>
      </c>
      <c r="T11" s="26">
        <f t="shared" si="9"/>
        <v>4056.2245454545459</v>
      </c>
      <c r="U11" s="27">
        <f t="shared" si="2"/>
        <v>9.0138323232323236E-2</v>
      </c>
      <c r="V11" s="78">
        <f>E19+F19*D19</f>
        <v>11.25</v>
      </c>
      <c r="W11" s="78">
        <f t="shared" si="10"/>
        <v>1125</v>
      </c>
      <c r="X11" s="92">
        <f t="shared" si="11"/>
        <v>2495.1727272727276</v>
      </c>
      <c r="Y11" s="78">
        <f>G18</f>
        <v>0.3</v>
      </c>
      <c r="Z11" s="26">
        <f t="shared" si="12"/>
        <v>3243.7245454545459</v>
      </c>
      <c r="AA11" s="78">
        <f t="shared" si="3"/>
        <v>7.2082767676767689E-2</v>
      </c>
      <c r="AB11" s="30">
        <v>70</v>
      </c>
      <c r="AC11" s="31">
        <f t="shared" si="13"/>
        <v>0.15323514949494949</v>
      </c>
      <c r="AD11" s="31">
        <f t="shared" si="14"/>
        <v>0.12254070505050507</v>
      </c>
    </row>
    <row r="12" spans="1:30" ht="14.4" x14ac:dyDescent="0.3">
      <c r="A12" s="15">
        <v>50</v>
      </c>
      <c r="B12" s="7" t="s">
        <v>10</v>
      </c>
      <c r="C12" s="22" t="s">
        <v>21</v>
      </c>
      <c r="D12" s="23">
        <v>75000</v>
      </c>
      <c r="E12" s="24">
        <v>0.05</v>
      </c>
      <c r="F12" s="25">
        <v>10</v>
      </c>
      <c r="G12" s="26">
        <f t="shared" si="4"/>
        <v>10.5</v>
      </c>
      <c r="H12" s="27">
        <f t="shared" si="5"/>
        <v>787.5</v>
      </c>
      <c r="I12" s="27">
        <f>C26</f>
        <v>2.52</v>
      </c>
      <c r="J12" s="89">
        <f t="shared" si="6"/>
        <v>1984.5</v>
      </c>
      <c r="K12" s="84">
        <f>E36</f>
        <v>1.1438383838383839E-3</v>
      </c>
      <c r="L12" s="28">
        <f t="shared" si="0"/>
        <v>85.787878787878796</v>
      </c>
      <c r="M12" s="29">
        <f>A18*B18</f>
        <v>128</v>
      </c>
      <c r="N12" s="29">
        <f>C18</f>
        <v>450</v>
      </c>
      <c r="O12" s="29">
        <f>E18+F18*D18</f>
        <v>17.5</v>
      </c>
      <c r="P12" s="29">
        <f t="shared" si="1"/>
        <v>166.66666666666666</v>
      </c>
      <c r="Q12" s="28">
        <f>O12*P12</f>
        <v>2916.6666666666665</v>
      </c>
      <c r="R12" s="26">
        <f t="shared" si="8"/>
        <v>5114.954545454546</v>
      </c>
      <c r="S12" s="26">
        <f>G18</f>
        <v>0.3</v>
      </c>
      <c r="T12" s="26">
        <f t="shared" si="9"/>
        <v>6649.4409090909094</v>
      </c>
      <c r="U12" s="27">
        <f t="shared" si="2"/>
        <v>8.8659212121212125E-2</v>
      </c>
      <c r="V12" s="78">
        <f>E19+F19*D19</f>
        <v>11.25</v>
      </c>
      <c r="W12" s="78">
        <f t="shared" si="10"/>
        <v>1875</v>
      </c>
      <c r="X12" s="92">
        <f t="shared" si="11"/>
        <v>4073.287878787879</v>
      </c>
      <c r="Y12" s="78">
        <f>G18</f>
        <v>0.3</v>
      </c>
      <c r="Z12" s="26">
        <f t="shared" si="12"/>
        <v>5295.2742424242424</v>
      </c>
      <c r="AA12" s="78">
        <f t="shared" si="3"/>
        <v>7.0603656565656564E-2</v>
      </c>
      <c r="AB12" s="30">
        <v>70</v>
      </c>
      <c r="AC12" s="31">
        <f t="shared" si="13"/>
        <v>0.1507206606060606</v>
      </c>
      <c r="AD12" s="31">
        <f t="shared" si="14"/>
        <v>0.12002621616161616</v>
      </c>
    </row>
    <row r="13" spans="1:30" ht="14.4" x14ac:dyDescent="0.3">
      <c r="A13" s="15">
        <v>50</v>
      </c>
      <c r="B13" s="7" t="s">
        <v>11</v>
      </c>
      <c r="C13" s="22" t="s">
        <v>22</v>
      </c>
      <c r="D13" s="23">
        <v>125000</v>
      </c>
      <c r="E13" s="24">
        <v>0.03</v>
      </c>
      <c r="F13" s="25">
        <v>10</v>
      </c>
      <c r="G13" s="26">
        <f t="shared" si="4"/>
        <v>10.3</v>
      </c>
      <c r="H13" s="27">
        <f t="shared" si="5"/>
        <v>1287.5</v>
      </c>
      <c r="I13" s="27">
        <f>C26</f>
        <v>2.52</v>
      </c>
      <c r="J13" s="89">
        <f t="shared" si="6"/>
        <v>3244.5</v>
      </c>
      <c r="K13" s="84">
        <f>E36</f>
        <v>1.1438383838383839E-3</v>
      </c>
      <c r="L13" s="28">
        <f t="shared" si="0"/>
        <v>142.97979797979798</v>
      </c>
      <c r="M13" s="29">
        <f>A18*B18</f>
        <v>128</v>
      </c>
      <c r="N13" s="29">
        <f>C18</f>
        <v>450</v>
      </c>
      <c r="O13" s="29">
        <f>E18+F18*D18</f>
        <v>17.5</v>
      </c>
      <c r="P13" s="29">
        <f t="shared" si="1"/>
        <v>277.77777777777777</v>
      </c>
      <c r="Q13" s="28">
        <f t="shared" si="7"/>
        <v>4861.1111111111113</v>
      </c>
      <c r="R13" s="26">
        <f t="shared" si="8"/>
        <v>8376.5909090909081</v>
      </c>
      <c r="S13" s="26">
        <f>G18</f>
        <v>0.3</v>
      </c>
      <c r="T13" s="26">
        <f t="shared" si="9"/>
        <v>10889.56818181818</v>
      </c>
      <c r="U13" s="27">
        <f t="shared" si="2"/>
        <v>8.7116545454545447E-2</v>
      </c>
      <c r="V13" s="78">
        <f>E19+F19*D19</f>
        <v>11.25</v>
      </c>
      <c r="W13" s="78">
        <f t="shared" si="10"/>
        <v>3125</v>
      </c>
      <c r="X13" s="92">
        <f t="shared" si="11"/>
        <v>6640.4797979797986</v>
      </c>
      <c r="Y13" s="78">
        <f>G18</f>
        <v>0.3</v>
      </c>
      <c r="Z13" s="26">
        <f t="shared" si="12"/>
        <v>8632.6237373737385</v>
      </c>
      <c r="AA13" s="78">
        <f t="shared" si="3"/>
        <v>6.9060989898989913E-2</v>
      </c>
      <c r="AB13" s="30">
        <v>65</v>
      </c>
      <c r="AC13" s="31">
        <f t="shared" si="13"/>
        <v>0.14374229999999999</v>
      </c>
      <c r="AD13" s="31">
        <f t="shared" si="14"/>
        <v>0.11395063333333336</v>
      </c>
    </row>
    <row r="14" spans="1:30" ht="15" thickBot="1" x14ac:dyDescent="0.35">
      <c r="A14" s="15">
        <v>50</v>
      </c>
      <c r="B14" s="7" t="s">
        <v>12</v>
      </c>
      <c r="C14" s="22" t="s">
        <v>23</v>
      </c>
      <c r="D14" s="23">
        <v>200000</v>
      </c>
      <c r="E14" s="24">
        <v>0.03</v>
      </c>
      <c r="F14" s="25">
        <v>10</v>
      </c>
      <c r="G14" s="26">
        <f t="shared" si="4"/>
        <v>10.3</v>
      </c>
      <c r="H14" s="27">
        <f t="shared" si="5"/>
        <v>2060.0000000000005</v>
      </c>
      <c r="I14" s="27">
        <f>C26</f>
        <v>2.52</v>
      </c>
      <c r="J14" s="89">
        <f t="shared" si="6"/>
        <v>5191.2000000000007</v>
      </c>
      <c r="K14" s="84">
        <f>E36</f>
        <v>1.1438383838383839E-3</v>
      </c>
      <c r="L14" s="28">
        <f t="shared" si="0"/>
        <v>228.76767676767679</v>
      </c>
      <c r="M14" s="29">
        <f>A18*B18</f>
        <v>128</v>
      </c>
      <c r="N14" s="29">
        <f>C18</f>
        <v>450</v>
      </c>
      <c r="O14" s="29">
        <f>E18+F18*D18</f>
        <v>17.5</v>
      </c>
      <c r="P14" s="29">
        <f t="shared" si="1"/>
        <v>444.44444444444446</v>
      </c>
      <c r="Q14" s="28">
        <f t="shared" si="7"/>
        <v>7777.7777777777783</v>
      </c>
      <c r="R14" s="26">
        <f t="shared" si="8"/>
        <v>13325.745454545457</v>
      </c>
      <c r="S14" s="26">
        <f>G18</f>
        <v>0.3</v>
      </c>
      <c r="T14" s="26">
        <f t="shared" si="9"/>
        <v>17323.469090909093</v>
      </c>
      <c r="U14" s="27">
        <f t="shared" si="2"/>
        <v>8.6617345454545469E-2</v>
      </c>
      <c r="V14" s="78">
        <f>E19+F19*D19</f>
        <v>11.25</v>
      </c>
      <c r="W14" s="78">
        <f t="shared" si="10"/>
        <v>5000</v>
      </c>
      <c r="X14" s="92">
        <f t="shared" si="11"/>
        <v>10547.967676767677</v>
      </c>
      <c r="Y14" s="78">
        <f>G18</f>
        <v>0.3</v>
      </c>
      <c r="Z14" s="26">
        <f t="shared" si="12"/>
        <v>13712.35797979798</v>
      </c>
      <c r="AA14" s="78">
        <f t="shared" si="3"/>
        <v>6.8561789898989894E-2</v>
      </c>
      <c r="AB14" s="30">
        <v>60</v>
      </c>
      <c r="AC14" s="32">
        <f t="shared" si="13"/>
        <v>0.13858775272727275</v>
      </c>
      <c r="AD14" s="32">
        <f t="shared" si="14"/>
        <v>0.10969886383838384</v>
      </c>
    </row>
    <row r="15" spans="1:30" ht="14.4" thickBot="1" x14ac:dyDescent="0.35"/>
    <row r="16" spans="1:30" x14ac:dyDescent="0.3">
      <c r="A16" s="33" t="s">
        <v>27</v>
      </c>
      <c r="B16" s="34"/>
      <c r="C16" s="34"/>
      <c r="D16" s="34"/>
      <c r="E16" s="34"/>
      <c r="F16" s="34"/>
      <c r="G16" s="35"/>
      <c r="AC16" s="80"/>
    </row>
    <row r="17" spans="1:12" x14ac:dyDescent="0.3">
      <c r="A17" s="36" t="s">
        <v>28</v>
      </c>
      <c r="B17" s="37" t="s">
        <v>29</v>
      </c>
      <c r="C17" s="37" t="s">
        <v>30</v>
      </c>
      <c r="D17" s="37" t="s">
        <v>31</v>
      </c>
      <c r="E17" s="37" t="s">
        <v>32</v>
      </c>
      <c r="F17" s="37" t="s">
        <v>33</v>
      </c>
      <c r="G17" s="38" t="s">
        <v>34</v>
      </c>
      <c r="J17" s="39"/>
      <c r="K17" s="85"/>
      <c r="L17" s="14" t="s">
        <v>59</v>
      </c>
    </row>
    <row r="18" spans="1:12" ht="14.4" thickBot="1" x14ac:dyDescent="0.35">
      <c r="A18" s="40">
        <v>4</v>
      </c>
      <c r="B18" s="41">
        <v>32</v>
      </c>
      <c r="C18" s="41">
        <v>450</v>
      </c>
      <c r="D18" s="41">
        <v>0.5</v>
      </c>
      <c r="E18" s="41">
        <v>5</v>
      </c>
      <c r="F18" s="42">
        <v>25</v>
      </c>
      <c r="G18" s="43">
        <v>0.3</v>
      </c>
    </row>
    <row r="19" spans="1:12" ht="14.4" thickBot="1" x14ac:dyDescent="0.35">
      <c r="A19" s="40">
        <v>4</v>
      </c>
      <c r="B19" s="41">
        <v>32</v>
      </c>
      <c r="C19" s="41">
        <v>450</v>
      </c>
      <c r="D19" s="41">
        <v>0.25</v>
      </c>
      <c r="E19" s="41">
        <v>5</v>
      </c>
      <c r="F19" s="42">
        <v>25</v>
      </c>
      <c r="G19" s="43">
        <v>0.3</v>
      </c>
    </row>
    <row r="20" spans="1:12" ht="14.4" thickBot="1" x14ac:dyDescent="0.35">
      <c r="J20" s="44"/>
      <c r="K20" s="86"/>
      <c r="L20" s="14" t="s">
        <v>60</v>
      </c>
    </row>
    <row r="21" spans="1:12" x14ac:dyDescent="0.3">
      <c r="A21" s="45" t="s">
        <v>35</v>
      </c>
      <c r="B21" s="46"/>
      <c r="C21" s="46" t="s">
        <v>36</v>
      </c>
      <c r="D21" s="47" t="s">
        <v>37</v>
      </c>
    </row>
    <row r="22" spans="1:12" x14ac:dyDescent="0.3">
      <c r="A22" s="48" t="s">
        <v>40</v>
      </c>
      <c r="B22" s="49">
        <v>2</v>
      </c>
      <c r="C22" s="50">
        <v>96</v>
      </c>
      <c r="D22" s="51"/>
    </row>
    <row r="23" spans="1:12" x14ac:dyDescent="0.3">
      <c r="A23" s="48" t="s">
        <v>40</v>
      </c>
      <c r="B23" s="49">
        <v>15</v>
      </c>
      <c r="C23" s="50">
        <v>4</v>
      </c>
      <c r="D23" s="51"/>
    </row>
    <row r="24" spans="1:12" x14ac:dyDescent="0.3">
      <c r="A24" s="48" t="s">
        <v>40</v>
      </c>
      <c r="B24" s="49">
        <v>0</v>
      </c>
      <c r="C24" s="50"/>
      <c r="D24" s="51"/>
    </row>
    <row r="25" spans="1:12" ht="14.4" thickBot="1" x14ac:dyDescent="0.35">
      <c r="A25" s="48" t="s">
        <v>44</v>
      </c>
      <c r="B25" s="49">
        <v>0</v>
      </c>
      <c r="C25" s="50"/>
      <c r="D25" s="51"/>
    </row>
    <row r="26" spans="1:12" ht="14.4" thickBot="1" x14ac:dyDescent="0.35">
      <c r="A26" s="52" t="s">
        <v>45</v>
      </c>
      <c r="B26" s="53">
        <f>SUM(B22:B25)</f>
        <v>17</v>
      </c>
      <c r="C26" s="54">
        <f>(B22*C22/100)+(B23*C23/100)+(B24*C24/100)+(B25*C25/100)</f>
        <v>2.52</v>
      </c>
      <c r="D26" s="55" t="s">
        <v>62</v>
      </c>
    </row>
    <row r="27" spans="1:12" ht="14.4" thickBot="1" x14ac:dyDescent="0.35"/>
    <row r="28" spans="1:12" x14ac:dyDescent="0.3">
      <c r="A28" s="56" t="s">
        <v>38</v>
      </c>
      <c r="B28" s="57"/>
      <c r="C28" s="58"/>
      <c r="D28" s="59" t="s">
        <v>39</v>
      </c>
      <c r="E28" s="60" t="s">
        <v>97</v>
      </c>
    </row>
    <row r="29" spans="1:12" x14ac:dyDescent="0.3">
      <c r="A29" s="61" t="s">
        <v>42</v>
      </c>
      <c r="B29" s="62">
        <v>1100</v>
      </c>
      <c r="C29" s="63"/>
      <c r="D29" s="64"/>
      <c r="E29" s="65"/>
    </row>
    <row r="30" spans="1:12" x14ac:dyDescent="0.3">
      <c r="A30" s="61" t="s">
        <v>86</v>
      </c>
      <c r="B30" s="62">
        <v>9</v>
      </c>
      <c r="C30" s="63" t="s">
        <v>41</v>
      </c>
      <c r="D30" s="66">
        <v>0.68100000000000005</v>
      </c>
      <c r="E30" s="65">
        <f>D30*B30</f>
        <v>6.1290000000000004</v>
      </c>
    </row>
    <row r="31" spans="1:12" x14ac:dyDescent="0.3">
      <c r="A31" s="61" t="s">
        <v>87</v>
      </c>
      <c r="B31" s="62">
        <f>B30*B29</f>
        <v>9900</v>
      </c>
      <c r="C31" s="67"/>
      <c r="D31" s="68"/>
      <c r="E31" s="65"/>
    </row>
    <row r="32" spans="1:12" x14ac:dyDescent="0.3">
      <c r="A32" s="61" t="s">
        <v>88</v>
      </c>
      <c r="B32" s="62">
        <v>9</v>
      </c>
      <c r="C32" s="63" t="s">
        <v>43</v>
      </c>
      <c r="D32" s="69">
        <v>0.13800000000000001</v>
      </c>
      <c r="E32" s="65">
        <f>D32*B32</f>
        <v>1.242</v>
      </c>
    </row>
    <row r="33" spans="1:5" x14ac:dyDescent="0.3">
      <c r="A33" s="61" t="s">
        <v>46</v>
      </c>
      <c r="B33" s="62">
        <f>B32*5</f>
        <v>45</v>
      </c>
      <c r="C33" s="63" t="s">
        <v>47</v>
      </c>
      <c r="D33" s="66">
        <v>4.3400000000000001E-2</v>
      </c>
      <c r="E33" s="65">
        <f>D33*B33</f>
        <v>1.9530000000000001</v>
      </c>
    </row>
    <row r="34" spans="1:5" ht="14.4" thickBot="1" x14ac:dyDescent="0.35">
      <c r="A34" s="70" t="s">
        <v>48</v>
      </c>
      <c r="B34" s="71" t="s">
        <v>49</v>
      </c>
      <c r="C34" s="72" t="s">
        <v>50</v>
      </c>
      <c r="D34" s="73">
        <v>2</v>
      </c>
      <c r="E34" s="74">
        <f>D34</f>
        <v>2</v>
      </c>
    </row>
    <row r="35" spans="1:5" ht="14.4" thickBot="1" x14ac:dyDescent="0.35">
      <c r="E35" s="75">
        <f>SUM(E29:E34)</f>
        <v>11.324</v>
      </c>
    </row>
    <row r="36" spans="1:5" ht="14.4" thickBot="1" x14ac:dyDescent="0.35">
      <c r="D36" s="76" t="s">
        <v>98</v>
      </c>
      <c r="E36" s="77">
        <f>E35/B31</f>
        <v>1.1438383838383839E-3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AA7AE-AF08-45EF-8EE1-FCB56585185A}">
  <dimension ref="A2:AD36"/>
  <sheetViews>
    <sheetView topLeftCell="I1" workbookViewId="0">
      <selection activeCell="V11" sqref="V11"/>
    </sheetView>
  </sheetViews>
  <sheetFormatPr defaultColWidth="9.109375" defaultRowHeight="13.8" x14ac:dyDescent="0.3"/>
  <cols>
    <col min="1" max="1" width="28.6640625" style="14" bestFit="1" customWidth="1"/>
    <col min="2" max="2" width="10.109375" style="14" bestFit="1" customWidth="1"/>
    <col min="3" max="3" width="21" style="14" bestFit="1" customWidth="1"/>
    <col min="4" max="4" width="12.44140625" style="14" bestFit="1" customWidth="1"/>
    <col min="5" max="5" width="21" style="14" bestFit="1" customWidth="1"/>
    <col min="6" max="6" width="14.88671875" style="14" bestFit="1" customWidth="1"/>
    <col min="7" max="7" width="23.5546875" style="14" bestFit="1" customWidth="1"/>
    <col min="8" max="8" width="18.6640625" style="14" customWidth="1"/>
    <col min="9" max="9" width="0.109375" style="14" customWidth="1"/>
    <col min="10" max="10" width="9.5546875" style="14" bestFit="1" customWidth="1"/>
    <col min="11" max="11" width="15.33203125" style="82" customWidth="1"/>
    <col min="12" max="12" width="17.5546875" style="14" bestFit="1" customWidth="1"/>
    <col min="13" max="13" width="19.33203125" style="14" customWidth="1"/>
    <col min="14" max="14" width="9.109375" style="14" customWidth="1"/>
    <col min="15" max="15" width="22.88671875" style="14" customWidth="1"/>
    <col min="16" max="16" width="11.88671875" style="14" customWidth="1"/>
    <col min="17" max="17" width="23.5546875" style="14" bestFit="1" customWidth="1"/>
    <col min="18" max="18" width="24.33203125" style="14" customWidth="1"/>
    <col min="19" max="19" width="11" style="14" customWidth="1"/>
    <col min="20" max="20" width="35.5546875" style="14" bestFit="1" customWidth="1"/>
    <col min="21" max="21" width="14.6640625" style="14" bestFit="1" customWidth="1"/>
    <col min="22" max="27" width="14.6640625" style="14" customWidth="1"/>
    <col min="28" max="28" width="16.5546875" style="14" bestFit="1" customWidth="1"/>
    <col min="29" max="29" width="17.44140625" style="14" bestFit="1" customWidth="1"/>
    <col min="30" max="30" width="11.88671875" style="14" bestFit="1" customWidth="1"/>
    <col min="31" max="16384" width="9.109375" style="14"/>
  </cols>
  <sheetData>
    <row r="2" spans="1:30" ht="14.4" thickBot="1" x14ac:dyDescent="0.35"/>
    <row r="3" spans="1:30" ht="74.25" customHeight="1" thickBot="1" x14ac:dyDescent="0.35">
      <c r="A3" s="15" t="s">
        <v>57</v>
      </c>
      <c r="B3" s="15" t="s">
        <v>24</v>
      </c>
      <c r="C3" s="15" t="s">
        <v>25</v>
      </c>
      <c r="D3" s="15" t="s">
        <v>26</v>
      </c>
      <c r="E3" s="15" t="s">
        <v>55</v>
      </c>
      <c r="F3" s="15" t="s">
        <v>58</v>
      </c>
      <c r="G3" s="16" t="s">
        <v>51</v>
      </c>
      <c r="H3" s="17" t="s">
        <v>52</v>
      </c>
      <c r="I3" s="17" t="s">
        <v>61</v>
      </c>
      <c r="J3" s="90" t="s">
        <v>53</v>
      </c>
      <c r="K3" s="83" t="s">
        <v>99</v>
      </c>
      <c r="L3" s="18" t="s">
        <v>96</v>
      </c>
      <c r="M3" s="19" t="s">
        <v>54</v>
      </c>
      <c r="N3" s="19" t="s">
        <v>100</v>
      </c>
      <c r="O3" s="19" t="s">
        <v>108</v>
      </c>
      <c r="P3" s="19" t="s">
        <v>101</v>
      </c>
      <c r="Q3" s="91" t="s">
        <v>116</v>
      </c>
      <c r="R3" s="87" t="s">
        <v>107</v>
      </c>
      <c r="S3" s="88" t="s">
        <v>102</v>
      </c>
      <c r="T3" s="87" t="s">
        <v>104</v>
      </c>
      <c r="U3" s="87" t="s">
        <v>105</v>
      </c>
      <c r="V3" s="19" t="s">
        <v>109</v>
      </c>
      <c r="W3" s="20" t="s">
        <v>110</v>
      </c>
      <c r="X3" s="20"/>
      <c r="Y3" s="20"/>
      <c r="Z3" s="20" t="s">
        <v>111</v>
      </c>
      <c r="AA3" s="20" t="s">
        <v>112</v>
      </c>
      <c r="AB3" s="20" t="s">
        <v>103</v>
      </c>
      <c r="AC3" s="79" t="s">
        <v>106</v>
      </c>
      <c r="AD3" s="21" t="s">
        <v>113</v>
      </c>
    </row>
    <row r="4" spans="1:30" ht="14.4" x14ac:dyDescent="0.3">
      <c r="A4" s="15">
        <v>50</v>
      </c>
      <c r="B4" s="7" t="s">
        <v>2</v>
      </c>
      <c r="C4" s="22" t="s">
        <v>13</v>
      </c>
      <c r="D4" s="23">
        <v>2000</v>
      </c>
      <c r="E4" s="24">
        <v>0.1</v>
      </c>
      <c r="F4" s="25">
        <v>20</v>
      </c>
      <c r="G4" s="26">
        <f>F4+F4*E4</f>
        <v>22</v>
      </c>
      <c r="H4" s="27">
        <f>(G4*D4)/1000</f>
        <v>44</v>
      </c>
      <c r="I4" s="27">
        <f>C26</f>
        <v>1.5999999999999999</v>
      </c>
      <c r="J4" s="89">
        <f>H4*I4</f>
        <v>70.399999999999991</v>
      </c>
      <c r="K4" s="84">
        <f>E36</f>
        <v>1.1438383838383839E-3</v>
      </c>
      <c r="L4" s="28">
        <f t="shared" ref="L4:L14" si="0">K4*D4</f>
        <v>2.2876767676767678</v>
      </c>
      <c r="M4" s="29">
        <f>A18*B18</f>
        <v>128</v>
      </c>
      <c r="N4" s="29">
        <f>C18</f>
        <v>450</v>
      </c>
      <c r="O4" s="29">
        <f>E18+F18*D18</f>
        <v>17.5</v>
      </c>
      <c r="P4" s="29">
        <f t="shared" ref="P4:P14" si="1">D4/N4</f>
        <v>4.4444444444444446</v>
      </c>
      <c r="Q4" s="28">
        <f>O4*P4</f>
        <v>77.777777777777786</v>
      </c>
      <c r="R4" s="26">
        <f>Q4+L4+J4+M4</f>
        <v>278.46545454545458</v>
      </c>
      <c r="S4" s="26">
        <f>G18</f>
        <v>0.3</v>
      </c>
      <c r="T4" s="26">
        <f>R4+R4*S4</f>
        <v>362.00509090909094</v>
      </c>
      <c r="U4" s="27">
        <f t="shared" ref="U4:U14" si="2">T4/D4</f>
        <v>0.18100254545454547</v>
      </c>
      <c r="V4" s="78">
        <f>E19+F19*D19</f>
        <v>11.25</v>
      </c>
      <c r="W4" s="78">
        <f>V4*P4</f>
        <v>50</v>
      </c>
      <c r="X4" s="92">
        <f>W4+M4+L4+J4</f>
        <v>250.68767676767675</v>
      </c>
      <c r="Y4" s="78">
        <f>G18</f>
        <v>0.3</v>
      </c>
      <c r="Z4" s="26">
        <f>X4+X4*Y4</f>
        <v>325.8939797979798</v>
      </c>
      <c r="AA4" s="78">
        <f t="shared" ref="AA4:AA14" si="3">Z4/D4</f>
        <v>0.1629469898989899</v>
      </c>
      <c r="AB4" s="30">
        <v>180</v>
      </c>
      <c r="AC4" s="81">
        <f>U4*2+(U4*2*80/100)</f>
        <v>0.65160916363636368</v>
      </c>
      <c r="AD4" s="81">
        <f>AA4*2+(AA4*2*80/100)</f>
        <v>0.58660916363636362</v>
      </c>
    </row>
    <row r="5" spans="1:30" ht="14.4" x14ac:dyDescent="0.3">
      <c r="A5" s="15">
        <v>50</v>
      </c>
      <c r="B5" s="7" t="s">
        <v>3</v>
      </c>
      <c r="C5" s="22" t="s">
        <v>14</v>
      </c>
      <c r="D5" s="23">
        <v>4000</v>
      </c>
      <c r="E5" s="24">
        <v>0.1</v>
      </c>
      <c r="F5" s="25">
        <v>20</v>
      </c>
      <c r="G5" s="26">
        <f t="shared" ref="G5:G14" si="4">F5+F5*E5</f>
        <v>22</v>
      </c>
      <c r="H5" s="27">
        <f t="shared" ref="H5:H14" si="5">(G5*D5)/1000</f>
        <v>88</v>
      </c>
      <c r="I5" s="27">
        <f>C26</f>
        <v>1.5999999999999999</v>
      </c>
      <c r="J5" s="89">
        <f t="shared" ref="J5:J14" si="6">H5*I5</f>
        <v>140.79999999999998</v>
      </c>
      <c r="K5" s="84">
        <f>E36</f>
        <v>1.1438383838383839E-3</v>
      </c>
      <c r="L5" s="28">
        <f t="shared" si="0"/>
        <v>4.5753535353535355</v>
      </c>
      <c r="M5" s="29">
        <f>A18*B18</f>
        <v>128</v>
      </c>
      <c r="N5" s="29">
        <f>C18</f>
        <v>450</v>
      </c>
      <c r="O5" s="29">
        <f>E18+F18*D18</f>
        <v>17.5</v>
      </c>
      <c r="P5" s="29">
        <f t="shared" si="1"/>
        <v>8.8888888888888893</v>
      </c>
      <c r="Q5" s="28">
        <f t="shared" ref="Q5:Q14" si="7">O5*P5</f>
        <v>155.55555555555557</v>
      </c>
      <c r="R5" s="26">
        <f t="shared" ref="R5:R14" si="8">Q5+L5+J5+M5</f>
        <v>428.9309090909091</v>
      </c>
      <c r="S5" s="26">
        <f>G18</f>
        <v>0.3</v>
      </c>
      <c r="T5" s="26">
        <f t="shared" ref="T5:T14" si="9">R5+R5*S5</f>
        <v>557.61018181818179</v>
      </c>
      <c r="U5" s="27">
        <f t="shared" si="2"/>
        <v>0.13940254545454545</v>
      </c>
      <c r="V5" s="78">
        <f>E19+F19*D19</f>
        <v>11.25</v>
      </c>
      <c r="W5" s="78">
        <f t="shared" ref="W5:W14" si="10">V5*P5</f>
        <v>100</v>
      </c>
      <c r="X5" s="92">
        <f t="shared" ref="X5:X14" si="11">W5+M5+L5+J5</f>
        <v>373.3753535353535</v>
      </c>
      <c r="Y5" s="78">
        <f>G18</f>
        <v>0.3</v>
      </c>
      <c r="Z5" s="26">
        <f t="shared" ref="Z5:Z14" si="12">X5+X5*Y5</f>
        <v>485.38795959595956</v>
      </c>
      <c r="AA5" s="78">
        <f t="shared" si="3"/>
        <v>0.12134698989898988</v>
      </c>
      <c r="AB5" s="30">
        <v>160</v>
      </c>
      <c r="AC5" s="31">
        <f>U5*2+(U5*2*80/100)</f>
        <v>0.50184916363636356</v>
      </c>
      <c r="AD5" s="31">
        <f>AA5*2+(AA5*2*80/100)</f>
        <v>0.43684916363636361</v>
      </c>
    </row>
    <row r="6" spans="1:30" ht="14.4" x14ac:dyDescent="0.3">
      <c r="A6" s="15">
        <v>50</v>
      </c>
      <c r="B6" s="7" t="s">
        <v>4</v>
      </c>
      <c r="C6" s="22" t="s">
        <v>15</v>
      </c>
      <c r="D6" s="23">
        <v>7500</v>
      </c>
      <c r="E6" s="24">
        <v>7.0000000000000007E-2</v>
      </c>
      <c r="F6" s="25">
        <v>20</v>
      </c>
      <c r="G6" s="26">
        <f t="shared" si="4"/>
        <v>21.4</v>
      </c>
      <c r="H6" s="27">
        <f t="shared" si="5"/>
        <v>160.5</v>
      </c>
      <c r="I6" s="27">
        <f>C26</f>
        <v>1.5999999999999999</v>
      </c>
      <c r="J6" s="89">
        <f t="shared" si="6"/>
        <v>256.79999999999995</v>
      </c>
      <c r="K6" s="84">
        <f>E36</f>
        <v>1.1438383838383839E-3</v>
      </c>
      <c r="L6" s="28">
        <f t="shared" si="0"/>
        <v>8.57878787878788</v>
      </c>
      <c r="M6" s="29">
        <f>A18*B18</f>
        <v>128</v>
      </c>
      <c r="N6" s="29">
        <f>C18</f>
        <v>450</v>
      </c>
      <c r="O6" s="29">
        <f>E18+F18*D18</f>
        <v>17.5</v>
      </c>
      <c r="P6" s="29">
        <f t="shared" si="1"/>
        <v>16.666666666666668</v>
      </c>
      <c r="Q6" s="28">
        <f t="shared" si="7"/>
        <v>291.66666666666669</v>
      </c>
      <c r="R6" s="26">
        <f t="shared" si="8"/>
        <v>685.0454545454545</v>
      </c>
      <c r="S6" s="26">
        <f>G18</f>
        <v>0.3</v>
      </c>
      <c r="T6" s="26">
        <f t="shared" si="9"/>
        <v>890.55909090909086</v>
      </c>
      <c r="U6" s="27">
        <f t="shared" si="2"/>
        <v>0.11874121212121211</v>
      </c>
      <c r="V6" s="78">
        <f>E19+F19*D19</f>
        <v>11.25</v>
      </c>
      <c r="W6" s="78">
        <f t="shared" si="10"/>
        <v>187.5</v>
      </c>
      <c r="X6" s="92">
        <f t="shared" si="11"/>
        <v>580.87878787878776</v>
      </c>
      <c r="Y6" s="78">
        <f>G18</f>
        <v>0.3</v>
      </c>
      <c r="Z6" s="26">
        <f t="shared" si="12"/>
        <v>755.14242424242411</v>
      </c>
      <c r="AA6" s="78">
        <f t="shared" si="3"/>
        <v>0.10068565656565655</v>
      </c>
      <c r="AB6" s="30">
        <v>140</v>
      </c>
      <c r="AC6" s="31">
        <f>U6*2+(U6*2*80/100)</f>
        <v>0.42746836363636359</v>
      </c>
      <c r="AD6" s="31">
        <f>AA6*2+(AA6*2*80/100)</f>
        <v>0.36246836363636359</v>
      </c>
    </row>
    <row r="7" spans="1:30" ht="14.4" x14ac:dyDescent="0.3">
      <c r="A7" s="15">
        <v>50</v>
      </c>
      <c r="B7" s="7" t="s">
        <v>5</v>
      </c>
      <c r="C7" s="22" t="s">
        <v>16</v>
      </c>
      <c r="D7" s="23">
        <v>12500</v>
      </c>
      <c r="E7" s="24">
        <v>7.0000000000000007E-2</v>
      </c>
      <c r="F7" s="25">
        <v>20</v>
      </c>
      <c r="G7" s="26">
        <f t="shared" si="4"/>
        <v>21.4</v>
      </c>
      <c r="H7" s="27">
        <f t="shared" si="5"/>
        <v>267.5</v>
      </c>
      <c r="I7" s="27">
        <f>C26</f>
        <v>1.5999999999999999</v>
      </c>
      <c r="J7" s="89">
        <f t="shared" si="6"/>
        <v>427.99999999999994</v>
      </c>
      <c r="K7" s="84">
        <f>E36</f>
        <v>1.1438383838383839E-3</v>
      </c>
      <c r="L7" s="28">
        <f t="shared" si="0"/>
        <v>14.297979797979799</v>
      </c>
      <c r="M7" s="29">
        <f>A18*B18</f>
        <v>128</v>
      </c>
      <c r="N7" s="29">
        <f>C18</f>
        <v>450</v>
      </c>
      <c r="O7" s="29">
        <f>E18+F18*D18</f>
        <v>17.5</v>
      </c>
      <c r="P7" s="29">
        <f t="shared" si="1"/>
        <v>27.777777777777779</v>
      </c>
      <c r="Q7" s="28">
        <f t="shared" si="7"/>
        <v>486.11111111111114</v>
      </c>
      <c r="R7" s="26">
        <f t="shared" si="8"/>
        <v>1056.409090909091</v>
      </c>
      <c r="S7" s="26">
        <f>G18</f>
        <v>0.3</v>
      </c>
      <c r="T7" s="26">
        <f t="shared" si="9"/>
        <v>1373.3318181818183</v>
      </c>
      <c r="U7" s="27">
        <f t="shared" si="2"/>
        <v>0.10986654545454547</v>
      </c>
      <c r="V7" s="78">
        <f>E19+F19*D19</f>
        <v>11.25</v>
      </c>
      <c r="W7" s="78">
        <f t="shared" si="10"/>
        <v>312.5</v>
      </c>
      <c r="X7" s="92">
        <f t="shared" si="11"/>
        <v>882.79797979797968</v>
      </c>
      <c r="Y7" s="78">
        <f>G18</f>
        <v>0.3</v>
      </c>
      <c r="Z7" s="26">
        <f t="shared" si="12"/>
        <v>1147.6373737373735</v>
      </c>
      <c r="AA7" s="78">
        <f t="shared" si="3"/>
        <v>9.1810989898989878E-2</v>
      </c>
      <c r="AB7" s="30">
        <v>85</v>
      </c>
      <c r="AC7" s="31">
        <f>U7+U7*AB7/100</f>
        <v>0.2032531090909091</v>
      </c>
      <c r="AD7" s="31">
        <f>AA7+AA7*AB7/100</f>
        <v>0.16985033131313126</v>
      </c>
    </row>
    <row r="8" spans="1:30" ht="14.4" x14ac:dyDescent="0.3">
      <c r="A8" s="15">
        <v>50</v>
      </c>
      <c r="B8" s="7" t="s">
        <v>6</v>
      </c>
      <c r="C8" s="22" t="s">
        <v>17</v>
      </c>
      <c r="D8" s="23">
        <v>17500</v>
      </c>
      <c r="E8" s="24">
        <v>7.0000000000000007E-2</v>
      </c>
      <c r="F8" s="25">
        <v>20</v>
      </c>
      <c r="G8" s="26">
        <f t="shared" si="4"/>
        <v>21.4</v>
      </c>
      <c r="H8" s="27">
        <f t="shared" si="5"/>
        <v>374.5</v>
      </c>
      <c r="I8" s="27">
        <f>C26</f>
        <v>1.5999999999999999</v>
      </c>
      <c r="J8" s="89">
        <f t="shared" si="6"/>
        <v>599.19999999999993</v>
      </c>
      <c r="K8" s="84">
        <f>E36</f>
        <v>1.1438383838383839E-3</v>
      </c>
      <c r="L8" s="28">
        <f t="shared" si="0"/>
        <v>20.017171717171717</v>
      </c>
      <c r="M8" s="29">
        <f>A18*B18</f>
        <v>128</v>
      </c>
      <c r="N8" s="29">
        <f>C18</f>
        <v>450</v>
      </c>
      <c r="O8" s="29">
        <f>E18+F18*D18</f>
        <v>17.5</v>
      </c>
      <c r="P8" s="29">
        <f t="shared" si="1"/>
        <v>38.888888888888886</v>
      </c>
      <c r="Q8" s="28">
        <f t="shared" si="7"/>
        <v>680.55555555555554</v>
      </c>
      <c r="R8" s="26">
        <f t="shared" si="8"/>
        <v>1427.772727272727</v>
      </c>
      <c r="S8" s="26">
        <f>G18</f>
        <v>0.3</v>
      </c>
      <c r="T8" s="26">
        <f t="shared" si="9"/>
        <v>1856.1045454545451</v>
      </c>
      <c r="U8" s="27">
        <f t="shared" si="2"/>
        <v>0.10606311688311687</v>
      </c>
      <c r="V8" s="78">
        <f>E19+F19*D19</f>
        <v>11.25</v>
      </c>
      <c r="W8" s="78">
        <f t="shared" si="10"/>
        <v>437.49999999999994</v>
      </c>
      <c r="X8" s="92">
        <f t="shared" si="11"/>
        <v>1184.7171717171716</v>
      </c>
      <c r="Y8" s="78">
        <f>G18</f>
        <v>0.3</v>
      </c>
      <c r="Z8" s="26">
        <f t="shared" si="12"/>
        <v>1540.132323232323</v>
      </c>
      <c r="AA8" s="78">
        <f t="shared" si="3"/>
        <v>8.8007561327561309E-2</v>
      </c>
      <c r="AB8" s="30">
        <v>80</v>
      </c>
      <c r="AC8" s="31">
        <f t="shared" ref="AC8:AC14" si="13">U8+U8*AB8/100</f>
        <v>0.19091361038961036</v>
      </c>
      <c r="AD8" s="31">
        <f t="shared" ref="AD8:AD14" si="14">AA8+AA8*AB8/100</f>
        <v>0.15841361038961035</v>
      </c>
    </row>
    <row r="9" spans="1:30" ht="14.4" x14ac:dyDescent="0.3">
      <c r="A9" s="15">
        <v>50</v>
      </c>
      <c r="B9" s="7" t="s">
        <v>7</v>
      </c>
      <c r="C9" s="22" t="s">
        <v>18</v>
      </c>
      <c r="D9" s="23">
        <v>25000</v>
      </c>
      <c r="E9" s="24">
        <v>0.05</v>
      </c>
      <c r="F9" s="25">
        <v>20</v>
      </c>
      <c r="G9" s="26">
        <f t="shared" si="4"/>
        <v>21</v>
      </c>
      <c r="H9" s="27">
        <f t="shared" si="5"/>
        <v>525</v>
      </c>
      <c r="I9" s="27">
        <f>C26</f>
        <v>1.5999999999999999</v>
      </c>
      <c r="J9" s="89">
        <f t="shared" si="6"/>
        <v>839.99999999999989</v>
      </c>
      <c r="K9" s="84">
        <f>E36</f>
        <v>1.1438383838383839E-3</v>
      </c>
      <c r="L9" s="28">
        <f t="shared" si="0"/>
        <v>28.595959595959599</v>
      </c>
      <c r="M9" s="29">
        <f>A18*B18</f>
        <v>128</v>
      </c>
      <c r="N9" s="29">
        <f>C18</f>
        <v>450</v>
      </c>
      <c r="O9" s="29">
        <f>E18+F18*D18</f>
        <v>17.5</v>
      </c>
      <c r="P9" s="29">
        <f t="shared" si="1"/>
        <v>55.555555555555557</v>
      </c>
      <c r="Q9" s="28">
        <f t="shared" si="7"/>
        <v>972.22222222222229</v>
      </c>
      <c r="R9" s="26">
        <f t="shared" si="8"/>
        <v>1968.8181818181818</v>
      </c>
      <c r="S9" s="26">
        <f>G18</f>
        <v>0.3</v>
      </c>
      <c r="T9" s="26">
        <f t="shared" si="9"/>
        <v>2559.4636363636364</v>
      </c>
      <c r="U9" s="27">
        <f t="shared" si="2"/>
        <v>0.10237854545454546</v>
      </c>
      <c r="V9" s="78">
        <f>E19+F19*D19</f>
        <v>11.25</v>
      </c>
      <c r="W9" s="78">
        <f t="shared" si="10"/>
        <v>625</v>
      </c>
      <c r="X9" s="92">
        <f t="shared" si="11"/>
        <v>1621.5959595959594</v>
      </c>
      <c r="Y9" s="78">
        <f>G18</f>
        <v>0.3</v>
      </c>
      <c r="Z9" s="26">
        <f t="shared" si="12"/>
        <v>2108.0747474747473</v>
      </c>
      <c r="AA9" s="78">
        <f t="shared" si="3"/>
        <v>8.4322989898989884E-2</v>
      </c>
      <c r="AB9" s="30">
        <v>75</v>
      </c>
      <c r="AC9" s="31">
        <f t="shared" si="13"/>
        <v>0.17916245454545454</v>
      </c>
      <c r="AD9" s="31">
        <f t="shared" si="14"/>
        <v>0.14756523232323232</v>
      </c>
    </row>
    <row r="10" spans="1:30" ht="14.4" x14ac:dyDescent="0.3">
      <c r="A10" s="15">
        <v>50</v>
      </c>
      <c r="B10" s="7" t="s">
        <v>8</v>
      </c>
      <c r="C10" s="22" t="s">
        <v>19</v>
      </c>
      <c r="D10" s="23">
        <v>35000</v>
      </c>
      <c r="E10" s="24">
        <v>0.05</v>
      </c>
      <c r="F10" s="25">
        <v>20</v>
      </c>
      <c r="G10" s="26">
        <f t="shared" si="4"/>
        <v>21</v>
      </c>
      <c r="H10" s="27">
        <f t="shared" si="5"/>
        <v>735</v>
      </c>
      <c r="I10" s="27">
        <f>C26</f>
        <v>1.5999999999999999</v>
      </c>
      <c r="J10" s="89">
        <f t="shared" si="6"/>
        <v>1176</v>
      </c>
      <c r="K10" s="84">
        <f>E36</f>
        <v>1.1438383838383839E-3</v>
      </c>
      <c r="L10" s="28">
        <f t="shared" si="0"/>
        <v>40.034343434343434</v>
      </c>
      <c r="M10" s="29">
        <f>A18*B18</f>
        <v>128</v>
      </c>
      <c r="N10" s="29">
        <f>C18</f>
        <v>450</v>
      </c>
      <c r="O10" s="29">
        <f>E18+F18*D18</f>
        <v>17.5</v>
      </c>
      <c r="P10" s="29">
        <f t="shared" si="1"/>
        <v>77.777777777777771</v>
      </c>
      <c r="Q10" s="28">
        <f t="shared" si="7"/>
        <v>1361.1111111111111</v>
      </c>
      <c r="R10" s="26">
        <f t="shared" si="8"/>
        <v>2705.1454545454544</v>
      </c>
      <c r="S10" s="26">
        <f>G18</f>
        <v>0.3</v>
      </c>
      <c r="T10" s="26">
        <f t="shared" si="9"/>
        <v>3516.6890909090907</v>
      </c>
      <c r="U10" s="27">
        <f t="shared" si="2"/>
        <v>0.10047683116883116</v>
      </c>
      <c r="V10" s="78">
        <f>E19+F19*D19</f>
        <v>11.25</v>
      </c>
      <c r="W10" s="78">
        <f t="shared" si="10"/>
        <v>874.99999999999989</v>
      </c>
      <c r="X10" s="92">
        <f t="shared" si="11"/>
        <v>2219.0343434343431</v>
      </c>
      <c r="Y10" s="78">
        <f>G18</f>
        <v>0.3</v>
      </c>
      <c r="Z10" s="26">
        <f t="shared" si="12"/>
        <v>2884.7446464646459</v>
      </c>
      <c r="AA10" s="78">
        <f t="shared" si="3"/>
        <v>8.2421275613275599E-2</v>
      </c>
      <c r="AB10" s="30">
        <v>75</v>
      </c>
      <c r="AC10" s="31">
        <f t="shared" si="13"/>
        <v>0.17583445454545454</v>
      </c>
      <c r="AD10" s="31">
        <f t="shared" si="14"/>
        <v>0.1442372323232323</v>
      </c>
    </row>
    <row r="11" spans="1:30" ht="14.4" x14ac:dyDescent="0.3">
      <c r="A11" s="15">
        <v>50</v>
      </c>
      <c r="B11" s="7" t="s">
        <v>9</v>
      </c>
      <c r="C11" s="22" t="s">
        <v>20</v>
      </c>
      <c r="D11" s="23">
        <v>45000</v>
      </c>
      <c r="E11" s="24">
        <v>0.05</v>
      </c>
      <c r="F11" s="25">
        <v>20</v>
      </c>
      <c r="G11" s="26">
        <f t="shared" si="4"/>
        <v>21</v>
      </c>
      <c r="H11" s="27">
        <f t="shared" si="5"/>
        <v>945</v>
      </c>
      <c r="I11" s="27">
        <f>C26</f>
        <v>1.5999999999999999</v>
      </c>
      <c r="J11" s="89">
        <f t="shared" si="6"/>
        <v>1511.9999999999998</v>
      </c>
      <c r="K11" s="84">
        <f>E36</f>
        <v>1.1438383838383839E-3</v>
      </c>
      <c r="L11" s="28">
        <f t="shared" si="0"/>
        <v>51.472727272727276</v>
      </c>
      <c r="M11" s="29">
        <f>A18*B18</f>
        <v>128</v>
      </c>
      <c r="N11" s="29">
        <f>C18</f>
        <v>450</v>
      </c>
      <c r="O11" s="29">
        <f>E18+F18*D18</f>
        <v>17.5</v>
      </c>
      <c r="P11" s="29">
        <f t="shared" si="1"/>
        <v>100</v>
      </c>
      <c r="Q11" s="28">
        <f t="shared" si="7"/>
        <v>1750</v>
      </c>
      <c r="R11" s="26">
        <f t="shared" si="8"/>
        <v>3441.4727272727268</v>
      </c>
      <c r="S11" s="26">
        <f>G18</f>
        <v>0.3</v>
      </c>
      <c r="T11" s="26">
        <f t="shared" si="9"/>
        <v>4473.9145454545451</v>
      </c>
      <c r="U11" s="27">
        <f t="shared" si="2"/>
        <v>9.9420323232323221E-2</v>
      </c>
      <c r="V11" s="78">
        <f>E19+F19*D19</f>
        <v>11.25</v>
      </c>
      <c r="W11" s="78">
        <f t="shared" si="10"/>
        <v>1125</v>
      </c>
      <c r="X11" s="92">
        <f t="shared" si="11"/>
        <v>2816.4727272727268</v>
      </c>
      <c r="Y11" s="78">
        <f>G18</f>
        <v>0.3</v>
      </c>
      <c r="Z11" s="26">
        <f t="shared" si="12"/>
        <v>3661.4145454545451</v>
      </c>
      <c r="AA11" s="78">
        <f t="shared" si="3"/>
        <v>8.1364767676767674E-2</v>
      </c>
      <c r="AB11" s="30">
        <v>70</v>
      </c>
      <c r="AC11" s="31">
        <f t="shared" si="13"/>
        <v>0.16901454949494948</v>
      </c>
      <c r="AD11" s="31">
        <f t="shared" si="14"/>
        <v>0.13832010505050504</v>
      </c>
    </row>
    <row r="12" spans="1:30" ht="14.4" x14ac:dyDescent="0.3">
      <c r="A12" s="15">
        <v>50</v>
      </c>
      <c r="B12" s="7" t="s">
        <v>10</v>
      </c>
      <c r="C12" s="22" t="s">
        <v>21</v>
      </c>
      <c r="D12" s="23">
        <v>75000</v>
      </c>
      <c r="E12" s="24">
        <v>0.05</v>
      </c>
      <c r="F12" s="25">
        <v>20</v>
      </c>
      <c r="G12" s="26">
        <f t="shared" si="4"/>
        <v>21</v>
      </c>
      <c r="H12" s="27">
        <f t="shared" si="5"/>
        <v>1575</v>
      </c>
      <c r="I12" s="27">
        <f>C26</f>
        <v>1.5999999999999999</v>
      </c>
      <c r="J12" s="89">
        <f t="shared" si="6"/>
        <v>2520</v>
      </c>
      <c r="K12" s="84">
        <f>E36</f>
        <v>1.1438383838383839E-3</v>
      </c>
      <c r="L12" s="28">
        <f t="shared" si="0"/>
        <v>85.787878787878796</v>
      </c>
      <c r="M12" s="29">
        <f>A18*B18</f>
        <v>128</v>
      </c>
      <c r="N12" s="29">
        <f>C18</f>
        <v>450</v>
      </c>
      <c r="O12" s="29">
        <f>E18+F18*D18</f>
        <v>17.5</v>
      </c>
      <c r="P12" s="29">
        <f t="shared" si="1"/>
        <v>166.66666666666666</v>
      </c>
      <c r="Q12" s="28">
        <f>O12*P12</f>
        <v>2916.6666666666665</v>
      </c>
      <c r="R12" s="26">
        <f t="shared" si="8"/>
        <v>5650.454545454546</v>
      </c>
      <c r="S12" s="26">
        <f>G18</f>
        <v>0.3</v>
      </c>
      <c r="T12" s="26">
        <f t="shared" si="9"/>
        <v>7345.5909090909099</v>
      </c>
      <c r="U12" s="27">
        <f t="shared" si="2"/>
        <v>9.7941212121212137E-2</v>
      </c>
      <c r="V12" s="78">
        <f>E19+F19*D19</f>
        <v>11.25</v>
      </c>
      <c r="W12" s="78">
        <f t="shared" si="10"/>
        <v>1875</v>
      </c>
      <c r="X12" s="92">
        <f t="shared" si="11"/>
        <v>4608.787878787879</v>
      </c>
      <c r="Y12" s="78">
        <f>G18</f>
        <v>0.3</v>
      </c>
      <c r="Z12" s="26">
        <f t="shared" si="12"/>
        <v>5991.4242424242429</v>
      </c>
      <c r="AA12" s="78">
        <f t="shared" si="3"/>
        <v>7.9885656565656576E-2</v>
      </c>
      <c r="AB12" s="30">
        <v>70</v>
      </c>
      <c r="AC12" s="31">
        <f t="shared" si="13"/>
        <v>0.16650006060606065</v>
      </c>
      <c r="AD12" s="31">
        <f t="shared" si="14"/>
        <v>0.13580561616161618</v>
      </c>
    </row>
    <row r="13" spans="1:30" ht="14.4" x14ac:dyDescent="0.3">
      <c r="A13" s="15">
        <v>50</v>
      </c>
      <c r="B13" s="7" t="s">
        <v>11</v>
      </c>
      <c r="C13" s="22" t="s">
        <v>22</v>
      </c>
      <c r="D13" s="23">
        <v>125000</v>
      </c>
      <c r="E13" s="24">
        <v>0.03</v>
      </c>
      <c r="F13" s="25">
        <v>20</v>
      </c>
      <c r="G13" s="26">
        <f t="shared" si="4"/>
        <v>20.6</v>
      </c>
      <c r="H13" s="27">
        <f t="shared" si="5"/>
        <v>2575</v>
      </c>
      <c r="I13" s="27">
        <f>C26</f>
        <v>1.5999999999999999</v>
      </c>
      <c r="J13" s="89">
        <f t="shared" si="6"/>
        <v>4120</v>
      </c>
      <c r="K13" s="84">
        <f>E36</f>
        <v>1.1438383838383839E-3</v>
      </c>
      <c r="L13" s="28">
        <f t="shared" si="0"/>
        <v>142.97979797979798</v>
      </c>
      <c r="M13" s="29">
        <f>A18*B18</f>
        <v>128</v>
      </c>
      <c r="N13" s="29">
        <f>C18</f>
        <v>450</v>
      </c>
      <c r="O13" s="29">
        <f>E18+F18*D18</f>
        <v>17.5</v>
      </c>
      <c r="P13" s="29">
        <f t="shared" si="1"/>
        <v>277.77777777777777</v>
      </c>
      <c r="Q13" s="28">
        <f t="shared" si="7"/>
        <v>4861.1111111111113</v>
      </c>
      <c r="R13" s="26">
        <f t="shared" si="8"/>
        <v>9252.0909090909081</v>
      </c>
      <c r="S13" s="26">
        <f>G18</f>
        <v>0.3</v>
      </c>
      <c r="T13" s="26">
        <f t="shared" si="9"/>
        <v>12027.71818181818</v>
      </c>
      <c r="U13" s="27">
        <f t="shared" si="2"/>
        <v>9.622174545454544E-2</v>
      </c>
      <c r="V13" s="78">
        <f>E19+F19*D19</f>
        <v>11.25</v>
      </c>
      <c r="W13" s="78">
        <f t="shared" si="10"/>
        <v>3125</v>
      </c>
      <c r="X13" s="92">
        <f t="shared" si="11"/>
        <v>7515.9797979797986</v>
      </c>
      <c r="Y13" s="78">
        <f>G18</f>
        <v>0.3</v>
      </c>
      <c r="Z13" s="26">
        <f t="shared" si="12"/>
        <v>9770.7737373737382</v>
      </c>
      <c r="AA13" s="78">
        <f t="shared" si="3"/>
        <v>7.8166189898989907E-2</v>
      </c>
      <c r="AB13" s="30">
        <v>65</v>
      </c>
      <c r="AC13" s="31">
        <f t="shared" si="13"/>
        <v>0.15876587999999997</v>
      </c>
      <c r="AD13" s="31">
        <f t="shared" si="14"/>
        <v>0.12897421333333337</v>
      </c>
    </row>
    <row r="14" spans="1:30" ht="15" thickBot="1" x14ac:dyDescent="0.35">
      <c r="A14" s="15">
        <v>50</v>
      </c>
      <c r="B14" s="7" t="s">
        <v>12</v>
      </c>
      <c r="C14" s="22" t="s">
        <v>23</v>
      </c>
      <c r="D14" s="23">
        <v>200000</v>
      </c>
      <c r="E14" s="24">
        <v>0.03</v>
      </c>
      <c r="F14" s="25">
        <v>20</v>
      </c>
      <c r="G14" s="26">
        <f t="shared" si="4"/>
        <v>20.6</v>
      </c>
      <c r="H14" s="27">
        <f t="shared" si="5"/>
        <v>4120.0000000000009</v>
      </c>
      <c r="I14" s="27">
        <f>C26</f>
        <v>1.5999999999999999</v>
      </c>
      <c r="J14" s="89">
        <f t="shared" si="6"/>
        <v>6592.0000000000009</v>
      </c>
      <c r="K14" s="84">
        <f>E36</f>
        <v>1.1438383838383839E-3</v>
      </c>
      <c r="L14" s="28">
        <f t="shared" si="0"/>
        <v>228.76767676767679</v>
      </c>
      <c r="M14" s="29">
        <f>A18*B18</f>
        <v>128</v>
      </c>
      <c r="N14" s="29">
        <f>C18</f>
        <v>450</v>
      </c>
      <c r="O14" s="29">
        <f>E18+F18*D18</f>
        <v>17.5</v>
      </c>
      <c r="P14" s="29">
        <f t="shared" si="1"/>
        <v>444.44444444444446</v>
      </c>
      <c r="Q14" s="28">
        <f t="shared" si="7"/>
        <v>7777.7777777777783</v>
      </c>
      <c r="R14" s="26">
        <f t="shared" si="8"/>
        <v>14726.545454545456</v>
      </c>
      <c r="S14" s="26">
        <f>G18</f>
        <v>0.3</v>
      </c>
      <c r="T14" s="26">
        <f t="shared" si="9"/>
        <v>19144.509090909094</v>
      </c>
      <c r="U14" s="27">
        <f t="shared" si="2"/>
        <v>9.5722545454545477E-2</v>
      </c>
      <c r="V14" s="78">
        <f>E19+F19*D19</f>
        <v>11.25</v>
      </c>
      <c r="W14" s="78">
        <f t="shared" si="10"/>
        <v>5000</v>
      </c>
      <c r="X14" s="92">
        <f t="shared" si="11"/>
        <v>11948.767676767678</v>
      </c>
      <c r="Y14" s="78">
        <f>G18</f>
        <v>0.3</v>
      </c>
      <c r="Z14" s="26">
        <f t="shared" si="12"/>
        <v>15533.397979797981</v>
      </c>
      <c r="AA14" s="78">
        <f t="shared" si="3"/>
        <v>7.7666989898989902E-2</v>
      </c>
      <c r="AB14" s="30">
        <v>60</v>
      </c>
      <c r="AC14" s="32">
        <f t="shared" si="13"/>
        <v>0.15315607272727277</v>
      </c>
      <c r="AD14" s="32">
        <f t="shared" si="14"/>
        <v>0.12426718383838384</v>
      </c>
    </row>
    <row r="15" spans="1:30" ht="14.4" thickBot="1" x14ac:dyDescent="0.35"/>
    <row r="16" spans="1:30" x14ac:dyDescent="0.3">
      <c r="A16" s="33" t="s">
        <v>27</v>
      </c>
      <c r="B16" s="34"/>
      <c r="C16" s="34"/>
      <c r="D16" s="34"/>
      <c r="E16" s="34"/>
      <c r="F16" s="34"/>
      <c r="G16" s="35"/>
      <c r="AC16" s="80"/>
    </row>
    <row r="17" spans="1:12" x14ac:dyDescent="0.3">
      <c r="A17" s="36" t="s">
        <v>28</v>
      </c>
      <c r="B17" s="37" t="s">
        <v>29</v>
      </c>
      <c r="C17" s="37" t="s">
        <v>30</v>
      </c>
      <c r="D17" s="37" t="s">
        <v>31</v>
      </c>
      <c r="E17" s="37" t="s">
        <v>32</v>
      </c>
      <c r="F17" s="37" t="s">
        <v>33</v>
      </c>
      <c r="G17" s="38" t="s">
        <v>34</v>
      </c>
      <c r="J17" s="39"/>
      <c r="K17" s="85"/>
      <c r="L17" s="14" t="s">
        <v>59</v>
      </c>
    </row>
    <row r="18" spans="1:12" ht="14.4" thickBot="1" x14ac:dyDescent="0.35">
      <c r="A18" s="40">
        <v>4</v>
      </c>
      <c r="B18" s="41">
        <v>32</v>
      </c>
      <c r="C18" s="41">
        <v>450</v>
      </c>
      <c r="D18" s="41">
        <v>0.5</v>
      </c>
      <c r="E18" s="41">
        <v>5</v>
      </c>
      <c r="F18" s="42">
        <v>25</v>
      </c>
      <c r="G18" s="43">
        <v>0.3</v>
      </c>
    </row>
    <row r="19" spans="1:12" ht="14.4" thickBot="1" x14ac:dyDescent="0.35">
      <c r="A19" s="40">
        <v>4</v>
      </c>
      <c r="B19" s="41">
        <v>32</v>
      </c>
      <c r="C19" s="41">
        <v>450</v>
      </c>
      <c r="D19" s="41">
        <v>0.25</v>
      </c>
      <c r="E19" s="41">
        <v>5</v>
      </c>
      <c r="F19" s="42">
        <v>25</v>
      </c>
      <c r="G19" s="43">
        <v>0.3</v>
      </c>
    </row>
    <row r="20" spans="1:12" ht="14.4" thickBot="1" x14ac:dyDescent="0.35">
      <c r="J20" s="44"/>
      <c r="K20" s="86"/>
      <c r="L20" s="14" t="s">
        <v>60</v>
      </c>
    </row>
    <row r="21" spans="1:12" x14ac:dyDescent="0.3">
      <c r="A21" s="45" t="s">
        <v>35</v>
      </c>
      <c r="B21" s="46"/>
      <c r="C21" s="46" t="s">
        <v>36</v>
      </c>
      <c r="D21" s="47" t="s">
        <v>37</v>
      </c>
    </row>
    <row r="22" spans="1:12" x14ac:dyDescent="0.3">
      <c r="A22" s="48" t="s">
        <v>40</v>
      </c>
      <c r="B22" s="49">
        <v>1.5</v>
      </c>
      <c r="C22" s="50">
        <v>96</v>
      </c>
      <c r="D22" s="51"/>
    </row>
    <row r="23" spans="1:12" x14ac:dyDescent="0.3">
      <c r="A23" s="48" t="s">
        <v>40</v>
      </c>
      <c r="B23" s="49">
        <v>4</v>
      </c>
      <c r="C23" s="50">
        <v>4</v>
      </c>
      <c r="D23" s="51"/>
    </row>
    <row r="24" spans="1:12" x14ac:dyDescent="0.3">
      <c r="A24" s="48" t="s">
        <v>40</v>
      </c>
      <c r="B24" s="49">
        <v>0</v>
      </c>
      <c r="C24" s="50"/>
      <c r="D24" s="51"/>
    </row>
    <row r="25" spans="1:12" ht="14.4" thickBot="1" x14ac:dyDescent="0.35">
      <c r="A25" s="48" t="s">
        <v>44</v>
      </c>
      <c r="B25" s="49">
        <v>0</v>
      </c>
      <c r="C25" s="50"/>
      <c r="D25" s="51"/>
    </row>
    <row r="26" spans="1:12" ht="14.4" thickBot="1" x14ac:dyDescent="0.35">
      <c r="A26" s="52" t="s">
        <v>45</v>
      </c>
      <c r="B26" s="53">
        <f>SUM(B22:B25)</f>
        <v>5.5</v>
      </c>
      <c r="C26" s="54">
        <f>(B22*C22/100)+(B23*C23/100)+(B24*C24/100)+(B25*C25/100)</f>
        <v>1.5999999999999999</v>
      </c>
      <c r="D26" s="55" t="s">
        <v>62</v>
      </c>
    </row>
    <row r="27" spans="1:12" ht="14.4" thickBot="1" x14ac:dyDescent="0.35"/>
    <row r="28" spans="1:12" x14ac:dyDescent="0.3">
      <c r="A28" s="56" t="s">
        <v>38</v>
      </c>
      <c r="B28" s="57"/>
      <c r="C28" s="58"/>
      <c r="D28" s="59" t="s">
        <v>39</v>
      </c>
      <c r="E28" s="60" t="s">
        <v>97</v>
      </c>
    </row>
    <row r="29" spans="1:12" x14ac:dyDescent="0.3">
      <c r="A29" s="61" t="s">
        <v>42</v>
      </c>
      <c r="B29" s="62">
        <v>1100</v>
      </c>
      <c r="C29" s="63"/>
      <c r="D29" s="64"/>
      <c r="E29" s="65"/>
    </row>
    <row r="30" spans="1:12" x14ac:dyDescent="0.3">
      <c r="A30" s="61" t="s">
        <v>86</v>
      </c>
      <c r="B30" s="62">
        <v>9</v>
      </c>
      <c r="C30" s="63" t="s">
        <v>41</v>
      </c>
      <c r="D30" s="66">
        <v>0.68100000000000005</v>
      </c>
      <c r="E30" s="65">
        <f>D30*B30</f>
        <v>6.1290000000000004</v>
      </c>
    </row>
    <row r="31" spans="1:12" x14ac:dyDescent="0.3">
      <c r="A31" s="61" t="s">
        <v>87</v>
      </c>
      <c r="B31" s="62">
        <f>B30*B29</f>
        <v>9900</v>
      </c>
      <c r="C31" s="67"/>
      <c r="D31" s="68"/>
      <c r="E31" s="65"/>
    </row>
    <row r="32" spans="1:12" x14ac:dyDescent="0.3">
      <c r="A32" s="61" t="s">
        <v>88</v>
      </c>
      <c r="B32" s="62">
        <v>9</v>
      </c>
      <c r="C32" s="63" t="s">
        <v>43</v>
      </c>
      <c r="D32" s="69">
        <v>0.13800000000000001</v>
      </c>
      <c r="E32" s="65">
        <f>D32*B32</f>
        <v>1.242</v>
      </c>
    </row>
    <row r="33" spans="1:5" x14ac:dyDescent="0.3">
      <c r="A33" s="61" t="s">
        <v>46</v>
      </c>
      <c r="B33" s="62">
        <f>B32*5</f>
        <v>45</v>
      </c>
      <c r="C33" s="63" t="s">
        <v>47</v>
      </c>
      <c r="D33" s="66">
        <v>4.3400000000000001E-2</v>
      </c>
      <c r="E33" s="65">
        <f>D33*B33</f>
        <v>1.9530000000000001</v>
      </c>
    </row>
    <row r="34" spans="1:5" ht="14.4" thickBot="1" x14ac:dyDescent="0.35">
      <c r="A34" s="70" t="s">
        <v>48</v>
      </c>
      <c r="B34" s="71" t="s">
        <v>49</v>
      </c>
      <c r="C34" s="72" t="s">
        <v>50</v>
      </c>
      <c r="D34" s="73">
        <v>2</v>
      </c>
      <c r="E34" s="74">
        <f>D34</f>
        <v>2</v>
      </c>
    </row>
    <row r="35" spans="1:5" ht="14.4" thickBot="1" x14ac:dyDescent="0.35">
      <c r="E35" s="75">
        <f>SUM(E29:E34)</f>
        <v>11.324</v>
      </c>
    </row>
    <row r="36" spans="1:5" ht="14.4" thickBot="1" x14ac:dyDescent="0.35">
      <c r="D36" s="76" t="s">
        <v>98</v>
      </c>
      <c r="E36" s="77">
        <f>E35/B31</f>
        <v>1.1438383838383839E-3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2DD7E-549F-41BA-83A0-9854FE4AAACB}">
  <dimension ref="A2:AD36"/>
  <sheetViews>
    <sheetView topLeftCell="Q1" workbookViewId="0">
      <selection activeCell="T4" sqref="T4:T14"/>
    </sheetView>
  </sheetViews>
  <sheetFormatPr defaultColWidth="9.109375" defaultRowHeight="13.8" x14ac:dyDescent="0.3"/>
  <cols>
    <col min="1" max="1" width="28.6640625" style="14" bestFit="1" customWidth="1"/>
    <col min="2" max="2" width="10.109375" style="14" bestFit="1" customWidth="1"/>
    <col min="3" max="3" width="21" style="14" bestFit="1" customWidth="1"/>
    <col min="4" max="4" width="12.44140625" style="14" bestFit="1" customWidth="1"/>
    <col min="5" max="5" width="21" style="14" bestFit="1" customWidth="1"/>
    <col min="6" max="6" width="14.88671875" style="14" bestFit="1" customWidth="1"/>
    <col min="7" max="7" width="23.5546875" style="14" bestFit="1" customWidth="1"/>
    <col min="8" max="8" width="18.6640625" style="14" customWidth="1"/>
    <col min="9" max="9" width="0.109375" style="14" customWidth="1"/>
    <col min="10" max="10" width="9.5546875" style="14" bestFit="1" customWidth="1"/>
    <col min="11" max="11" width="15.33203125" style="82" customWidth="1"/>
    <col min="12" max="12" width="17.5546875" style="14" bestFit="1" customWidth="1"/>
    <col min="13" max="13" width="19.33203125" style="14" customWidth="1"/>
    <col min="14" max="14" width="9.109375" style="14" customWidth="1"/>
    <col min="15" max="15" width="22.88671875" style="14" customWidth="1"/>
    <col min="16" max="16" width="11.88671875" style="14" customWidth="1"/>
    <col min="17" max="17" width="23.5546875" style="14" bestFit="1" customWidth="1"/>
    <col min="18" max="18" width="24.33203125" style="14" customWidth="1"/>
    <col min="19" max="19" width="11" style="14" customWidth="1"/>
    <col min="20" max="20" width="35.5546875" style="14" bestFit="1" customWidth="1"/>
    <col min="21" max="21" width="14.6640625" style="14" bestFit="1" customWidth="1"/>
    <col min="22" max="27" width="14.6640625" style="14" customWidth="1"/>
    <col min="28" max="28" width="16.5546875" style="14" bestFit="1" customWidth="1"/>
    <col min="29" max="29" width="17.44140625" style="14" bestFit="1" customWidth="1"/>
    <col min="30" max="30" width="11.88671875" style="14" bestFit="1" customWidth="1"/>
    <col min="31" max="16384" width="9.109375" style="14"/>
  </cols>
  <sheetData>
    <row r="2" spans="1:30" ht="14.4" thickBot="1" x14ac:dyDescent="0.35"/>
    <row r="3" spans="1:30" ht="74.25" customHeight="1" thickBot="1" x14ac:dyDescent="0.35">
      <c r="A3" s="15" t="s">
        <v>57</v>
      </c>
      <c r="B3" s="15" t="s">
        <v>24</v>
      </c>
      <c r="C3" s="15" t="s">
        <v>25</v>
      </c>
      <c r="D3" s="15" t="s">
        <v>26</v>
      </c>
      <c r="E3" s="15" t="s">
        <v>55</v>
      </c>
      <c r="F3" s="15" t="s">
        <v>58</v>
      </c>
      <c r="G3" s="16" t="s">
        <v>51</v>
      </c>
      <c r="H3" s="17" t="s">
        <v>52</v>
      </c>
      <c r="I3" s="17" t="s">
        <v>61</v>
      </c>
      <c r="J3" s="90" t="s">
        <v>53</v>
      </c>
      <c r="K3" s="83" t="s">
        <v>99</v>
      </c>
      <c r="L3" s="18" t="s">
        <v>96</v>
      </c>
      <c r="M3" s="19" t="s">
        <v>54</v>
      </c>
      <c r="N3" s="19" t="s">
        <v>100</v>
      </c>
      <c r="O3" s="19" t="s">
        <v>108</v>
      </c>
      <c r="P3" s="19" t="s">
        <v>101</v>
      </c>
      <c r="Q3" s="91" t="s">
        <v>116</v>
      </c>
      <c r="R3" s="87" t="s">
        <v>107</v>
      </c>
      <c r="S3" s="88" t="s">
        <v>102</v>
      </c>
      <c r="T3" s="87" t="s">
        <v>104</v>
      </c>
      <c r="U3" s="87" t="s">
        <v>105</v>
      </c>
      <c r="V3" s="19" t="s">
        <v>109</v>
      </c>
      <c r="W3" s="20" t="s">
        <v>110</v>
      </c>
      <c r="X3" s="20"/>
      <c r="Y3" s="20"/>
      <c r="Z3" s="20" t="s">
        <v>111</v>
      </c>
      <c r="AA3" s="20" t="s">
        <v>112</v>
      </c>
      <c r="AB3" s="20" t="s">
        <v>103</v>
      </c>
      <c r="AC3" s="79" t="s">
        <v>106</v>
      </c>
      <c r="AD3" s="21" t="s">
        <v>113</v>
      </c>
    </row>
    <row r="4" spans="1:30" ht="14.4" x14ac:dyDescent="0.3">
      <c r="A4" s="15">
        <v>50</v>
      </c>
      <c r="B4" s="7" t="s">
        <v>2</v>
      </c>
      <c r="C4" s="22" t="s">
        <v>13</v>
      </c>
      <c r="D4" s="23">
        <v>2000</v>
      </c>
      <c r="E4" s="24">
        <v>0.1</v>
      </c>
      <c r="F4" s="25">
        <v>10</v>
      </c>
      <c r="G4" s="26">
        <f>F4+F4*E4</f>
        <v>11</v>
      </c>
      <c r="H4" s="27">
        <f>(G4*D4)/1000</f>
        <v>22</v>
      </c>
      <c r="I4" s="27">
        <f>C26</f>
        <v>2.04</v>
      </c>
      <c r="J4" s="89">
        <f>H4*I4</f>
        <v>44.88</v>
      </c>
      <c r="K4" s="84">
        <f>E36</f>
        <v>1.1438383838383839E-3</v>
      </c>
      <c r="L4" s="28">
        <f t="shared" ref="L4:L14" si="0">K4*D4</f>
        <v>2.2876767676767678</v>
      </c>
      <c r="M4" s="29">
        <f>A18*B18</f>
        <v>128</v>
      </c>
      <c r="N4" s="29">
        <f>C18</f>
        <v>450</v>
      </c>
      <c r="O4" s="29">
        <f>E18+F18*D18</f>
        <v>17.5</v>
      </c>
      <c r="P4" s="29">
        <f t="shared" ref="P4:P14" si="1">D4/N4</f>
        <v>4.4444444444444446</v>
      </c>
      <c r="Q4" s="28">
        <f>O4*P4</f>
        <v>77.777777777777786</v>
      </c>
      <c r="R4" s="26">
        <f>Q4+L4+J4+M4</f>
        <v>252.94545454545457</v>
      </c>
      <c r="S4" s="26">
        <f>G18</f>
        <v>0.3</v>
      </c>
      <c r="T4" s="26">
        <f>R4+R4*S4</f>
        <v>328.82909090909095</v>
      </c>
      <c r="U4" s="27">
        <f t="shared" ref="U4:U14" si="2">T4/D4</f>
        <v>0.16441454545454548</v>
      </c>
      <c r="V4" s="78">
        <f>E19+F19*D19</f>
        <v>11.25</v>
      </c>
      <c r="W4" s="78">
        <f>V4*P4</f>
        <v>50</v>
      </c>
      <c r="X4" s="92">
        <f>W4+M4+L4+J4</f>
        <v>225.16767676767677</v>
      </c>
      <c r="Y4" s="78">
        <f>G18</f>
        <v>0.3</v>
      </c>
      <c r="Z4" s="26">
        <f>X4+X4*Y4</f>
        <v>292.71797979797981</v>
      </c>
      <c r="AA4" s="78">
        <f t="shared" ref="AA4:AA14" si="3">Z4/D4</f>
        <v>0.14635898989898991</v>
      </c>
      <c r="AB4" s="30">
        <v>180</v>
      </c>
      <c r="AC4" s="81">
        <f>U4*2+(U4*2*80/100)</f>
        <v>0.59189236363636377</v>
      </c>
      <c r="AD4" s="81">
        <f>AA4*2+(AA4*2*80/100)</f>
        <v>0.5268923636363636</v>
      </c>
    </row>
    <row r="5" spans="1:30" ht="14.4" x14ac:dyDescent="0.3">
      <c r="A5" s="15">
        <v>50</v>
      </c>
      <c r="B5" s="7" t="s">
        <v>3</v>
      </c>
      <c r="C5" s="22" t="s">
        <v>14</v>
      </c>
      <c r="D5" s="23">
        <v>4000</v>
      </c>
      <c r="E5" s="24">
        <v>0.1</v>
      </c>
      <c r="F5" s="25">
        <v>10</v>
      </c>
      <c r="G5" s="26">
        <f t="shared" ref="G5:G14" si="4">F5+F5*E5</f>
        <v>11</v>
      </c>
      <c r="H5" s="27">
        <f t="shared" ref="H5:H14" si="5">(G5*D5)/1000</f>
        <v>44</v>
      </c>
      <c r="I5" s="27">
        <f>C26</f>
        <v>2.04</v>
      </c>
      <c r="J5" s="89">
        <f t="shared" ref="J5:J14" si="6">H5*I5</f>
        <v>89.76</v>
      </c>
      <c r="K5" s="84">
        <f>E36</f>
        <v>1.1438383838383839E-3</v>
      </c>
      <c r="L5" s="28">
        <f t="shared" si="0"/>
        <v>4.5753535353535355</v>
      </c>
      <c r="M5" s="29">
        <f>A18*B18</f>
        <v>128</v>
      </c>
      <c r="N5" s="29">
        <f>C18</f>
        <v>450</v>
      </c>
      <c r="O5" s="29">
        <f>E18+F18*D18</f>
        <v>17.5</v>
      </c>
      <c r="P5" s="29">
        <f t="shared" si="1"/>
        <v>8.8888888888888893</v>
      </c>
      <c r="Q5" s="28">
        <f t="shared" ref="Q5:Q14" si="7">O5*P5</f>
        <v>155.55555555555557</v>
      </c>
      <c r="R5" s="26">
        <f t="shared" ref="R5:R14" si="8">Q5+L5+J5+M5</f>
        <v>377.89090909090913</v>
      </c>
      <c r="S5" s="26">
        <f>G18</f>
        <v>0.3</v>
      </c>
      <c r="T5" s="26">
        <f t="shared" ref="T5:T14" si="9">R5+R5*S5</f>
        <v>491.25818181818187</v>
      </c>
      <c r="U5" s="27">
        <f t="shared" si="2"/>
        <v>0.12281454545454547</v>
      </c>
      <c r="V5" s="78">
        <f>E19+F19*D19</f>
        <v>11.25</v>
      </c>
      <c r="W5" s="78">
        <f t="shared" ref="W5:W14" si="10">V5*P5</f>
        <v>100</v>
      </c>
      <c r="X5" s="92">
        <f t="shared" ref="X5:X14" si="11">W5+M5+L5+J5</f>
        <v>322.33535353535353</v>
      </c>
      <c r="Y5" s="78">
        <f>G18</f>
        <v>0.3</v>
      </c>
      <c r="Z5" s="26">
        <f t="shared" ref="Z5:Z14" si="12">X5+X5*Y5</f>
        <v>419.03595959595958</v>
      </c>
      <c r="AA5" s="78">
        <f t="shared" si="3"/>
        <v>0.10475898989898989</v>
      </c>
      <c r="AB5" s="30">
        <v>160</v>
      </c>
      <c r="AC5" s="31">
        <f>U5*2+(U5*2*80/100)</f>
        <v>0.44213236363636366</v>
      </c>
      <c r="AD5" s="31">
        <f>AA5*2+(AA5*2*80/100)</f>
        <v>0.3771323636363636</v>
      </c>
    </row>
    <row r="6" spans="1:30" ht="14.4" x14ac:dyDescent="0.3">
      <c r="A6" s="15">
        <v>50</v>
      </c>
      <c r="B6" s="7" t="s">
        <v>4</v>
      </c>
      <c r="C6" s="22" t="s">
        <v>15</v>
      </c>
      <c r="D6" s="23">
        <v>7500</v>
      </c>
      <c r="E6" s="24">
        <v>7.0000000000000007E-2</v>
      </c>
      <c r="F6" s="25">
        <v>10</v>
      </c>
      <c r="G6" s="26">
        <f t="shared" si="4"/>
        <v>10.7</v>
      </c>
      <c r="H6" s="27">
        <f t="shared" si="5"/>
        <v>80.25</v>
      </c>
      <c r="I6" s="27">
        <f>C26</f>
        <v>2.04</v>
      </c>
      <c r="J6" s="89">
        <f t="shared" si="6"/>
        <v>163.71</v>
      </c>
      <c r="K6" s="84">
        <f>E36</f>
        <v>1.1438383838383839E-3</v>
      </c>
      <c r="L6" s="28">
        <f t="shared" si="0"/>
        <v>8.57878787878788</v>
      </c>
      <c r="M6" s="29">
        <f>A18*B18</f>
        <v>128</v>
      </c>
      <c r="N6" s="29">
        <f>C18</f>
        <v>450</v>
      </c>
      <c r="O6" s="29">
        <f>E18+F18*D18</f>
        <v>17.5</v>
      </c>
      <c r="P6" s="29">
        <f t="shared" si="1"/>
        <v>16.666666666666668</v>
      </c>
      <c r="Q6" s="28">
        <f t="shared" si="7"/>
        <v>291.66666666666669</v>
      </c>
      <c r="R6" s="26">
        <f t="shared" si="8"/>
        <v>591.95545454545459</v>
      </c>
      <c r="S6" s="26">
        <f>G18</f>
        <v>0.3</v>
      </c>
      <c r="T6" s="26">
        <f t="shared" si="9"/>
        <v>769.54209090909092</v>
      </c>
      <c r="U6" s="27">
        <f t="shared" si="2"/>
        <v>0.10260561212121212</v>
      </c>
      <c r="V6" s="78">
        <f>E19+F19*D19</f>
        <v>11.25</v>
      </c>
      <c r="W6" s="78">
        <f t="shared" si="10"/>
        <v>187.5</v>
      </c>
      <c r="X6" s="92">
        <f t="shared" si="11"/>
        <v>487.78878787878784</v>
      </c>
      <c r="Y6" s="78">
        <f>G18</f>
        <v>0.3</v>
      </c>
      <c r="Z6" s="26">
        <f t="shared" si="12"/>
        <v>634.12542424242417</v>
      </c>
      <c r="AA6" s="78">
        <f t="shared" si="3"/>
        <v>8.4550056565656562E-2</v>
      </c>
      <c r="AB6" s="30">
        <v>140</v>
      </c>
      <c r="AC6" s="31">
        <f>U6*2+(U6*2*80/100)</f>
        <v>0.36938020363636365</v>
      </c>
      <c r="AD6" s="31">
        <f>AA6*2+(AA6*2*80/100)</f>
        <v>0.30438020363636364</v>
      </c>
    </row>
    <row r="7" spans="1:30" ht="14.4" x14ac:dyDescent="0.3">
      <c r="A7" s="15">
        <v>50</v>
      </c>
      <c r="B7" s="7" t="s">
        <v>5</v>
      </c>
      <c r="C7" s="22" t="s">
        <v>16</v>
      </c>
      <c r="D7" s="23">
        <v>12500</v>
      </c>
      <c r="E7" s="24">
        <v>7.0000000000000007E-2</v>
      </c>
      <c r="F7" s="25">
        <v>10</v>
      </c>
      <c r="G7" s="26">
        <f t="shared" si="4"/>
        <v>10.7</v>
      </c>
      <c r="H7" s="27">
        <f t="shared" si="5"/>
        <v>133.75</v>
      </c>
      <c r="I7" s="27">
        <f>C26</f>
        <v>2.04</v>
      </c>
      <c r="J7" s="89">
        <f t="shared" si="6"/>
        <v>272.85000000000002</v>
      </c>
      <c r="K7" s="84">
        <f>E36</f>
        <v>1.1438383838383839E-3</v>
      </c>
      <c r="L7" s="28">
        <f t="shared" si="0"/>
        <v>14.297979797979799</v>
      </c>
      <c r="M7" s="29">
        <f>A18*B18</f>
        <v>128</v>
      </c>
      <c r="N7" s="29">
        <f>C18</f>
        <v>450</v>
      </c>
      <c r="O7" s="29">
        <f>E18+F18*D18</f>
        <v>17.5</v>
      </c>
      <c r="P7" s="29">
        <f t="shared" si="1"/>
        <v>27.777777777777779</v>
      </c>
      <c r="Q7" s="28">
        <f t="shared" si="7"/>
        <v>486.11111111111114</v>
      </c>
      <c r="R7" s="26">
        <f t="shared" si="8"/>
        <v>901.2590909090909</v>
      </c>
      <c r="S7" s="26">
        <f>G18</f>
        <v>0.3</v>
      </c>
      <c r="T7" s="26">
        <f t="shared" si="9"/>
        <v>1171.6368181818182</v>
      </c>
      <c r="U7" s="27">
        <f t="shared" si="2"/>
        <v>9.3730945454545453E-2</v>
      </c>
      <c r="V7" s="78">
        <f>E19+F19*D19</f>
        <v>11.25</v>
      </c>
      <c r="W7" s="78">
        <f t="shared" si="10"/>
        <v>312.5</v>
      </c>
      <c r="X7" s="92">
        <f t="shared" si="11"/>
        <v>727.64797979797981</v>
      </c>
      <c r="Y7" s="78">
        <f>G18</f>
        <v>0.3</v>
      </c>
      <c r="Z7" s="26">
        <f t="shared" si="12"/>
        <v>945.94237373737371</v>
      </c>
      <c r="AA7" s="78">
        <f t="shared" si="3"/>
        <v>7.5675389898989892E-2</v>
      </c>
      <c r="AB7" s="30">
        <v>85</v>
      </c>
      <c r="AC7" s="31">
        <f>U7+U7*AB7/100</f>
        <v>0.17340224909090909</v>
      </c>
      <c r="AD7" s="31">
        <f>AA7+AA7*AB7/100</f>
        <v>0.13999947131313129</v>
      </c>
    </row>
    <row r="8" spans="1:30" ht="14.4" x14ac:dyDescent="0.3">
      <c r="A8" s="15">
        <v>50</v>
      </c>
      <c r="B8" s="7" t="s">
        <v>6</v>
      </c>
      <c r="C8" s="22" t="s">
        <v>17</v>
      </c>
      <c r="D8" s="23">
        <v>17500</v>
      </c>
      <c r="E8" s="24">
        <v>7.0000000000000007E-2</v>
      </c>
      <c r="F8" s="25">
        <v>10</v>
      </c>
      <c r="G8" s="26">
        <f t="shared" si="4"/>
        <v>10.7</v>
      </c>
      <c r="H8" s="27">
        <f t="shared" si="5"/>
        <v>187.25</v>
      </c>
      <c r="I8" s="27">
        <f>C26</f>
        <v>2.04</v>
      </c>
      <c r="J8" s="89">
        <f t="shared" si="6"/>
        <v>381.99</v>
      </c>
      <c r="K8" s="84">
        <f>E36</f>
        <v>1.1438383838383839E-3</v>
      </c>
      <c r="L8" s="28">
        <f t="shared" si="0"/>
        <v>20.017171717171717</v>
      </c>
      <c r="M8" s="29">
        <f>A18*B18</f>
        <v>128</v>
      </c>
      <c r="N8" s="29">
        <f>C18</f>
        <v>450</v>
      </c>
      <c r="O8" s="29">
        <f>E18+F18*D18</f>
        <v>17.5</v>
      </c>
      <c r="P8" s="29">
        <f t="shared" si="1"/>
        <v>38.888888888888886</v>
      </c>
      <c r="Q8" s="28">
        <f t="shared" si="7"/>
        <v>680.55555555555554</v>
      </c>
      <c r="R8" s="26">
        <f t="shared" si="8"/>
        <v>1210.5627272727272</v>
      </c>
      <c r="S8" s="26">
        <f>G18</f>
        <v>0.3</v>
      </c>
      <c r="T8" s="26">
        <f t="shared" si="9"/>
        <v>1573.7315454545453</v>
      </c>
      <c r="U8" s="27">
        <f t="shared" si="2"/>
        <v>8.992751688311687E-2</v>
      </c>
      <c r="V8" s="78">
        <f>E19+F19*D19</f>
        <v>11.25</v>
      </c>
      <c r="W8" s="78">
        <f t="shared" si="10"/>
        <v>437.49999999999994</v>
      </c>
      <c r="X8" s="92">
        <f t="shared" si="11"/>
        <v>967.50717171717167</v>
      </c>
      <c r="Y8" s="78">
        <f>G18</f>
        <v>0.3</v>
      </c>
      <c r="Z8" s="26">
        <f t="shared" si="12"/>
        <v>1257.7593232323231</v>
      </c>
      <c r="AA8" s="78">
        <f t="shared" si="3"/>
        <v>7.1871961327561323E-2</v>
      </c>
      <c r="AB8" s="30">
        <v>80</v>
      </c>
      <c r="AC8" s="31">
        <f t="shared" ref="AC8:AC14" si="13">U8+U8*AB8/100</f>
        <v>0.16186953038961036</v>
      </c>
      <c r="AD8" s="31">
        <f t="shared" ref="AD8:AD14" si="14">AA8+AA8*AB8/100</f>
        <v>0.12936953038961038</v>
      </c>
    </row>
    <row r="9" spans="1:30" ht="14.4" x14ac:dyDescent="0.3">
      <c r="A9" s="15">
        <v>50</v>
      </c>
      <c r="B9" s="7" t="s">
        <v>7</v>
      </c>
      <c r="C9" s="22" t="s">
        <v>18</v>
      </c>
      <c r="D9" s="23">
        <v>25000</v>
      </c>
      <c r="E9" s="24">
        <v>0.05</v>
      </c>
      <c r="F9" s="25">
        <v>10</v>
      </c>
      <c r="G9" s="26">
        <f t="shared" si="4"/>
        <v>10.5</v>
      </c>
      <c r="H9" s="27">
        <f t="shared" si="5"/>
        <v>262.5</v>
      </c>
      <c r="I9" s="27">
        <f>C26</f>
        <v>2.04</v>
      </c>
      <c r="J9" s="89">
        <f t="shared" si="6"/>
        <v>535.5</v>
      </c>
      <c r="K9" s="84">
        <f>E36</f>
        <v>1.1438383838383839E-3</v>
      </c>
      <c r="L9" s="28">
        <f t="shared" si="0"/>
        <v>28.595959595959599</v>
      </c>
      <c r="M9" s="29">
        <f>A18*B18</f>
        <v>128</v>
      </c>
      <c r="N9" s="29">
        <f>C18</f>
        <v>450</v>
      </c>
      <c r="O9" s="29">
        <f>E18+F18*D18</f>
        <v>17.5</v>
      </c>
      <c r="P9" s="29">
        <f t="shared" si="1"/>
        <v>55.555555555555557</v>
      </c>
      <c r="Q9" s="28">
        <f t="shared" si="7"/>
        <v>972.22222222222229</v>
      </c>
      <c r="R9" s="26">
        <f t="shared" si="8"/>
        <v>1664.318181818182</v>
      </c>
      <c r="S9" s="26">
        <f>G18</f>
        <v>0.3</v>
      </c>
      <c r="T9" s="26">
        <f t="shared" si="9"/>
        <v>2163.6136363636365</v>
      </c>
      <c r="U9" s="27">
        <f t="shared" si="2"/>
        <v>8.6544545454545457E-2</v>
      </c>
      <c r="V9" s="78">
        <f>E19+F19*D19</f>
        <v>11.25</v>
      </c>
      <c r="W9" s="78">
        <f t="shared" si="10"/>
        <v>625</v>
      </c>
      <c r="X9" s="92">
        <f t="shared" si="11"/>
        <v>1317.0959595959596</v>
      </c>
      <c r="Y9" s="78">
        <f>G18</f>
        <v>0.3</v>
      </c>
      <c r="Z9" s="26">
        <f t="shared" si="12"/>
        <v>1712.2247474747473</v>
      </c>
      <c r="AA9" s="78">
        <f t="shared" si="3"/>
        <v>6.8488989898989897E-2</v>
      </c>
      <c r="AB9" s="30">
        <v>75</v>
      </c>
      <c r="AC9" s="31">
        <f t="shared" si="13"/>
        <v>0.15145295454545454</v>
      </c>
      <c r="AD9" s="31">
        <f t="shared" si="14"/>
        <v>0.11985573232323232</v>
      </c>
    </row>
    <row r="10" spans="1:30" ht="14.4" x14ac:dyDescent="0.3">
      <c r="A10" s="15">
        <v>50</v>
      </c>
      <c r="B10" s="7" t="s">
        <v>8</v>
      </c>
      <c r="C10" s="22" t="s">
        <v>19</v>
      </c>
      <c r="D10" s="23">
        <v>35000</v>
      </c>
      <c r="E10" s="24">
        <v>0.05</v>
      </c>
      <c r="F10" s="25">
        <v>10</v>
      </c>
      <c r="G10" s="26">
        <f t="shared" si="4"/>
        <v>10.5</v>
      </c>
      <c r="H10" s="27">
        <f t="shared" si="5"/>
        <v>367.5</v>
      </c>
      <c r="I10" s="27">
        <f>C26</f>
        <v>2.04</v>
      </c>
      <c r="J10" s="89">
        <f t="shared" si="6"/>
        <v>749.7</v>
      </c>
      <c r="K10" s="84">
        <f>E36</f>
        <v>1.1438383838383839E-3</v>
      </c>
      <c r="L10" s="28">
        <f t="shared" si="0"/>
        <v>40.034343434343434</v>
      </c>
      <c r="M10" s="29">
        <f>A18*B18</f>
        <v>128</v>
      </c>
      <c r="N10" s="29">
        <f>C18</f>
        <v>450</v>
      </c>
      <c r="O10" s="29">
        <f>E18+F18*D18</f>
        <v>17.5</v>
      </c>
      <c r="P10" s="29">
        <f t="shared" si="1"/>
        <v>77.777777777777771</v>
      </c>
      <c r="Q10" s="28">
        <f t="shared" si="7"/>
        <v>1361.1111111111111</v>
      </c>
      <c r="R10" s="26">
        <f t="shared" si="8"/>
        <v>2278.8454545454542</v>
      </c>
      <c r="S10" s="26">
        <f>G18</f>
        <v>0.3</v>
      </c>
      <c r="T10" s="26">
        <f t="shared" si="9"/>
        <v>2962.4990909090902</v>
      </c>
      <c r="U10" s="27">
        <f t="shared" si="2"/>
        <v>8.4642831168831145E-2</v>
      </c>
      <c r="V10" s="78">
        <f>E19+F19*D19</f>
        <v>11.25</v>
      </c>
      <c r="W10" s="78">
        <f t="shared" si="10"/>
        <v>874.99999999999989</v>
      </c>
      <c r="X10" s="92">
        <f t="shared" si="11"/>
        <v>1792.7343434343434</v>
      </c>
      <c r="Y10" s="78">
        <f>G18</f>
        <v>0.3</v>
      </c>
      <c r="Z10" s="26">
        <f t="shared" si="12"/>
        <v>2330.5546464646463</v>
      </c>
      <c r="AA10" s="78">
        <f t="shared" si="3"/>
        <v>6.6587275613275612E-2</v>
      </c>
      <c r="AB10" s="30">
        <v>75</v>
      </c>
      <c r="AC10" s="31">
        <f t="shared" si="13"/>
        <v>0.14812495454545449</v>
      </c>
      <c r="AD10" s="31">
        <f t="shared" si="14"/>
        <v>0.11652773232323232</v>
      </c>
    </row>
    <row r="11" spans="1:30" ht="14.4" x14ac:dyDescent="0.3">
      <c r="A11" s="15">
        <v>50</v>
      </c>
      <c r="B11" s="7" t="s">
        <v>9</v>
      </c>
      <c r="C11" s="22" t="s">
        <v>20</v>
      </c>
      <c r="D11" s="23">
        <v>45000</v>
      </c>
      <c r="E11" s="24">
        <v>0.05</v>
      </c>
      <c r="F11" s="25">
        <v>10</v>
      </c>
      <c r="G11" s="26">
        <f t="shared" si="4"/>
        <v>10.5</v>
      </c>
      <c r="H11" s="27">
        <f t="shared" si="5"/>
        <v>472.5</v>
      </c>
      <c r="I11" s="27">
        <f>C26</f>
        <v>2.04</v>
      </c>
      <c r="J11" s="89">
        <f t="shared" si="6"/>
        <v>963.9</v>
      </c>
      <c r="K11" s="84">
        <f>E36</f>
        <v>1.1438383838383839E-3</v>
      </c>
      <c r="L11" s="28">
        <f t="shared" si="0"/>
        <v>51.472727272727276</v>
      </c>
      <c r="M11" s="29">
        <f>A18*B18</f>
        <v>128</v>
      </c>
      <c r="N11" s="29">
        <f>C18</f>
        <v>450</v>
      </c>
      <c r="O11" s="29">
        <f>E18+F18*D18</f>
        <v>17.5</v>
      </c>
      <c r="P11" s="29">
        <f t="shared" si="1"/>
        <v>100</v>
      </c>
      <c r="Q11" s="28">
        <f t="shared" si="7"/>
        <v>1750</v>
      </c>
      <c r="R11" s="26">
        <f t="shared" si="8"/>
        <v>2893.3727272727274</v>
      </c>
      <c r="S11" s="26">
        <f>G18</f>
        <v>0.3</v>
      </c>
      <c r="T11" s="26">
        <f t="shared" si="9"/>
        <v>3761.3845454545453</v>
      </c>
      <c r="U11" s="27">
        <f t="shared" si="2"/>
        <v>8.3586323232323234E-2</v>
      </c>
      <c r="V11" s="78">
        <f>E19+F19*D19</f>
        <v>11.25</v>
      </c>
      <c r="W11" s="78">
        <f t="shared" si="10"/>
        <v>1125</v>
      </c>
      <c r="X11" s="92">
        <f t="shared" si="11"/>
        <v>2268.3727272727274</v>
      </c>
      <c r="Y11" s="78">
        <f>G18</f>
        <v>0.3</v>
      </c>
      <c r="Z11" s="26">
        <f t="shared" si="12"/>
        <v>2948.8845454545453</v>
      </c>
      <c r="AA11" s="78">
        <f t="shared" si="3"/>
        <v>6.5530767676767673E-2</v>
      </c>
      <c r="AB11" s="30">
        <v>70</v>
      </c>
      <c r="AC11" s="31">
        <f t="shared" si="13"/>
        <v>0.14209674949494949</v>
      </c>
      <c r="AD11" s="31">
        <f t="shared" si="14"/>
        <v>0.11140230505050505</v>
      </c>
    </row>
    <row r="12" spans="1:30" ht="14.4" x14ac:dyDescent="0.3">
      <c r="A12" s="15">
        <v>50</v>
      </c>
      <c r="B12" s="7" t="s">
        <v>10</v>
      </c>
      <c r="C12" s="22" t="s">
        <v>21</v>
      </c>
      <c r="D12" s="23">
        <v>75000</v>
      </c>
      <c r="E12" s="24">
        <v>0.05</v>
      </c>
      <c r="F12" s="25">
        <v>10</v>
      </c>
      <c r="G12" s="26">
        <f t="shared" si="4"/>
        <v>10.5</v>
      </c>
      <c r="H12" s="27">
        <f t="shared" si="5"/>
        <v>787.5</v>
      </c>
      <c r="I12" s="27">
        <f>C26</f>
        <v>2.04</v>
      </c>
      <c r="J12" s="89">
        <f t="shared" si="6"/>
        <v>1606.5</v>
      </c>
      <c r="K12" s="84">
        <f>E36</f>
        <v>1.1438383838383839E-3</v>
      </c>
      <c r="L12" s="28">
        <f t="shared" si="0"/>
        <v>85.787878787878796</v>
      </c>
      <c r="M12" s="29">
        <f>A18*B18</f>
        <v>128</v>
      </c>
      <c r="N12" s="29">
        <f>C18</f>
        <v>450</v>
      </c>
      <c r="O12" s="29">
        <f>E18+F18*D18</f>
        <v>17.5</v>
      </c>
      <c r="P12" s="29">
        <f t="shared" si="1"/>
        <v>166.66666666666666</v>
      </c>
      <c r="Q12" s="28">
        <f>O12*P12</f>
        <v>2916.6666666666665</v>
      </c>
      <c r="R12" s="26">
        <f t="shared" si="8"/>
        <v>4736.954545454546</v>
      </c>
      <c r="S12" s="26">
        <f>G18</f>
        <v>0.3</v>
      </c>
      <c r="T12" s="26">
        <f t="shared" si="9"/>
        <v>6158.0409090909097</v>
      </c>
      <c r="U12" s="27">
        <f t="shared" si="2"/>
        <v>8.2107212121212136E-2</v>
      </c>
      <c r="V12" s="78">
        <f>E19+F19*D19</f>
        <v>11.25</v>
      </c>
      <c r="W12" s="78">
        <f t="shared" si="10"/>
        <v>1875</v>
      </c>
      <c r="X12" s="92">
        <f t="shared" si="11"/>
        <v>3695.287878787879</v>
      </c>
      <c r="Y12" s="78">
        <f>G18</f>
        <v>0.3</v>
      </c>
      <c r="Z12" s="26">
        <f t="shared" si="12"/>
        <v>4803.8742424242428</v>
      </c>
      <c r="AA12" s="78">
        <f t="shared" si="3"/>
        <v>6.4051656565656576E-2</v>
      </c>
      <c r="AB12" s="30">
        <v>70</v>
      </c>
      <c r="AC12" s="31">
        <f t="shared" si="13"/>
        <v>0.13958226060606063</v>
      </c>
      <c r="AD12" s="31">
        <f t="shared" si="14"/>
        <v>0.10888781616161618</v>
      </c>
    </row>
    <row r="13" spans="1:30" ht="14.4" x14ac:dyDescent="0.3">
      <c r="A13" s="15">
        <v>50</v>
      </c>
      <c r="B13" s="7" t="s">
        <v>11</v>
      </c>
      <c r="C13" s="22" t="s">
        <v>22</v>
      </c>
      <c r="D13" s="23">
        <v>125000</v>
      </c>
      <c r="E13" s="24">
        <v>0.03</v>
      </c>
      <c r="F13" s="25">
        <v>10</v>
      </c>
      <c r="G13" s="26">
        <f t="shared" si="4"/>
        <v>10.3</v>
      </c>
      <c r="H13" s="27">
        <f t="shared" si="5"/>
        <v>1287.5</v>
      </c>
      <c r="I13" s="27">
        <f>C26</f>
        <v>2.04</v>
      </c>
      <c r="J13" s="89">
        <f t="shared" si="6"/>
        <v>2626.5</v>
      </c>
      <c r="K13" s="84">
        <f>E36</f>
        <v>1.1438383838383839E-3</v>
      </c>
      <c r="L13" s="28">
        <f t="shared" si="0"/>
        <v>142.97979797979798</v>
      </c>
      <c r="M13" s="29">
        <f>A18*B18</f>
        <v>128</v>
      </c>
      <c r="N13" s="29">
        <f>C18</f>
        <v>450</v>
      </c>
      <c r="O13" s="29">
        <f>E18+F18*D18</f>
        <v>17.5</v>
      </c>
      <c r="P13" s="29">
        <f t="shared" si="1"/>
        <v>277.77777777777777</v>
      </c>
      <c r="Q13" s="28">
        <f t="shared" si="7"/>
        <v>4861.1111111111113</v>
      </c>
      <c r="R13" s="26">
        <f t="shared" si="8"/>
        <v>7758.590909090909</v>
      </c>
      <c r="S13" s="26">
        <f>G18</f>
        <v>0.3</v>
      </c>
      <c r="T13" s="26">
        <f t="shared" si="9"/>
        <v>10086.168181818182</v>
      </c>
      <c r="U13" s="27">
        <f t="shared" si="2"/>
        <v>8.0689345454545452E-2</v>
      </c>
      <c r="V13" s="78">
        <f>E19+F19*D19</f>
        <v>11.25</v>
      </c>
      <c r="W13" s="78">
        <f t="shared" si="10"/>
        <v>3125</v>
      </c>
      <c r="X13" s="92">
        <f t="shared" si="11"/>
        <v>6022.4797979797986</v>
      </c>
      <c r="Y13" s="78">
        <f>G18</f>
        <v>0.3</v>
      </c>
      <c r="Z13" s="26">
        <f t="shared" si="12"/>
        <v>7829.223737373738</v>
      </c>
      <c r="AA13" s="78">
        <f t="shared" si="3"/>
        <v>6.2633789898989906E-2</v>
      </c>
      <c r="AB13" s="30">
        <v>65</v>
      </c>
      <c r="AC13" s="31">
        <f t="shared" si="13"/>
        <v>0.13313742000000001</v>
      </c>
      <c r="AD13" s="31">
        <f t="shared" si="14"/>
        <v>0.10334575333333335</v>
      </c>
    </row>
    <row r="14" spans="1:30" ht="15" thickBot="1" x14ac:dyDescent="0.35">
      <c r="A14" s="15">
        <v>50</v>
      </c>
      <c r="B14" s="7" t="s">
        <v>12</v>
      </c>
      <c r="C14" s="22" t="s">
        <v>23</v>
      </c>
      <c r="D14" s="23">
        <v>200000</v>
      </c>
      <c r="E14" s="24">
        <v>0.03</v>
      </c>
      <c r="F14" s="25">
        <v>10</v>
      </c>
      <c r="G14" s="26">
        <f t="shared" si="4"/>
        <v>10.3</v>
      </c>
      <c r="H14" s="27">
        <f t="shared" si="5"/>
        <v>2060.0000000000005</v>
      </c>
      <c r="I14" s="27">
        <f>C26</f>
        <v>2.04</v>
      </c>
      <c r="J14" s="89">
        <f t="shared" si="6"/>
        <v>4202.4000000000015</v>
      </c>
      <c r="K14" s="84">
        <f>E36</f>
        <v>1.1438383838383839E-3</v>
      </c>
      <c r="L14" s="28">
        <f t="shared" si="0"/>
        <v>228.76767676767679</v>
      </c>
      <c r="M14" s="29">
        <f>A18*B18</f>
        <v>128</v>
      </c>
      <c r="N14" s="29">
        <f>C18</f>
        <v>450</v>
      </c>
      <c r="O14" s="29">
        <f>E18+F18*D18</f>
        <v>17.5</v>
      </c>
      <c r="P14" s="29">
        <f t="shared" si="1"/>
        <v>444.44444444444446</v>
      </c>
      <c r="Q14" s="28">
        <f t="shared" si="7"/>
        <v>7777.7777777777783</v>
      </c>
      <c r="R14" s="26">
        <f t="shared" si="8"/>
        <v>12336.945454545457</v>
      </c>
      <c r="S14" s="26">
        <f>G18</f>
        <v>0.3</v>
      </c>
      <c r="T14" s="26">
        <f t="shared" si="9"/>
        <v>16038.029090909095</v>
      </c>
      <c r="U14" s="27">
        <f t="shared" si="2"/>
        <v>8.0190145454545475E-2</v>
      </c>
      <c r="V14" s="78">
        <f>E19+F19*D19</f>
        <v>11.25</v>
      </c>
      <c r="W14" s="78">
        <f t="shared" si="10"/>
        <v>5000</v>
      </c>
      <c r="X14" s="92">
        <f t="shared" si="11"/>
        <v>9559.1676767676781</v>
      </c>
      <c r="Y14" s="78">
        <f>G18</f>
        <v>0.3</v>
      </c>
      <c r="Z14" s="26">
        <f t="shared" si="12"/>
        <v>12426.917979797981</v>
      </c>
      <c r="AA14" s="78">
        <f t="shared" si="3"/>
        <v>6.2134589898989907E-2</v>
      </c>
      <c r="AB14" s="30">
        <v>60</v>
      </c>
      <c r="AC14" s="32">
        <f t="shared" si="13"/>
        <v>0.12830423272727276</v>
      </c>
      <c r="AD14" s="32">
        <f t="shared" si="14"/>
        <v>9.9415343838383852E-2</v>
      </c>
    </row>
    <row r="15" spans="1:30" ht="14.4" thickBot="1" x14ac:dyDescent="0.35"/>
    <row r="16" spans="1:30" x14ac:dyDescent="0.3">
      <c r="A16" s="33" t="s">
        <v>27</v>
      </c>
      <c r="B16" s="34"/>
      <c r="C16" s="34"/>
      <c r="D16" s="34"/>
      <c r="E16" s="34"/>
      <c r="F16" s="34"/>
      <c r="G16" s="35"/>
      <c r="AC16" s="80"/>
    </row>
    <row r="17" spans="1:12" x14ac:dyDescent="0.3">
      <c r="A17" s="36" t="s">
        <v>28</v>
      </c>
      <c r="B17" s="37" t="s">
        <v>29</v>
      </c>
      <c r="C17" s="37" t="s">
        <v>30</v>
      </c>
      <c r="D17" s="37" t="s">
        <v>31</v>
      </c>
      <c r="E17" s="37" t="s">
        <v>32</v>
      </c>
      <c r="F17" s="37" t="s">
        <v>33</v>
      </c>
      <c r="G17" s="38" t="s">
        <v>34</v>
      </c>
      <c r="J17" s="39"/>
      <c r="K17" s="85"/>
      <c r="L17" s="14" t="s">
        <v>59</v>
      </c>
    </row>
    <row r="18" spans="1:12" ht="14.4" thickBot="1" x14ac:dyDescent="0.35">
      <c r="A18" s="40">
        <v>4</v>
      </c>
      <c r="B18" s="41">
        <v>32</v>
      </c>
      <c r="C18" s="41">
        <v>450</v>
      </c>
      <c r="D18" s="41">
        <v>0.5</v>
      </c>
      <c r="E18" s="41">
        <v>5</v>
      </c>
      <c r="F18" s="42">
        <v>25</v>
      </c>
      <c r="G18" s="43">
        <v>0.3</v>
      </c>
    </row>
    <row r="19" spans="1:12" ht="14.4" thickBot="1" x14ac:dyDescent="0.35">
      <c r="A19" s="40">
        <v>4</v>
      </c>
      <c r="B19" s="41">
        <v>32</v>
      </c>
      <c r="C19" s="41">
        <v>450</v>
      </c>
      <c r="D19" s="41">
        <v>0.25</v>
      </c>
      <c r="E19" s="41">
        <v>5</v>
      </c>
      <c r="F19" s="42">
        <v>25</v>
      </c>
      <c r="G19" s="43">
        <v>0.3</v>
      </c>
    </row>
    <row r="20" spans="1:12" ht="14.4" thickBot="1" x14ac:dyDescent="0.35">
      <c r="J20" s="44"/>
      <c r="K20" s="86"/>
      <c r="L20" s="14" t="s">
        <v>60</v>
      </c>
    </row>
    <row r="21" spans="1:12" x14ac:dyDescent="0.3">
      <c r="A21" s="45" t="s">
        <v>35</v>
      </c>
      <c r="B21" s="46"/>
      <c r="C21" s="46" t="s">
        <v>36</v>
      </c>
      <c r="D21" s="47" t="s">
        <v>37</v>
      </c>
    </row>
    <row r="22" spans="1:12" x14ac:dyDescent="0.3">
      <c r="A22" s="48" t="s">
        <v>40</v>
      </c>
      <c r="B22" s="49">
        <v>1.5</v>
      </c>
      <c r="C22" s="50">
        <v>96</v>
      </c>
      <c r="D22" s="51"/>
    </row>
    <row r="23" spans="1:12" x14ac:dyDescent="0.3">
      <c r="A23" s="48" t="s">
        <v>40</v>
      </c>
      <c r="B23" s="49">
        <v>15</v>
      </c>
      <c r="C23" s="50">
        <v>4</v>
      </c>
      <c r="D23" s="51"/>
    </row>
    <row r="24" spans="1:12" x14ac:dyDescent="0.3">
      <c r="A24" s="48" t="s">
        <v>40</v>
      </c>
      <c r="B24" s="49">
        <v>0</v>
      </c>
      <c r="C24" s="50"/>
      <c r="D24" s="51"/>
    </row>
    <row r="25" spans="1:12" ht="14.4" thickBot="1" x14ac:dyDescent="0.35">
      <c r="A25" s="48" t="s">
        <v>44</v>
      </c>
      <c r="B25" s="49">
        <v>0</v>
      </c>
      <c r="C25" s="50"/>
      <c r="D25" s="51"/>
    </row>
    <row r="26" spans="1:12" ht="14.4" thickBot="1" x14ac:dyDescent="0.35">
      <c r="A26" s="52" t="s">
        <v>45</v>
      </c>
      <c r="B26" s="53">
        <f>SUM(B22:B25)</f>
        <v>16.5</v>
      </c>
      <c r="C26" s="54">
        <f>(B22*C22/100)+(B23*C23/100)+(B24*C24/100)+(B25*C25/100)</f>
        <v>2.04</v>
      </c>
      <c r="D26" s="55" t="s">
        <v>62</v>
      </c>
    </row>
    <row r="27" spans="1:12" ht="14.4" thickBot="1" x14ac:dyDescent="0.35"/>
    <row r="28" spans="1:12" x14ac:dyDescent="0.3">
      <c r="A28" s="56" t="s">
        <v>38</v>
      </c>
      <c r="B28" s="57"/>
      <c r="C28" s="58"/>
      <c r="D28" s="59" t="s">
        <v>39</v>
      </c>
      <c r="E28" s="60" t="s">
        <v>97</v>
      </c>
    </row>
    <row r="29" spans="1:12" x14ac:dyDescent="0.3">
      <c r="A29" s="61" t="s">
        <v>42</v>
      </c>
      <c r="B29" s="62">
        <v>1100</v>
      </c>
      <c r="C29" s="63"/>
      <c r="D29" s="64"/>
      <c r="E29" s="65"/>
    </row>
    <row r="30" spans="1:12" x14ac:dyDescent="0.3">
      <c r="A30" s="61" t="s">
        <v>86</v>
      </c>
      <c r="B30" s="62">
        <v>9</v>
      </c>
      <c r="C30" s="63" t="s">
        <v>41</v>
      </c>
      <c r="D30" s="66">
        <v>0.68100000000000005</v>
      </c>
      <c r="E30" s="65">
        <f>D30*B30</f>
        <v>6.1290000000000004</v>
      </c>
    </row>
    <row r="31" spans="1:12" x14ac:dyDescent="0.3">
      <c r="A31" s="61" t="s">
        <v>87</v>
      </c>
      <c r="B31" s="62">
        <f>B30*B29</f>
        <v>9900</v>
      </c>
      <c r="C31" s="67"/>
      <c r="D31" s="68"/>
      <c r="E31" s="65"/>
    </row>
    <row r="32" spans="1:12" x14ac:dyDescent="0.3">
      <c r="A32" s="61" t="s">
        <v>88</v>
      </c>
      <c r="B32" s="62">
        <v>9</v>
      </c>
      <c r="C32" s="63" t="s">
        <v>43</v>
      </c>
      <c r="D32" s="69">
        <v>0.13800000000000001</v>
      </c>
      <c r="E32" s="65">
        <f>D32*B32</f>
        <v>1.242</v>
      </c>
    </row>
    <row r="33" spans="1:5" x14ac:dyDescent="0.3">
      <c r="A33" s="61" t="s">
        <v>46</v>
      </c>
      <c r="B33" s="62">
        <f>B32*5</f>
        <v>45</v>
      </c>
      <c r="C33" s="63" t="s">
        <v>47</v>
      </c>
      <c r="D33" s="66">
        <v>4.3400000000000001E-2</v>
      </c>
      <c r="E33" s="65">
        <f>D33*B33</f>
        <v>1.9530000000000001</v>
      </c>
    </row>
    <row r="34" spans="1:5" ht="14.4" thickBot="1" x14ac:dyDescent="0.35">
      <c r="A34" s="70" t="s">
        <v>48</v>
      </c>
      <c r="B34" s="71" t="s">
        <v>49</v>
      </c>
      <c r="C34" s="72" t="s">
        <v>50</v>
      </c>
      <c r="D34" s="73">
        <v>2</v>
      </c>
      <c r="E34" s="74">
        <f>D34</f>
        <v>2</v>
      </c>
    </row>
    <row r="35" spans="1:5" ht="14.4" thickBot="1" x14ac:dyDescent="0.35">
      <c r="E35" s="75">
        <f>SUM(E29:E34)</f>
        <v>11.324</v>
      </c>
    </row>
    <row r="36" spans="1:5" ht="14.4" thickBot="1" x14ac:dyDescent="0.35">
      <c r="D36" s="76" t="s">
        <v>98</v>
      </c>
      <c r="E36" s="77">
        <f>E35/B31</f>
        <v>1.1438383838383839E-3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F2673-4B03-45A5-9ECB-04BF2F67E1D6}">
  <dimension ref="A2:AD36"/>
  <sheetViews>
    <sheetView topLeftCell="I1" workbookViewId="0">
      <selection activeCell="T4" sqref="T4:T14"/>
    </sheetView>
  </sheetViews>
  <sheetFormatPr defaultColWidth="9.109375" defaultRowHeight="13.8" x14ac:dyDescent="0.3"/>
  <cols>
    <col min="1" max="1" width="28.6640625" style="14" bestFit="1" customWidth="1"/>
    <col min="2" max="2" width="10.109375" style="14" bestFit="1" customWidth="1"/>
    <col min="3" max="3" width="21" style="14" bestFit="1" customWidth="1"/>
    <col min="4" max="4" width="12.44140625" style="14" bestFit="1" customWidth="1"/>
    <col min="5" max="5" width="21" style="14" bestFit="1" customWidth="1"/>
    <col min="6" max="6" width="14.88671875" style="14" bestFit="1" customWidth="1"/>
    <col min="7" max="7" width="23.5546875" style="14" bestFit="1" customWidth="1"/>
    <col min="8" max="8" width="18.6640625" style="14" customWidth="1"/>
    <col min="9" max="9" width="0.109375" style="14" customWidth="1"/>
    <col min="10" max="10" width="9.5546875" style="14" bestFit="1" customWidth="1"/>
    <col min="11" max="11" width="15.33203125" style="82" customWidth="1"/>
    <col min="12" max="12" width="17.5546875" style="14" bestFit="1" customWidth="1"/>
    <col min="13" max="13" width="19.33203125" style="14" customWidth="1"/>
    <col min="14" max="14" width="9.109375" style="14" customWidth="1"/>
    <col min="15" max="15" width="22.88671875" style="14" customWidth="1"/>
    <col min="16" max="16" width="11.88671875" style="14" customWidth="1"/>
    <col min="17" max="17" width="23.5546875" style="14" bestFit="1" customWidth="1"/>
    <col min="18" max="18" width="24.33203125" style="14" customWidth="1"/>
    <col min="19" max="19" width="11" style="14" customWidth="1"/>
    <col min="20" max="20" width="35.5546875" style="14" bestFit="1" customWidth="1"/>
    <col min="21" max="21" width="14.6640625" style="14" bestFit="1" customWidth="1"/>
    <col min="22" max="27" width="14.6640625" style="14" customWidth="1"/>
    <col min="28" max="28" width="16.5546875" style="14" bestFit="1" customWidth="1"/>
    <col min="29" max="29" width="17.44140625" style="14" bestFit="1" customWidth="1"/>
    <col min="30" max="30" width="11.88671875" style="14" bestFit="1" customWidth="1"/>
    <col min="31" max="16384" width="9.109375" style="14"/>
  </cols>
  <sheetData>
    <row r="2" spans="1:30" ht="14.4" thickBot="1" x14ac:dyDescent="0.35"/>
    <row r="3" spans="1:30" ht="74.25" customHeight="1" thickBot="1" x14ac:dyDescent="0.35">
      <c r="A3" s="15" t="s">
        <v>57</v>
      </c>
      <c r="B3" s="15" t="s">
        <v>24</v>
      </c>
      <c r="C3" s="15" t="s">
        <v>25</v>
      </c>
      <c r="D3" s="15" t="s">
        <v>26</v>
      </c>
      <c r="E3" s="15" t="s">
        <v>55</v>
      </c>
      <c r="F3" s="15" t="s">
        <v>58</v>
      </c>
      <c r="G3" s="16" t="s">
        <v>51</v>
      </c>
      <c r="H3" s="17" t="s">
        <v>52</v>
      </c>
      <c r="I3" s="17" t="s">
        <v>61</v>
      </c>
      <c r="J3" s="90" t="s">
        <v>53</v>
      </c>
      <c r="K3" s="83" t="s">
        <v>99</v>
      </c>
      <c r="L3" s="18" t="s">
        <v>96</v>
      </c>
      <c r="M3" s="19" t="s">
        <v>54</v>
      </c>
      <c r="N3" s="19" t="s">
        <v>100</v>
      </c>
      <c r="O3" s="19" t="s">
        <v>108</v>
      </c>
      <c r="P3" s="19" t="s">
        <v>101</v>
      </c>
      <c r="Q3" s="91" t="s">
        <v>116</v>
      </c>
      <c r="R3" s="87" t="s">
        <v>107</v>
      </c>
      <c r="S3" s="88" t="s">
        <v>102</v>
      </c>
      <c r="T3" s="87" t="s">
        <v>104</v>
      </c>
      <c r="U3" s="87" t="s">
        <v>105</v>
      </c>
      <c r="V3" s="19" t="s">
        <v>109</v>
      </c>
      <c r="W3" s="20" t="s">
        <v>110</v>
      </c>
      <c r="X3" s="20"/>
      <c r="Y3" s="20"/>
      <c r="Z3" s="20" t="s">
        <v>111</v>
      </c>
      <c r="AA3" s="20" t="s">
        <v>112</v>
      </c>
      <c r="AB3" s="20" t="s">
        <v>103</v>
      </c>
      <c r="AC3" s="79" t="s">
        <v>106</v>
      </c>
      <c r="AD3" s="21" t="s">
        <v>113</v>
      </c>
    </row>
    <row r="4" spans="1:30" ht="14.4" x14ac:dyDescent="0.3">
      <c r="A4" s="15">
        <v>75</v>
      </c>
      <c r="B4" s="7" t="s">
        <v>2</v>
      </c>
      <c r="C4" s="22" t="s">
        <v>13</v>
      </c>
      <c r="D4" s="23">
        <v>2000</v>
      </c>
      <c r="E4" s="24">
        <v>0.1</v>
      </c>
      <c r="F4" s="25">
        <v>12</v>
      </c>
      <c r="G4" s="26">
        <f>F4+F4*E4</f>
        <v>13.2</v>
      </c>
      <c r="H4" s="27">
        <f>(G4*D4)/1000</f>
        <v>26.4</v>
      </c>
      <c r="I4" s="27">
        <f>C26</f>
        <v>2.08</v>
      </c>
      <c r="J4" s="89">
        <f>H4*I4</f>
        <v>54.911999999999999</v>
      </c>
      <c r="K4" s="84">
        <f>E36</f>
        <v>1.1438383838383839E-3</v>
      </c>
      <c r="L4" s="28">
        <f t="shared" ref="L4:L14" si="0">K4*D4</f>
        <v>2.2876767676767678</v>
      </c>
      <c r="M4" s="29">
        <f>A18*B18</f>
        <v>128</v>
      </c>
      <c r="N4" s="29">
        <f>C18</f>
        <v>450</v>
      </c>
      <c r="O4" s="29">
        <f>E18+F18*D18</f>
        <v>17.5</v>
      </c>
      <c r="P4" s="29">
        <f t="shared" ref="P4:P14" si="1">D4/N4</f>
        <v>4.4444444444444446</v>
      </c>
      <c r="Q4" s="28">
        <f>O4*P4</f>
        <v>77.777777777777786</v>
      </c>
      <c r="R4" s="26">
        <f>Q4+L4+J4+M4</f>
        <v>262.97745454545452</v>
      </c>
      <c r="S4" s="26">
        <f>G18</f>
        <v>0.3</v>
      </c>
      <c r="T4" s="26">
        <f>R4+R4*S4</f>
        <v>341.87069090909085</v>
      </c>
      <c r="U4" s="27">
        <f t="shared" ref="U4:U14" si="2">T4/D4</f>
        <v>0.17093534545454542</v>
      </c>
      <c r="V4" s="78">
        <f>E19+F19*D19</f>
        <v>11.25</v>
      </c>
      <c r="W4" s="78">
        <f>V4*P4</f>
        <v>50</v>
      </c>
      <c r="X4" s="92">
        <f>W4+M4+L4+J4</f>
        <v>235.19967676767678</v>
      </c>
      <c r="Y4" s="78">
        <f>G18</f>
        <v>0.3</v>
      </c>
      <c r="Z4" s="26">
        <f>X4+X4*Y4</f>
        <v>305.75957979797982</v>
      </c>
      <c r="AA4" s="78">
        <f t="shared" ref="AA4:AA14" si="3">Z4/D4</f>
        <v>0.15287978989898993</v>
      </c>
      <c r="AB4" s="30">
        <v>180</v>
      </c>
      <c r="AC4" s="81">
        <f>U4*2+(U4*2*80/100)</f>
        <v>0.61536724363636353</v>
      </c>
      <c r="AD4" s="81">
        <f>AA4*2+(AA4*2*80/100)</f>
        <v>0.5503672436363638</v>
      </c>
    </row>
    <row r="5" spans="1:30" ht="14.4" x14ac:dyDescent="0.3">
      <c r="A5" s="15">
        <v>75</v>
      </c>
      <c r="B5" s="7" t="s">
        <v>3</v>
      </c>
      <c r="C5" s="22" t="s">
        <v>14</v>
      </c>
      <c r="D5" s="23">
        <v>4000</v>
      </c>
      <c r="E5" s="24">
        <v>0.1</v>
      </c>
      <c r="F5" s="25">
        <v>12</v>
      </c>
      <c r="G5" s="26">
        <f t="shared" ref="G5:G14" si="4">F5+F5*E5</f>
        <v>13.2</v>
      </c>
      <c r="H5" s="27">
        <f t="shared" ref="H5:H14" si="5">(G5*D5)/1000</f>
        <v>52.8</v>
      </c>
      <c r="I5" s="27">
        <f>C26</f>
        <v>2.08</v>
      </c>
      <c r="J5" s="89">
        <f t="shared" ref="J5:J14" si="6">H5*I5</f>
        <v>109.824</v>
      </c>
      <c r="K5" s="84">
        <f>E36</f>
        <v>1.1438383838383839E-3</v>
      </c>
      <c r="L5" s="28">
        <f t="shared" si="0"/>
        <v>4.5753535353535355</v>
      </c>
      <c r="M5" s="29">
        <f>A18*B18</f>
        <v>128</v>
      </c>
      <c r="N5" s="29">
        <f>C18</f>
        <v>450</v>
      </c>
      <c r="O5" s="29">
        <f>E18+F18*D18</f>
        <v>17.5</v>
      </c>
      <c r="P5" s="29">
        <f t="shared" si="1"/>
        <v>8.8888888888888893</v>
      </c>
      <c r="Q5" s="28">
        <f t="shared" ref="Q5:Q14" si="7">O5*P5</f>
        <v>155.55555555555557</v>
      </c>
      <c r="R5" s="26">
        <f t="shared" ref="R5:R14" si="8">Q5+L5+J5+M5</f>
        <v>397.9549090909091</v>
      </c>
      <c r="S5" s="26">
        <f>G18</f>
        <v>0.3</v>
      </c>
      <c r="T5" s="26">
        <f t="shared" ref="T5:T14" si="9">R5+R5*S5</f>
        <v>517.34138181818184</v>
      </c>
      <c r="U5" s="27">
        <f t="shared" si="2"/>
        <v>0.12933534545454545</v>
      </c>
      <c r="V5" s="78">
        <f>E19+F19*D19</f>
        <v>11.25</v>
      </c>
      <c r="W5" s="78">
        <f t="shared" ref="W5:W14" si="10">V5*P5</f>
        <v>100</v>
      </c>
      <c r="X5" s="92">
        <f t="shared" ref="X5:X14" si="11">W5+M5+L5+J5</f>
        <v>342.39935353535355</v>
      </c>
      <c r="Y5" s="78">
        <f>G18</f>
        <v>0.3</v>
      </c>
      <c r="Z5" s="26">
        <f t="shared" ref="Z5:Z14" si="12">X5+X5*Y5</f>
        <v>445.11915959595962</v>
      </c>
      <c r="AA5" s="78">
        <f t="shared" si="3"/>
        <v>0.1112797898989899</v>
      </c>
      <c r="AB5" s="30">
        <v>160</v>
      </c>
      <c r="AC5" s="31">
        <f>U5*2+(U5*2*80/100)</f>
        <v>0.46560724363636363</v>
      </c>
      <c r="AD5" s="31">
        <f>AA5*2+(AA5*2*80/100)</f>
        <v>0.40060724363636363</v>
      </c>
    </row>
    <row r="6" spans="1:30" ht="14.4" x14ac:dyDescent="0.3">
      <c r="A6" s="15">
        <v>75</v>
      </c>
      <c r="B6" s="7" t="s">
        <v>4</v>
      </c>
      <c r="C6" s="22" t="s">
        <v>15</v>
      </c>
      <c r="D6" s="23">
        <v>7500</v>
      </c>
      <c r="E6" s="24">
        <v>7.0000000000000007E-2</v>
      </c>
      <c r="F6" s="25">
        <v>12</v>
      </c>
      <c r="G6" s="26">
        <f t="shared" si="4"/>
        <v>12.84</v>
      </c>
      <c r="H6" s="27">
        <f t="shared" si="5"/>
        <v>96.3</v>
      </c>
      <c r="I6" s="27">
        <f>C26</f>
        <v>2.08</v>
      </c>
      <c r="J6" s="89">
        <f t="shared" si="6"/>
        <v>200.304</v>
      </c>
      <c r="K6" s="84">
        <f>E36</f>
        <v>1.1438383838383839E-3</v>
      </c>
      <c r="L6" s="28">
        <f t="shared" si="0"/>
        <v>8.57878787878788</v>
      </c>
      <c r="M6" s="29">
        <f>A18*B18</f>
        <v>128</v>
      </c>
      <c r="N6" s="29">
        <f>C18</f>
        <v>450</v>
      </c>
      <c r="O6" s="29">
        <f>E18+F18*D18</f>
        <v>17.5</v>
      </c>
      <c r="P6" s="29">
        <f t="shared" si="1"/>
        <v>16.666666666666668</v>
      </c>
      <c r="Q6" s="28">
        <f t="shared" si="7"/>
        <v>291.66666666666669</v>
      </c>
      <c r="R6" s="26">
        <f t="shared" si="8"/>
        <v>628.54945454545452</v>
      </c>
      <c r="S6" s="26">
        <f>G18</f>
        <v>0.3</v>
      </c>
      <c r="T6" s="26">
        <f t="shared" si="9"/>
        <v>817.11429090909087</v>
      </c>
      <c r="U6" s="27">
        <f t="shared" si="2"/>
        <v>0.10894857212121212</v>
      </c>
      <c r="V6" s="78">
        <f>E19+F19*D19</f>
        <v>11.25</v>
      </c>
      <c r="W6" s="78">
        <f t="shared" si="10"/>
        <v>187.5</v>
      </c>
      <c r="X6" s="92">
        <f t="shared" si="11"/>
        <v>524.38278787878789</v>
      </c>
      <c r="Y6" s="78">
        <f>G18</f>
        <v>0.3</v>
      </c>
      <c r="Z6" s="26">
        <f t="shared" si="12"/>
        <v>681.69762424242424</v>
      </c>
      <c r="AA6" s="78">
        <f t="shared" si="3"/>
        <v>9.089301656565657E-2</v>
      </c>
      <c r="AB6" s="30">
        <v>140</v>
      </c>
      <c r="AC6" s="31">
        <f>U6*2+(U6*2*80/100)</f>
        <v>0.3922148596363636</v>
      </c>
      <c r="AD6" s="31">
        <f>AA6*2+(AA6*2*80/100)</f>
        <v>0.32721485963636365</v>
      </c>
    </row>
    <row r="7" spans="1:30" ht="14.4" x14ac:dyDescent="0.3">
      <c r="A7" s="15">
        <v>75</v>
      </c>
      <c r="B7" s="7" t="s">
        <v>5</v>
      </c>
      <c r="C7" s="22" t="s">
        <v>16</v>
      </c>
      <c r="D7" s="23">
        <v>12500</v>
      </c>
      <c r="E7" s="24">
        <v>7.0000000000000007E-2</v>
      </c>
      <c r="F7" s="25">
        <v>12</v>
      </c>
      <c r="G7" s="26">
        <f t="shared" si="4"/>
        <v>12.84</v>
      </c>
      <c r="H7" s="27">
        <f t="shared" si="5"/>
        <v>160.5</v>
      </c>
      <c r="I7" s="27">
        <f>C26</f>
        <v>2.08</v>
      </c>
      <c r="J7" s="89">
        <f t="shared" si="6"/>
        <v>333.84000000000003</v>
      </c>
      <c r="K7" s="84">
        <f>E36</f>
        <v>1.1438383838383839E-3</v>
      </c>
      <c r="L7" s="28">
        <f t="shared" si="0"/>
        <v>14.297979797979799</v>
      </c>
      <c r="M7" s="29">
        <f>A18*B18</f>
        <v>128</v>
      </c>
      <c r="N7" s="29">
        <f>C18</f>
        <v>450</v>
      </c>
      <c r="O7" s="29">
        <f>E18+F18*D18</f>
        <v>17.5</v>
      </c>
      <c r="P7" s="29">
        <f t="shared" si="1"/>
        <v>27.777777777777779</v>
      </c>
      <c r="Q7" s="28">
        <f t="shared" si="7"/>
        <v>486.11111111111114</v>
      </c>
      <c r="R7" s="26">
        <f t="shared" si="8"/>
        <v>962.24909090909091</v>
      </c>
      <c r="S7" s="26">
        <f>G18</f>
        <v>0.3</v>
      </c>
      <c r="T7" s="26">
        <f t="shared" si="9"/>
        <v>1250.9238181818182</v>
      </c>
      <c r="U7" s="27">
        <f t="shared" si="2"/>
        <v>0.10007390545454546</v>
      </c>
      <c r="V7" s="78">
        <f>E19+F19*D19</f>
        <v>11.25</v>
      </c>
      <c r="W7" s="78">
        <f t="shared" si="10"/>
        <v>312.5</v>
      </c>
      <c r="X7" s="92">
        <f t="shared" si="11"/>
        <v>788.63797979797982</v>
      </c>
      <c r="Y7" s="78">
        <f>G18</f>
        <v>0.3</v>
      </c>
      <c r="Z7" s="26">
        <f t="shared" si="12"/>
        <v>1025.2293737373739</v>
      </c>
      <c r="AA7" s="78">
        <f t="shared" si="3"/>
        <v>8.2018349898989915E-2</v>
      </c>
      <c r="AB7" s="30">
        <v>85</v>
      </c>
      <c r="AC7" s="31">
        <f>U7+U7*AB7/100</f>
        <v>0.18513672509090912</v>
      </c>
      <c r="AD7" s="31">
        <f>AA7+AA7*AB7/100</f>
        <v>0.15173394731313133</v>
      </c>
    </row>
    <row r="8" spans="1:30" ht="14.4" x14ac:dyDescent="0.3">
      <c r="A8" s="15">
        <v>75</v>
      </c>
      <c r="B8" s="7" t="s">
        <v>6</v>
      </c>
      <c r="C8" s="22" t="s">
        <v>17</v>
      </c>
      <c r="D8" s="23">
        <v>17500</v>
      </c>
      <c r="E8" s="24">
        <v>7.0000000000000007E-2</v>
      </c>
      <c r="F8" s="25">
        <v>12</v>
      </c>
      <c r="G8" s="26">
        <f t="shared" si="4"/>
        <v>12.84</v>
      </c>
      <c r="H8" s="27">
        <f t="shared" si="5"/>
        <v>224.7</v>
      </c>
      <c r="I8" s="27">
        <f>C26</f>
        <v>2.08</v>
      </c>
      <c r="J8" s="89">
        <f t="shared" si="6"/>
        <v>467.37599999999998</v>
      </c>
      <c r="K8" s="84">
        <f>E36</f>
        <v>1.1438383838383839E-3</v>
      </c>
      <c r="L8" s="28">
        <f t="shared" si="0"/>
        <v>20.017171717171717</v>
      </c>
      <c r="M8" s="29">
        <f>A18*B18</f>
        <v>128</v>
      </c>
      <c r="N8" s="29">
        <f>C18</f>
        <v>450</v>
      </c>
      <c r="O8" s="29">
        <f>E18+F18*D18</f>
        <v>17.5</v>
      </c>
      <c r="P8" s="29">
        <f t="shared" si="1"/>
        <v>38.888888888888886</v>
      </c>
      <c r="Q8" s="28">
        <f t="shared" si="7"/>
        <v>680.55555555555554</v>
      </c>
      <c r="R8" s="26">
        <f t="shared" si="8"/>
        <v>1295.9487272727272</v>
      </c>
      <c r="S8" s="26">
        <f>G18</f>
        <v>0.3</v>
      </c>
      <c r="T8" s="26">
        <f t="shared" si="9"/>
        <v>1684.7333454545453</v>
      </c>
      <c r="U8" s="27">
        <f t="shared" si="2"/>
        <v>9.6270476883116879E-2</v>
      </c>
      <c r="V8" s="78">
        <f>E19+F19*D19</f>
        <v>11.25</v>
      </c>
      <c r="W8" s="78">
        <f t="shared" si="10"/>
        <v>437.49999999999994</v>
      </c>
      <c r="X8" s="92">
        <f t="shared" si="11"/>
        <v>1052.8931717171718</v>
      </c>
      <c r="Y8" s="78">
        <f>G18</f>
        <v>0.3</v>
      </c>
      <c r="Z8" s="26">
        <f t="shared" si="12"/>
        <v>1368.7611232323234</v>
      </c>
      <c r="AA8" s="78">
        <f t="shared" si="3"/>
        <v>7.8214921327561332E-2</v>
      </c>
      <c r="AB8" s="30">
        <v>80</v>
      </c>
      <c r="AC8" s="31">
        <f t="shared" ref="AC8:AC14" si="13">U8+U8*AB8/100</f>
        <v>0.17328685838961039</v>
      </c>
      <c r="AD8" s="31">
        <f t="shared" ref="AD8:AD14" si="14">AA8+AA8*AB8/100</f>
        <v>0.14078685838961041</v>
      </c>
    </row>
    <row r="9" spans="1:30" ht="14.4" x14ac:dyDescent="0.3">
      <c r="A9" s="15">
        <v>75</v>
      </c>
      <c r="B9" s="7" t="s">
        <v>7</v>
      </c>
      <c r="C9" s="22" t="s">
        <v>18</v>
      </c>
      <c r="D9" s="23">
        <v>25000</v>
      </c>
      <c r="E9" s="24">
        <v>0.05</v>
      </c>
      <c r="F9" s="25">
        <v>12</v>
      </c>
      <c r="G9" s="26">
        <f t="shared" si="4"/>
        <v>12.6</v>
      </c>
      <c r="H9" s="27">
        <f t="shared" si="5"/>
        <v>315</v>
      </c>
      <c r="I9" s="27">
        <f>C26</f>
        <v>2.08</v>
      </c>
      <c r="J9" s="89">
        <f t="shared" si="6"/>
        <v>655.20000000000005</v>
      </c>
      <c r="K9" s="84">
        <f>E36</f>
        <v>1.1438383838383839E-3</v>
      </c>
      <c r="L9" s="28">
        <f t="shared" si="0"/>
        <v>28.595959595959599</v>
      </c>
      <c r="M9" s="29">
        <f>A18*B18</f>
        <v>128</v>
      </c>
      <c r="N9" s="29">
        <f>C18</f>
        <v>450</v>
      </c>
      <c r="O9" s="29">
        <f>E18+F18*D18</f>
        <v>17.5</v>
      </c>
      <c r="P9" s="29">
        <f t="shared" si="1"/>
        <v>55.555555555555557</v>
      </c>
      <c r="Q9" s="28">
        <f t="shared" si="7"/>
        <v>972.22222222222229</v>
      </c>
      <c r="R9" s="26">
        <f t="shared" si="8"/>
        <v>1784.0181818181818</v>
      </c>
      <c r="S9" s="26">
        <f>G18</f>
        <v>0.3</v>
      </c>
      <c r="T9" s="26">
        <f t="shared" si="9"/>
        <v>2319.2236363636362</v>
      </c>
      <c r="U9" s="27">
        <f t="shared" si="2"/>
        <v>9.2768945454545448E-2</v>
      </c>
      <c r="V9" s="78">
        <f>E19+F19*D19</f>
        <v>11.25</v>
      </c>
      <c r="W9" s="78">
        <f t="shared" si="10"/>
        <v>625</v>
      </c>
      <c r="X9" s="92">
        <f t="shared" si="11"/>
        <v>1436.7959595959596</v>
      </c>
      <c r="Y9" s="78">
        <f>G18</f>
        <v>0.3</v>
      </c>
      <c r="Z9" s="26">
        <f t="shared" si="12"/>
        <v>1867.8347474747475</v>
      </c>
      <c r="AA9" s="78">
        <f t="shared" si="3"/>
        <v>7.4713389898989901E-2</v>
      </c>
      <c r="AB9" s="30">
        <v>75</v>
      </c>
      <c r="AC9" s="31">
        <f t="shared" si="13"/>
        <v>0.16234565454545452</v>
      </c>
      <c r="AD9" s="31">
        <f t="shared" si="14"/>
        <v>0.13074843232323233</v>
      </c>
    </row>
    <row r="10" spans="1:30" ht="14.4" x14ac:dyDescent="0.3">
      <c r="A10" s="15">
        <v>75</v>
      </c>
      <c r="B10" s="7" t="s">
        <v>8</v>
      </c>
      <c r="C10" s="22" t="s">
        <v>19</v>
      </c>
      <c r="D10" s="23">
        <v>35000</v>
      </c>
      <c r="E10" s="24">
        <v>0.05</v>
      </c>
      <c r="F10" s="25">
        <v>12</v>
      </c>
      <c r="G10" s="26">
        <f t="shared" si="4"/>
        <v>12.6</v>
      </c>
      <c r="H10" s="27">
        <f t="shared" si="5"/>
        <v>441</v>
      </c>
      <c r="I10" s="27">
        <f>C26</f>
        <v>2.08</v>
      </c>
      <c r="J10" s="89">
        <f t="shared" si="6"/>
        <v>917.28000000000009</v>
      </c>
      <c r="K10" s="84">
        <f>E36</f>
        <v>1.1438383838383839E-3</v>
      </c>
      <c r="L10" s="28">
        <f t="shared" si="0"/>
        <v>40.034343434343434</v>
      </c>
      <c r="M10" s="29">
        <f>A18*B18</f>
        <v>128</v>
      </c>
      <c r="N10" s="29">
        <f>C18</f>
        <v>450</v>
      </c>
      <c r="O10" s="29">
        <f>E18+F18*D18</f>
        <v>17.5</v>
      </c>
      <c r="P10" s="29">
        <f t="shared" si="1"/>
        <v>77.777777777777771</v>
      </c>
      <c r="Q10" s="28">
        <f t="shared" si="7"/>
        <v>1361.1111111111111</v>
      </c>
      <c r="R10" s="26">
        <f t="shared" si="8"/>
        <v>2446.4254545454546</v>
      </c>
      <c r="S10" s="26">
        <f>G18</f>
        <v>0.3</v>
      </c>
      <c r="T10" s="26">
        <f t="shared" si="9"/>
        <v>3180.353090909091</v>
      </c>
      <c r="U10" s="27">
        <f t="shared" si="2"/>
        <v>9.0867231168831164E-2</v>
      </c>
      <c r="V10" s="78">
        <f>E19+F19*D19</f>
        <v>11.25</v>
      </c>
      <c r="W10" s="78">
        <f t="shared" si="10"/>
        <v>874.99999999999989</v>
      </c>
      <c r="X10" s="92">
        <f t="shared" si="11"/>
        <v>1960.3143434343433</v>
      </c>
      <c r="Y10" s="78">
        <f>G18</f>
        <v>0.3</v>
      </c>
      <c r="Z10" s="26">
        <f t="shared" si="12"/>
        <v>2548.4086464646462</v>
      </c>
      <c r="AA10" s="78">
        <f t="shared" si="3"/>
        <v>7.2811675613275603E-2</v>
      </c>
      <c r="AB10" s="30">
        <v>75</v>
      </c>
      <c r="AC10" s="31">
        <f t="shared" si="13"/>
        <v>0.15901765454545452</v>
      </c>
      <c r="AD10" s="31">
        <f t="shared" si="14"/>
        <v>0.1274204323232323</v>
      </c>
    </row>
    <row r="11" spans="1:30" ht="14.4" x14ac:dyDescent="0.3">
      <c r="A11" s="15">
        <v>75</v>
      </c>
      <c r="B11" s="7" t="s">
        <v>9</v>
      </c>
      <c r="C11" s="22" t="s">
        <v>20</v>
      </c>
      <c r="D11" s="23">
        <v>45000</v>
      </c>
      <c r="E11" s="24">
        <v>0.05</v>
      </c>
      <c r="F11" s="25">
        <v>12</v>
      </c>
      <c r="G11" s="26">
        <f t="shared" si="4"/>
        <v>12.6</v>
      </c>
      <c r="H11" s="27">
        <f t="shared" si="5"/>
        <v>567</v>
      </c>
      <c r="I11" s="27">
        <f>C26</f>
        <v>2.08</v>
      </c>
      <c r="J11" s="89">
        <f t="shared" si="6"/>
        <v>1179.3600000000001</v>
      </c>
      <c r="K11" s="84">
        <f>E36</f>
        <v>1.1438383838383839E-3</v>
      </c>
      <c r="L11" s="28">
        <f t="shared" si="0"/>
        <v>51.472727272727276</v>
      </c>
      <c r="M11" s="29">
        <f>A18*B18</f>
        <v>128</v>
      </c>
      <c r="N11" s="29">
        <f>C18</f>
        <v>450</v>
      </c>
      <c r="O11" s="29">
        <f>E18+F18*D18</f>
        <v>17.5</v>
      </c>
      <c r="P11" s="29">
        <f t="shared" si="1"/>
        <v>100</v>
      </c>
      <c r="Q11" s="28">
        <f t="shared" si="7"/>
        <v>1750</v>
      </c>
      <c r="R11" s="26">
        <f t="shared" si="8"/>
        <v>3108.8327272727274</v>
      </c>
      <c r="S11" s="26">
        <f>G18</f>
        <v>0.3</v>
      </c>
      <c r="T11" s="26">
        <f t="shared" si="9"/>
        <v>4041.4825454545457</v>
      </c>
      <c r="U11" s="27">
        <f t="shared" si="2"/>
        <v>8.9810723232323239E-2</v>
      </c>
      <c r="V11" s="78">
        <f>E19+F19*D19</f>
        <v>11.25</v>
      </c>
      <c r="W11" s="78">
        <f t="shared" si="10"/>
        <v>1125</v>
      </c>
      <c r="X11" s="92">
        <f t="shared" si="11"/>
        <v>2483.8327272727274</v>
      </c>
      <c r="Y11" s="78">
        <f>G18</f>
        <v>0.3</v>
      </c>
      <c r="Z11" s="26">
        <f t="shared" si="12"/>
        <v>3228.9825454545457</v>
      </c>
      <c r="AA11" s="78">
        <f t="shared" si="3"/>
        <v>7.1755167676767678E-2</v>
      </c>
      <c r="AB11" s="30">
        <v>70</v>
      </c>
      <c r="AC11" s="31">
        <f t="shared" si="13"/>
        <v>0.15267822949494952</v>
      </c>
      <c r="AD11" s="31">
        <f t="shared" si="14"/>
        <v>0.12198378505050506</v>
      </c>
    </row>
    <row r="12" spans="1:30" ht="14.4" x14ac:dyDescent="0.3">
      <c r="A12" s="15">
        <v>75</v>
      </c>
      <c r="B12" s="7" t="s">
        <v>10</v>
      </c>
      <c r="C12" s="22" t="s">
        <v>21</v>
      </c>
      <c r="D12" s="23">
        <v>75000</v>
      </c>
      <c r="E12" s="24">
        <v>0.05</v>
      </c>
      <c r="F12" s="25">
        <v>12</v>
      </c>
      <c r="G12" s="26">
        <f t="shared" si="4"/>
        <v>12.6</v>
      </c>
      <c r="H12" s="27">
        <f t="shared" si="5"/>
        <v>945</v>
      </c>
      <c r="I12" s="27">
        <f>C26</f>
        <v>2.08</v>
      </c>
      <c r="J12" s="89">
        <f t="shared" si="6"/>
        <v>1965.6000000000001</v>
      </c>
      <c r="K12" s="84">
        <f>E36</f>
        <v>1.1438383838383839E-3</v>
      </c>
      <c r="L12" s="28">
        <f t="shared" si="0"/>
        <v>85.787878787878796</v>
      </c>
      <c r="M12" s="29">
        <f>A18*B18</f>
        <v>128</v>
      </c>
      <c r="N12" s="29">
        <f>C18</f>
        <v>450</v>
      </c>
      <c r="O12" s="29">
        <f>E18+F18*D18</f>
        <v>17.5</v>
      </c>
      <c r="P12" s="29">
        <f t="shared" si="1"/>
        <v>166.66666666666666</v>
      </c>
      <c r="Q12" s="28">
        <f>O12*P12</f>
        <v>2916.6666666666665</v>
      </c>
      <c r="R12" s="26">
        <f t="shared" si="8"/>
        <v>5096.0545454545454</v>
      </c>
      <c r="S12" s="26">
        <f>G18</f>
        <v>0.3</v>
      </c>
      <c r="T12" s="26">
        <f t="shared" si="9"/>
        <v>6624.8709090909088</v>
      </c>
      <c r="U12" s="27">
        <f t="shared" si="2"/>
        <v>8.8331612121212114E-2</v>
      </c>
      <c r="V12" s="78">
        <f>E19+F19*D19</f>
        <v>11.25</v>
      </c>
      <c r="W12" s="78">
        <f t="shared" si="10"/>
        <v>1875</v>
      </c>
      <c r="X12" s="92">
        <f t="shared" si="11"/>
        <v>4054.3878787878793</v>
      </c>
      <c r="Y12" s="78">
        <f>G18</f>
        <v>0.3</v>
      </c>
      <c r="Z12" s="26">
        <f t="shared" si="12"/>
        <v>5270.7042424242427</v>
      </c>
      <c r="AA12" s="78">
        <f t="shared" si="3"/>
        <v>7.0276056565656567E-2</v>
      </c>
      <c r="AB12" s="30">
        <v>70</v>
      </c>
      <c r="AC12" s="31">
        <f t="shared" si="13"/>
        <v>0.15016374060606058</v>
      </c>
      <c r="AD12" s="31">
        <f t="shared" si="14"/>
        <v>0.11946929616161617</v>
      </c>
    </row>
    <row r="13" spans="1:30" ht="14.4" x14ac:dyDescent="0.3">
      <c r="A13" s="15">
        <v>75</v>
      </c>
      <c r="B13" s="7" t="s">
        <v>11</v>
      </c>
      <c r="C13" s="22" t="s">
        <v>22</v>
      </c>
      <c r="D13" s="23">
        <v>125000</v>
      </c>
      <c r="E13" s="24">
        <v>0.03</v>
      </c>
      <c r="F13" s="25">
        <v>12</v>
      </c>
      <c r="G13" s="26">
        <f t="shared" si="4"/>
        <v>12.36</v>
      </c>
      <c r="H13" s="27">
        <f t="shared" si="5"/>
        <v>1545</v>
      </c>
      <c r="I13" s="27">
        <f>C26</f>
        <v>2.08</v>
      </c>
      <c r="J13" s="89">
        <f t="shared" si="6"/>
        <v>3213.6</v>
      </c>
      <c r="K13" s="84">
        <f>E36</f>
        <v>1.1438383838383839E-3</v>
      </c>
      <c r="L13" s="28">
        <f t="shared" si="0"/>
        <v>142.97979797979798</v>
      </c>
      <c r="M13" s="29">
        <f>A18*B18</f>
        <v>128</v>
      </c>
      <c r="N13" s="29">
        <f>C18</f>
        <v>450</v>
      </c>
      <c r="O13" s="29">
        <f>E18+F18*D18</f>
        <v>17.5</v>
      </c>
      <c r="P13" s="29">
        <f t="shared" si="1"/>
        <v>277.77777777777777</v>
      </c>
      <c r="Q13" s="28">
        <f t="shared" si="7"/>
        <v>4861.1111111111113</v>
      </c>
      <c r="R13" s="26">
        <f t="shared" si="8"/>
        <v>8345.6909090909085</v>
      </c>
      <c r="S13" s="26">
        <f>G18</f>
        <v>0.3</v>
      </c>
      <c r="T13" s="26">
        <f t="shared" si="9"/>
        <v>10849.398181818182</v>
      </c>
      <c r="U13" s="27">
        <f t="shared" si="2"/>
        <v>8.6795185454545454E-2</v>
      </c>
      <c r="V13" s="78">
        <f>E19+F19*D19</f>
        <v>11.25</v>
      </c>
      <c r="W13" s="78">
        <f t="shared" si="10"/>
        <v>3125</v>
      </c>
      <c r="X13" s="92">
        <f t="shared" si="11"/>
        <v>6609.5797979797981</v>
      </c>
      <c r="Y13" s="78">
        <f>G18</f>
        <v>0.3</v>
      </c>
      <c r="Z13" s="26">
        <f t="shared" si="12"/>
        <v>8592.4537373737367</v>
      </c>
      <c r="AA13" s="78">
        <f t="shared" si="3"/>
        <v>6.8739629898989893E-2</v>
      </c>
      <c r="AB13" s="30">
        <v>65</v>
      </c>
      <c r="AC13" s="31">
        <f t="shared" si="13"/>
        <v>0.143212056</v>
      </c>
      <c r="AD13" s="31">
        <f t="shared" si="14"/>
        <v>0.11342038933333332</v>
      </c>
    </row>
    <row r="14" spans="1:30" ht="15" thickBot="1" x14ac:dyDescent="0.35">
      <c r="A14" s="15">
        <v>75</v>
      </c>
      <c r="B14" s="7" t="s">
        <v>12</v>
      </c>
      <c r="C14" s="22" t="s">
        <v>23</v>
      </c>
      <c r="D14" s="23">
        <v>200000</v>
      </c>
      <c r="E14" s="24">
        <v>0.03</v>
      </c>
      <c r="F14" s="25">
        <v>12</v>
      </c>
      <c r="G14" s="26">
        <f t="shared" si="4"/>
        <v>12.36</v>
      </c>
      <c r="H14" s="27">
        <f t="shared" si="5"/>
        <v>2472</v>
      </c>
      <c r="I14" s="27">
        <f>C26</f>
        <v>2.08</v>
      </c>
      <c r="J14" s="89">
        <f t="shared" si="6"/>
        <v>5141.76</v>
      </c>
      <c r="K14" s="84">
        <f>E36</f>
        <v>1.1438383838383839E-3</v>
      </c>
      <c r="L14" s="28">
        <f t="shared" si="0"/>
        <v>228.76767676767679</v>
      </c>
      <c r="M14" s="29">
        <f>A18*B18</f>
        <v>128</v>
      </c>
      <c r="N14" s="29">
        <f>C18</f>
        <v>450</v>
      </c>
      <c r="O14" s="29">
        <f>E18+F18*D18</f>
        <v>17.5</v>
      </c>
      <c r="P14" s="29">
        <f t="shared" si="1"/>
        <v>444.44444444444446</v>
      </c>
      <c r="Q14" s="28">
        <f t="shared" si="7"/>
        <v>7777.7777777777783</v>
      </c>
      <c r="R14" s="26">
        <f t="shared" si="8"/>
        <v>13276.305454545454</v>
      </c>
      <c r="S14" s="26">
        <f>G18</f>
        <v>0.3</v>
      </c>
      <c r="T14" s="26">
        <f t="shared" si="9"/>
        <v>17259.197090909089</v>
      </c>
      <c r="U14" s="27">
        <f t="shared" si="2"/>
        <v>8.6295985454545449E-2</v>
      </c>
      <c r="V14" s="78">
        <f>E19+F19*D19</f>
        <v>11.25</v>
      </c>
      <c r="W14" s="78">
        <f t="shared" si="10"/>
        <v>5000</v>
      </c>
      <c r="X14" s="92">
        <f t="shared" si="11"/>
        <v>10498.527676767677</v>
      </c>
      <c r="Y14" s="78">
        <f>G18</f>
        <v>0.3</v>
      </c>
      <c r="Z14" s="26">
        <f t="shared" si="12"/>
        <v>13648.085979797979</v>
      </c>
      <c r="AA14" s="78">
        <f t="shared" si="3"/>
        <v>6.8240429898989902E-2</v>
      </c>
      <c r="AB14" s="30">
        <v>60</v>
      </c>
      <c r="AC14" s="32">
        <f t="shared" si="13"/>
        <v>0.13807357672727272</v>
      </c>
      <c r="AD14" s="32">
        <f t="shared" si="14"/>
        <v>0.10918468783838384</v>
      </c>
    </row>
    <row r="15" spans="1:30" ht="14.4" thickBot="1" x14ac:dyDescent="0.35"/>
    <row r="16" spans="1:30" x14ac:dyDescent="0.3">
      <c r="A16" s="33" t="s">
        <v>27</v>
      </c>
      <c r="B16" s="34"/>
      <c r="C16" s="34"/>
      <c r="D16" s="34"/>
      <c r="E16" s="34"/>
      <c r="F16" s="34"/>
      <c r="G16" s="35"/>
      <c r="AC16" s="80"/>
    </row>
    <row r="17" spans="1:12" x14ac:dyDescent="0.3">
      <c r="A17" s="36" t="s">
        <v>28</v>
      </c>
      <c r="B17" s="37" t="s">
        <v>29</v>
      </c>
      <c r="C17" s="37" t="s">
        <v>30</v>
      </c>
      <c r="D17" s="37" t="s">
        <v>31</v>
      </c>
      <c r="E17" s="37" t="s">
        <v>32</v>
      </c>
      <c r="F17" s="37" t="s">
        <v>33</v>
      </c>
      <c r="G17" s="38" t="s">
        <v>34</v>
      </c>
      <c r="J17" s="39"/>
      <c r="K17" s="85"/>
      <c r="L17" s="14" t="s">
        <v>59</v>
      </c>
    </row>
    <row r="18" spans="1:12" ht="14.4" thickBot="1" x14ac:dyDescent="0.35">
      <c r="A18" s="40">
        <v>4</v>
      </c>
      <c r="B18" s="41">
        <v>32</v>
      </c>
      <c r="C18" s="41">
        <v>450</v>
      </c>
      <c r="D18" s="41">
        <v>0.5</v>
      </c>
      <c r="E18" s="41">
        <v>5</v>
      </c>
      <c r="F18" s="42">
        <v>25</v>
      </c>
      <c r="G18" s="43">
        <v>0.3</v>
      </c>
    </row>
    <row r="19" spans="1:12" ht="14.4" thickBot="1" x14ac:dyDescent="0.35">
      <c r="A19" s="40">
        <v>4</v>
      </c>
      <c r="B19" s="41">
        <v>32</v>
      </c>
      <c r="C19" s="41">
        <v>450</v>
      </c>
      <c r="D19" s="41">
        <v>0.25</v>
      </c>
      <c r="E19" s="41">
        <v>5</v>
      </c>
      <c r="F19" s="42">
        <v>25</v>
      </c>
      <c r="G19" s="43">
        <v>0.3</v>
      </c>
    </row>
    <row r="20" spans="1:12" ht="14.4" thickBot="1" x14ac:dyDescent="0.35">
      <c r="J20" s="44"/>
      <c r="K20" s="86"/>
      <c r="L20" s="14" t="s">
        <v>60</v>
      </c>
    </row>
    <row r="21" spans="1:12" x14ac:dyDescent="0.3">
      <c r="A21" s="45" t="s">
        <v>35</v>
      </c>
      <c r="B21" s="46"/>
      <c r="C21" s="46" t="s">
        <v>36</v>
      </c>
      <c r="D21" s="47" t="s">
        <v>37</v>
      </c>
    </row>
    <row r="22" spans="1:12" x14ac:dyDescent="0.3">
      <c r="A22" s="48" t="s">
        <v>40</v>
      </c>
      <c r="B22" s="49">
        <v>2</v>
      </c>
      <c r="C22" s="50">
        <v>96</v>
      </c>
      <c r="D22" s="51"/>
    </row>
    <row r="23" spans="1:12" x14ac:dyDescent="0.3">
      <c r="A23" s="48" t="s">
        <v>40</v>
      </c>
      <c r="B23" s="49">
        <v>4</v>
      </c>
      <c r="C23" s="50">
        <v>4</v>
      </c>
      <c r="D23" s="51"/>
    </row>
    <row r="24" spans="1:12" x14ac:dyDescent="0.3">
      <c r="A24" s="48" t="s">
        <v>40</v>
      </c>
      <c r="B24" s="49">
        <v>0</v>
      </c>
      <c r="C24" s="50"/>
      <c r="D24" s="51"/>
    </row>
    <row r="25" spans="1:12" ht="14.4" thickBot="1" x14ac:dyDescent="0.35">
      <c r="A25" s="48" t="s">
        <v>44</v>
      </c>
      <c r="B25" s="49">
        <v>0</v>
      </c>
      <c r="C25" s="50"/>
      <c r="D25" s="51"/>
    </row>
    <row r="26" spans="1:12" ht="14.4" thickBot="1" x14ac:dyDescent="0.35">
      <c r="A26" s="52" t="s">
        <v>45</v>
      </c>
      <c r="B26" s="53">
        <f>SUM(B22:B25)</f>
        <v>6</v>
      </c>
      <c r="C26" s="54">
        <f>(B22*C22/100)+(B23*C23/100)+(B24*C24/100)+(B25*C25/100)</f>
        <v>2.08</v>
      </c>
      <c r="D26" s="55" t="s">
        <v>62</v>
      </c>
    </row>
    <row r="27" spans="1:12" ht="14.4" thickBot="1" x14ac:dyDescent="0.35"/>
    <row r="28" spans="1:12" x14ac:dyDescent="0.3">
      <c r="A28" s="56" t="s">
        <v>38</v>
      </c>
      <c r="B28" s="57"/>
      <c r="C28" s="58"/>
      <c r="D28" s="59" t="s">
        <v>39</v>
      </c>
      <c r="E28" s="60" t="s">
        <v>97</v>
      </c>
    </row>
    <row r="29" spans="1:12" x14ac:dyDescent="0.3">
      <c r="A29" s="61" t="s">
        <v>42</v>
      </c>
      <c r="B29" s="62">
        <v>1100</v>
      </c>
      <c r="C29" s="63"/>
      <c r="D29" s="64"/>
      <c r="E29" s="65"/>
    </row>
    <row r="30" spans="1:12" x14ac:dyDescent="0.3">
      <c r="A30" s="61" t="s">
        <v>86</v>
      </c>
      <c r="B30" s="62">
        <v>9</v>
      </c>
      <c r="C30" s="63" t="s">
        <v>41</v>
      </c>
      <c r="D30" s="66">
        <v>0.68100000000000005</v>
      </c>
      <c r="E30" s="65">
        <f>D30*B30</f>
        <v>6.1290000000000004</v>
      </c>
    </row>
    <row r="31" spans="1:12" x14ac:dyDescent="0.3">
      <c r="A31" s="61" t="s">
        <v>87</v>
      </c>
      <c r="B31" s="62">
        <f>B30*B29</f>
        <v>9900</v>
      </c>
      <c r="C31" s="67"/>
      <c r="D31" s="68"/>
      <c r="E31" s="65"/>
    </row>
    <row r="32" spans="1:12" x14ac:dyDescent="0.3">
      <c r="A32" s="61" t="s">
        <v>88</v>
      </c>
      <c r="B32" s="62">
        <v>9</v>
      </c>
      <c r="C32" s="63" t="s">
        <v>43</v>
      </c>
      <c r="D32" s="69">
        <v>0.13800000000000001</v>
      </c>
      <c r="E32" s="65">
        <f>D32*B32</f>
        <v>1.242</v>
      </c>
    </row>
    <row r="33" spans="1:5" x14ac:dyDescent="0.3">
      <c r="A33" s="61" t="s">
        <v>46</v>
      </c>
      <c r="B33" s="62">
        <f>B32*5</f>
        <v>45</v>
      </c>
      <c r="C33" s="63" t="s">
        <v>47</v>
      </c>
      <c r="D33" s="66">
        <v>4.3400000000000001E-2</v>
      </c>
      <c r="E33" s="65">
        <f>D33*B33</f>
        <v>1.9530000000000001</v>
      </c>
    </row>
    <row r="34" spans="1:5" ht="14.4" thickBot="1" x14ac:dyDescent="0.35">
      <c r="A34" s="70" t="s">
        <v>48</v>
      </c>
      <c r="B34" s="71" t="s">
        <v>49</v>
      </c>
      <c r="C34" s="72" t="s">
        <v>50</v>
      </c>
      <c r="D34" s="73">
        <v>2</v>
      </c>
      <c r="E34" s="74">
        <f>D34</f>
        <v>2</v>
      </c>
    </row>
    <row r="35" spans="1:5" ht="14.4" thickBot="1" x14ac:dyDescent="0.35">
      <c r="E35" s="75">
        <f>SUM(E29:E34)</f>
        <v>11.324</v>
      </c>
    </row>
    <row r="36" spans="1:5" ht="14.4" thickBot="1" x14ac:dyDescent="0.35">
      <c r="D36" s="76" t="s">
        <v>98</v>
      </c>
      <c r="E36" s="77">
        <f>E35/B31</f>
        <v>1.1438383838383839E-3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68AB5-3E53-4EDC-87CA-96CBC2ECC7A2}">
  <dimension ref="A2:AD36"/>
  <sheetViews>
    <sheetView topLeftCell="N1" workbookViewId="0">
      <selection activeCell="V12" sqref="V12"/>
    </sheetView>
  </sheetViews>
  <sheetFormatPr defaultColWidth="9.109375" defaultRowHeight="13.8" x14ac:dyDescent="0.3"/>
  <cols>
    <col min="1" max="1" width="28.6640625" style="14" bestFit="1" customWidth="1"/>
    <col min="2" max="2" width="10.109375" style="14" bestFit="1" customWidth="1"/>
    <col min="3" max="3" width="21" style="14" bestFit="1" customWidth="1"/>
    <col min="4" max="4" width="12.44140625" style="14" bestFit="1" customWidth="1"/>
    <col min="5" max="5" width="21" style="14" bestFit="1" customWidth="1"/>
    <col min="6" max="6" width="14.88671875" style="14" bestFit="1" customWidth="1"/>
    <col min="7" max="7" width="23.5546875" style="14" bestFit="1" customWidth="1"/>
    <col min="8" max="8" width="18.6640625" style="14" customWidth="1"/>
    <col min="9" max="9" width="0.109375" style="14" customWidth="1"/>
    <col min="10" max="10" width="9.5546875" style="14" bestFit="1" customWidth="1"/>
    <col min="11" max="11" width="15.33203125" style="82" customWidth="1"/>
    <col min="12" max="12" width="17.5546875" style="14" bestFit="1" customWidth="1"/>
    <col min="13" max="13" width="19.33203125" style="14" customWidth="1"/>
    <col min="14" max="14" width="9.109375" style="14" customWidth="1"/>
    <col min="15" max="15" width="22.88671875" style="14" customWidth="1"/>
    <col min="16" max="16" width="11.88671875" style="14" customWidth="1"/>
    <col min="17" max="17" width="23.5546875" style="14" bestFit="1" customWidth="1"/>
    <col min="18" max="18" width="24.33203125" style="14" customWidth="1"/>
    <col min="19" max="19" width="11" style="14" customWidth="1"/>
    <col min="20" max="20" width="35.5546875" style="14" bestFit="1" customWidth="1"/>
    <col min="21" max="21" width="14.6640625" style="14" bestFit="1" customWidth="1"/>
    <col min="22" max="27" width="14.6640625" style="14" customWidth="1"/>
    <col min="28" max="28" width="16.5546875" style="14" bestFit="1" customWidth="1"/>
    <col min="29" max="29" width="17.44140625" style="14" bestFit="1" customWidth="1"/>
    <col min="30" max="30" width="11.88671875" style="14" bestFit="1" customWidth="1"/>
    <col min="31" max="16384" width="9.109375" style="14"/>
  </cols>
  <sheetData>
    <row r="2" spans="1:30" ht="14.4" thickBot="1" x14ac:dyDescent="0.35"/>
    <row r="3" spans="1:30" ht="74.25" customHeight="1" thickBot="1" x14ac:dyDescent="0.35">
      <c r="A3" s="15" t="s">
        <v>57</v>
      </c>
      <c r="B3" s="15" t="s">
        <v>24</v>
      </c>
      <c r="C3" s="15" t="s">
        <v>25</v>
      </c>
      <c r="D3" s="15" t="s">
        <v>26</v>
      </c>
      <c r="E3" s="15" t="s">
        <v>55</v>
      </c>
      <c r="F3" s="15" t="s">
        <v>58</v>
      </c>
      <c r="G3" s="16" t="s">
        <v>51</v>
      </c>
      <c r="H3" s="17" t="s">
        <v>52</v>
      </c>
      <c r="I3" s="17" t="s">
        <v>61</v>
      </c>
      <c r="J3" s="90" t="s">
        <v>53</v>
      </c>
      <c r="K3" s="83" t="s">
        <v>99</v>
      </c>
      <c r="L3" s="18" t="s">
        <v>96</v>
      </c>
      <c r="M3" s="19" t="s">
        <v>54</v>
      </c>
      <c r="N3" s="19" t="s">
        <v>100</v>
      </c>
      <c r="O3" s="19" t="s">
        <v>108</v>
      </c>
      <c r="P3" s="19" t="s">
        <v>101</v>
      </c>
      <c r="Q3" s="91" t="s">
        <v>116</v>
      </c>
      <c r="R3" s="87" t="s">
        <v>107</v>
      </c>
      <c r="S3" s="88" t="s">
        <v>102</v>
      </c>
      <c r="T3" s="87" t="s">
        <v>104</v>
      </c>
      <c r="U3" s="87" t="s">
        <v>105</v>
      </c>
      <c r="V3" s="19" t="s">
        <v>109</v>
      </c>
      <c r="W3" s="20" t="s">
        <v>110</v>
      </c>
      <c r="X3" s="20"/>
      <c r="Y3" s="20"/>
      <c r="Z3" s="20" t="s">
        <v>111</v>
      </c>
      <c r="AA3" s="20" t="s">
        <v>112</v>
      </c>
      <c r="AB3" s="20" t="s">
        <v>103</v>
      </c>
      <c r="AC3" s="79" t="s">
        <v>106</v>
      </c>
      <c r="AD3" s="21" t="s">
        <v>113</v>
      </c>
    </row>
    <row r="4" spans="1:30" ht="14.4" x14ac:dyDescent="0.3">
      <c r="A4" s="15">
        <v>75</v>
      </c>
      <c r="B4" s="7" t="s">
        <v>2</v>
      </c>
      <c r="C4" s="22" t="s">
        <v>13</v>
      </c>
      <c r="D4" s="23">
        <v>2000</v>
      </c>
      <c r="E4" s="24">
        <v>0.1</v>
      </c>
      <c r="F4" s="25">
        <v>12</v>
      </c>
      <c r="G4" s="26">
        <f>F4+F4*E4</f>
        <v>13.2</v>
      </c>
      <c r="H4" s="27">
        <f>(G4*D4)/1000</f>
        <v>26.4</v>
      </c>
      <c r="I4" s="27">
        <f>C26</f>
        <v>2.52</v>
      </c>
      <c r="J4" s="89">
        <f>H4*I4</f>
        <v>66.527999999999992</v>
      </c>
      <c r="K4" s="84">
        <f>E36</f>
        <v>1.1438383838383839E-3</v>
      </c>
      <c r="L4" s="28">
        <f t="shared" ref="L4:L14" si="0">K4*D4</f>
        <v>2.2876767676767678</v>
      </c>
      <c r="M4" s="29">
        <f>A18*B18</f>
        <v>128</v>
      </c>
      <c r="N4" s="29">
        <f>C18</f>
        <v>450</v>
      </c>
      <c r="O4" s="29">
        <f>E18+F18*D18</f>
        <v>17.5</v>
      </c>
      <c r="P4" s="29">
        <f t="shared" ref="P4:P14" si="1">D4/N4</f>
        <v>4.4444444444444446</v>
      </c>
      <c r="Q4" s="28">
        <f>O4*P4</f>
        <v>77.777777777777786</v>
      </c>
      <c r="R4" s="26">
        <f>Q4+L4+J4+M4</f>
        <v>274.59345454545456</v>
      </c>
      <c r="S4" s="26">
        <f>G18</f>
        <v>0.3</v>
      </c>
      <c r="T4" s="26">
        <f>R4+R4*S4</f>
        <v>356.9714909090909</v>
      </c>
      <c r="U4" s="27">
        <f t="shared" ref="U4:U14" si="2">T4/D4</f>
        <v>0.17848574545454546</v>
      </c>
      <c r="V4" s="78">
        <f>E19+F19*D19</f>
        <v>11.25</v>
      </c>
      <c r="W4" s="78">
        <f>V4*P4</f>
        <v>50</v>
      </c>
      <c r="X4" s="92">
        <f>W4+M4+L4+J4</f>
        <v>246.81567676767676</v>
      </c>
      <c r="Y4" s="78">
        <f>G18</f>
        <v>0.3</v>
      </c>
      <c r="Z4" s="26">
        <f>X4+X4*Y4</f>
        <v>320.86037979797982</v>
      </c>
      <c r="AA4" s="78">
        <f t="shared" ref="AA4:AA14" si="3">Z4/D4</f>
        <v>0.16043018989898991</v>
      </c>
      <c r="AB4" s="30">
        <v>180</v>
      </c>
      <c r="AC4" s="81">
        <f>U4*2+(U4*2*80/100)</f>
        <v>0.64254868363636364</v>
      </c>
      <c r="AD4" s="81">
        <f>AA4*2+(AA4*2*80/100)</f>
        <v>0.57754868363636369</v>
      </c>
    </row>
    <row r="5" spans="1:30" ht="14.4" x14ac:dyDescent="0.3">
      <c r="A5" s="15">
        <v>75</v>
      </c>
      <c r="B5" s="7" t="s">
        <v>3</v>
      </c>
      <c r="C5" s="22" t="s">
        <v>14</v>
      </c>
      <c r="D5" s="23">
        <v>4000</v>
      </c>
      <c r="E5" s="24">
        <v>0.1</v>
      </c>
      <c r="F5" s="25">
        <v>12</v>
      </c>
      <c r="G5" s="26">
        <f t="shared" ref="G5:G14" si="4">F5+F5*E5</f>
        <v>13.2</v>
      </c>
      <c r="H5" s="27">
        <f t="shared" ref="H5:H14" si="5">(G5*D5)/1000</f>
        <v>52.8</v>
      </c>
      <c r="I5" s="27">
        <f>C26</f>
        <v>2.52</v>
      </c>
      <c r="J5" s="89">
        <f t="shared" ref="J5:J14" si="6">H5*I5</f>
        <v>133.05599999999998</v>
      </c>
      <c r="K5" s="84">
        <f>E36</f>
        <v>1.1438383838383839E-3</v>
      </c>
      <c r="L5" s="28">
        <f t="shared" si="0"/>
        <v>4.5753535353535355</v>
      </c>
      <c r="M5" s="29">
        <f>A18*B18</f>
        <v>128</v>
      </c>
      <c r="N5" s="29">
        <f>C18</f>
        <v>450</v>
      </c>
      <c r="O5" s="29">
        <f>E18+F18*D18</f>
        <v>17.5</v>
      </c>
      <c r="P5" s="29">
        <f t="shared" si="1"/>
        <v>8.8888888888888893</v>
      </c>
      <c r="Q5" s="28">
        <f t="shared" ref="Q5:Q14" si="7">O5*P5</f>
        <v>155.55555555555557</v>
      </c>
      <c r="R5" s="26">
        <f t="shared" ref="R5:R14" si="8">Q5+L5+J5+M5</f>
        <v>421.18690909090913</v>
      </c>
      <c r="S5" s="26">
        <f>G18</f>
        <v>0.3</v>
      </c>
      <c r="T5" s="26">
        <f t="shared" ref="T5:T14" si="9">R5+R5*S5</f>
        <v>547.54298181818183</v>
      </c>
      <c r="U5" s="27">
        <f t="shared" si="2"/>
        <v>0.13688574545454546</v>
      </c>
      <c r="V5" s="78">
        <f>E19+F19*D19</f>
        <v>11.25</v>
      </c>
      <c r="W5" s="78">
        <f t="shared" ref="W5:W14" si="10">V5*P5</f>
        <v>100</v>
      </c>
      <c r="X5" s="92">
        <f t="shared" ref="X5:X14" si="11">W5+M5+L5+J5</f>
        <v>365.63135353535353</v>
      </c>
      <c r="Y5" s="78">
        <f>G18</f>
        <v>0.3</v>
      </c>
      <c r="Z5" s="26">
        <f t="shared" ref="Z5:Z14" si="12">X5+X5*Y5</f>
        <v>475.3207595959596</v>
      </c>
      <c r="AA5" s="78">
        <f t="shared" si="3"/>
        <v>0.1188301898989899</v>
      </c>
      <c r="AB5" s="30">
        <v>160</v>
      </c>
      <c r="AC5" s="31">
        <f>U5*2+(U5*2*80/100)</f>
        <v>0.49278868363636363</v>
      </c>
      <c r="AD5" s="31">
        <f>AA5*2+(AA5*2*80/100)</f>
        <v>0.42778868363636363</v>
      </c>
    </row>
    <row r="6" spans="1:30" ht="14.4" x14ac:dyDescent="0.3">
      <c r="A6" s="15">
        <v>75</v>
      </c>
      <c r="B6" s="7" t="s">
        <v>4</v>
      </c>
      <c r="C6" s="22" t="s">
        <v>15</v>
      </c>
      <c r="D6" s="23">
        <v>7500</v>
      </c>
      <c r="E6" s="24">
        <v>7.0000000000000007E-2</v>
      </c>
      <c r="F6" s="25">
        <v>12</v>
      </c>
      <c r="G6" s="26">
        <f t="shared" si="4"/>
        <v>12.84</v>
      </c>
      <c r="H6" s="27">
        <f t="shared" si="5"/>
        <v>96.3</v>
      </c>
      <c r="I6" s="27">
        <f>C26</f>
        <v>2.52</v>
      </c>
      <c r="J6" s="89">
        <f t="shared" si="6"/>
        <v>242.67599999999999</v>
      </c>
      <c r="K6" s="84">
        <f>E36</f>
        <v>1.1438383838383839E-3</v>
      </c>
      <c r="L6" s="28">
        <f t="shared" si="0"/>
        <v>8.57878787878788</v>
      </c>
      <c r="M6" s="29">
        <f>A18*B18</f>
        <v>128</v>
      </c>
      <c r="N6" s="29">
        <f>C18</f>
        <v>450</v>
      </c>
      <c r="O6" s="29">
        <f>E18+F18*D18</f>
        <v>17.5</v>
      </c>
      <c r="P6" s="29">
        <f t="shared" si="1"/>
        <v>16.666666666666668</v>
      </c>
      <c r="Q6" s="28">
        <f t="shared" si="7"/>
        <v>291.66666666666669</v>
      </c>
      <c r="R6" s="26">
        <f t="shared" si="8"/>
        <v>670.92145454545448</v>
      </c>
      <c r="S6" s="26">
        <f>G18</f>
        <v>0.3</v>
      </c>
      <c r="T6" s="26">
        <f t="shared" si="9"/>
        <v>872.1978909090908</v>
      </c>
      <c r="U6" s="27">
        <f t="shared" si="2"/>
        <v>0.1162930521212121</v>
      </c>
      <c r="V6" s="78">
        <f>E19+F19*D19</f>
        <v>11.25</v>
      </c>
      <c r="W6" s="78">
        <f t="shared" si="10"/>
        <v>187.5</v>
      </c>
      <c r="X6" s="92">
        <f t="shared" si="11"/>
        <v>566.75478787878785</v>
      </c>
      <c r="Y6" s="78">
        <f>G18</f>
        <v>0.3</v>
      </c>
      <c r="Z6" s="26">
        <f t="shared" si="12"/>
        <v>736.78122424242417</v>
      </c>
      <c r="AA6" s="78">
        <f t="shared" si="3"/>
        <v>9.8237496565656557E-2</v>
      </c>
      <c r="AB6" s="30">
        <v>140</v>
      </c>
      <c r="AC6" s="31">
        <f>U6*2+(U6*2*80/100)</f>
        <v>0.41865498763636355</v>
      </c>
      <c r="AD6" s="31">
        <f>AA6*2+(AA6*2*80/100)</f>
        <v>0.3536549876363636</v>
      </c>
    </row>
    <row r="7" spans="1:30" ht="14.4" x14ac:dyDescent="0.3">
      <c r="A7" s="15">
        <v>75</v>
      </c>
      <c r="B7" s="7" t="s">
        <v>5</v>
      </c>
      <c r="C7" s="22" t="s">
        <v>16</v>
      </c>
      <c r="D7" s="23">
        <v>12500</v>
      </c>
      <c r="E7" s="24">
        <v>7.0000000000000007E-2</v>
      </c>
      <c r="F7" s="25">
        <v>12</v>
      </c>
      <c r="G7" s="26">
        <f t="shared" si="4"/>
        <v>12.84</v>
      </c>
      <c r="H7" s="27">
        <f t="shared" si="5"/>
        <v>160.5</v>
      </c>
      <c r="I7" s="27">
        <f>C26</f>
        <v>2.52</v>
      </c>
      <c r="J7" s="89">
        <f t="shared" si="6"/>
        <v>404.46</v>
      </c>
      <c r="K7" s="84">
        <f>E36</f>
        <v>1.1438383838383839E-3</v>
      </c>
      <c r="L7" s="28">
        <f t="shared" si="0"/>
        <v>14.297979797979799</v>
      </c>
      <c r="M7" s="29">
        <f>A18*B18</f>
        <v>128</v>
      </c>
      <c r="N7" s="29">
        <f>C18</f>
        <v>450</v>
      </c>
      <c r="O7" s="29">
        <f>E18+F18*D18</f>
        <v>17.5</v>
      </c>
      <c r="P7" s="29">
        <f t="shared" si="1"/>
        <v>27.777777777777779</v>
      </c>
      <c r="Q7" s="28">
        <f t="shared" si="7"/>
        <v>486.11111111111114</v>
      </c>
      <c r="R7" s="26">
        <f t="shared" si="8"/>
        <v>1032.869090909091</v>
      </c>
      <c r="S7" s="26">
        <f>G18</f>
        <v>0.3</v>
      </c>
      <c r="T7" s="26">
        <f t="shared" si="9"/>
        <v>1342.7298181818182</v>
      </c>
      <c r="U7" s="27">
        <f t="shared" si="2"/>
        <v>0.10741838545454546</v>
      </c>
      <c r="V7" s="78">
        <f>E19+F19*D19</f>
        <v>11.25</v>
      </c>
      <c r="W7" s="78">
        <f t="shared" si="10"/>
        <v>312.5</v>
      </c>
      <c r="X7" s="92">
        <f t="shared" si="11"/>
        <v>859.25797979797971</v>
      </c>
      <c r="Y7" s="78">
        <f>G18</f>
        <v>0.3</v>
      </c>
      <c r="Z7" s="26">
        <f t="shared" si="12"/>
        <v>1117.0353737373737</v>
      </c>
      <c r="AA7" s="78">
        <f t="shared" si="3"/>
        <v>8.9362829898989887E-2</v>
      </c>
      <c r="AB7" s="30">
        <v>85</v>
      </c>
      <c r="AC7" s="31">
        <f>U7+U7*AB7/100</f>
        <v>0.19872401309090909</v>
      </c>
      <c r="AD7" s="31">
        <f>AA7+AA7*AB7/100</f>
        <v>0.16532123531313128</v>
      </c>
    </row>
    <row r="8" spans="1:30" ht="14.4" x14ac:dyDescent="0.3">
      <c r="A8" s="15">
        <v>75</v>
      </c>
      <c r="B8" s="7" t="s">
        <v>6</v>
      </c>
      <c r="C8" s="22" t="s">
        <v>17</v>
      </c>
      <c r="D8" s="23">
        <v>17500</v>
      </c>
      <c r="E8" s="24">
        <v>7.0000000000000007E-2</v>
      </c>
      <c r="F8" s="25">
        <v>12</v>
      </c>
      <c r="G8" s="26">
        <f t="shared" si="4"/>
        <v>12.84</v>
      </c>
      <c r="H8" s="27">
        <f t="shared" si="5"/>
        <v>224.7</v>
      </c>
      <c r="I8" s="27">
        <f>C26</f>
        <v>2.52</v>
      </c>
      <c r="J8" s="89">
        <f t="shared" si="6"/>
        <v>566.24400000000003</v>
      </c>
      <c r="K8" s="84">
        <f>E36</f>
        <v>1.1438383838383839E-3</v>
      </c>
      <c r="L8" s="28">
        <f t="shared" si="0"/>
        <v>20.017171717171717</v>
      </c>
      <c r="M8" s="29">
        <f>A18*B18</f>
        <v>128</v>
      </c>
      <c r="N8" s="29">
        <f>C18</f>
        <v>450</v>
      </c>
      <c r="O8" s="29">
        <f>E18+F18*D18</f>
        <v>17.5</v>
      </c>
      <c r="P8" s="29">
        <f t="shared" si="1"/>
        <v>38.888888888888886</v>
      </c>
      <c r="Q8" s="28">
        <f t="shared" si="7"/>
        <v>680.55555555555554</v>
      </c>
      <c r="R8" s="26">
        <f t="shared" si="8"/>
        <v>1394.8167272727273</v>
      </c>
      <c r="S8" s="26">
        <f>G18</f>
        <v>0.3</v>
      </c>
      <c r="T8" s="26">
        <f t="shared" si="9"/>
        <v>1813.2617454545455</v>
      </c>
      <c r="U8" s="27">
        <f t="shared" si="2"/>
        <v>0.10361495688311688</v>
      </c>
      <c r="V8" s="78">
        <f>E19+F19*D19</f>
        <v>11.25</v>
      </c>
      <c r="W8" s="78">
        <f t="shared" si="10"/>
        <v>437.49999999999994</v>
      </c>
      <c r="X8" s="92">
        <f t="shared" si="11"/>
        <v>1151.7611717171717</v>
      </c>
      <c r="Y8" s="78">
        <f>G18</f>
        <v>0.3</v>
      </c>
      <c r="Z8" s="26">
        <f t="shared" si="12"/>
        <v>1497.2895232323231</v>
      </c>
      <c r="AA8" s="78">
        <f t="shared" si="3"/>
        <v>8.5559401327561319E-2</v>
      </c>
      <c r="AB8" s="30">
        <v>80</v>
      </c>
      <c r="AC8" s="31">
        <f t="shared" ref="AC8:AC14" si="13">U8+U8*AB8/100</f>
        <v>0.18650692238961039</v>
      </c>
      <c r="AD8" s="31">
        <f t="shared" ref="AD8:AD14" si="14">AA8+AA8*AB8/100</f>
        <v>0.15400692238961039</v>
      </c>
    </row>
    <row r="9" spans="1:30" ht="14.4" x14ac:dyDescent="0.3">
      <c r="A9" s="15">
        <v>75</v>
      </c>
      <c r="B9" s="7" t="s">
        <v>7</v>
      </c>
      <c r="C9" s="22" t="s">
        <v>18</v>
      </c>
      <c r="D9" s="23">
        <v>25000</v>
      </c>
      <c r="E9" s="24">
        <v>0.05</v>
      </c>
      <c r="F9" s="25">
        <v>12</v>
      </c>
      <c r="G9" s="26">
        <f t="shared" si="4"/>
        <v>12.6</v>
      </c>
      <c r="H9" s="27">
        <f t="shared" si="5"/>
        <v>315</v>
      </c>
      <c r="I9" s="27">
        <f>C26</f>
        <v>2.52</v>
      </c>
      <c r="J9" s="89">
        <f t="shared" si="6"/>
        <v>793.8</v>
      </c>
      <c r="K9" s="84">
        <f>E36</f>
        <v>1.1438383838383839E-3</v>
      </c>
      <c r="L9" s="28">
        <f t="shared" si="0"/>
        <v>28.595959595959599</v>
      </c>
      <c r="M9" s="29">
        <f>A18*B18</f>
        <v>128</v>
      </c>
      <c r="N9" s="29">
        <f>C18</f>
        <v>450</v>
      </c>
      <c r="O9" s="29">
        <f>E18+F18*D18</f>
        <v>17.5</v>
      </c>
      <c r="P9" s="29">
        <f t="shared" si="1"/>
        <v>55.555555555555557</v>
      </c>
      <c r="Q9" s="28">
        <f t="shared" si="7"/>
        <v>972.22222222222229</v>
      </c>
      <c r="R9" s="26">
        <f t="shared" si="8"/>
        <v>1922.6181818181817</v>
      </c>
      <c r="S9" s="26">
        <f>G18</f>
        <v>0.3</v>
      </c>
      <c r="T9" s="26">
        <f t="shared" si="9"/>
        <v>2499.403636363636</v>
      </c>
      <c r="U9" s="27">
        <f t="shared" si="2"/>
        <v>9.9976145454545445E-2</v>
      </c>
      <c r="V9" s="78">
        <f>E19+F19*D19</f>
        <v>11.25</v>
      </c>
      <c r="W9" s="78">
        <f t="shared" si="10"/>
        <v>625</v>
      </c>
      <c r="X9" s="92">
        <f t="shared" si="11"/>
        <v>1575.3959595959595</v>
      </c>
      <c r="Y9" s="78">
        <f>G18</f>
        <v>0.3</v>
      </c>
      <c r="Z9" s="26">
        <f t="shared" si="12"/>
        <v>2048.0147474747473</v>
      </c>
      <c r="AA9" s="78">
        <f t="shared" si="3"/>
        <v>8.1920589898989898E-2</v>
      </c>
      <c r="AB9" s="30">
        <v>75</v>
      </c>
      <c r="AC9" s="31">
        <f t="shared" si="13"/>
        <v>0.17495825454545455</v>
      </c>
      <c r="AD9" s="31">
        <f t="shared" si="14"/>
        <v>0.14336103232323233</v>
      </c>
    </row>
    <row r="10" spans="1:30" ht="14.4" x14ac:dyDescent="0.3">
      <c r="A10" s="15">
        <v>75</v>
      </c>
      <c r="B10" s="7" t="s">
        <v>8</v>
      </c>
      <c r="C10" s="22" t="s">
        <v>19</v>
      </c>
      <c r="D10" s="23">
        <v>35000</v>
      </c>
      <c r="E10" s="24">
        <v>0.05</v>
      </c>
      <c r="F10" s="25">
        <v>12</v>
      </c>
      <c r="G10" s="26">
        <f t="shared" si="4"/>
        <v>12.6</v>
      </c>
      <c r="H10" s="27">
        <f t="shared" si="5"/>
        <v>441</v>
      </c>
      <c r="I10" s="27">
        <f>C26</f>
        <v>2.52</v>
      </c>
      <c r="J10" s="89">
        <f t="shared" si="6"/>
        <v>1111.32</v>
      </c>
      <c r="K10" s="84">
        <f>E36</f>
        <v>1.1438383838383839E-3</v>
      </c>
      <c r="L10" s="28">
        <f t="shared" si="0"/>
        <v>40.034343434343434</v>
      </c>
      <c r="M10" s="29">
        <f>A18*B18</f>
        <v>128</v>
      </c>
      <c r="N10" s="29">
        <f>C18</f>
        <v>450</v>
      </c>
      <c r="O10" s="29">
        <f>E18+F18*D18</f>
        <v>17.5</v>
      </c>
      <c r="P10" s="29">
        <f t="shared" si="1"/>
        <v>77.777777777777771</v>
      </c>
      <c r="Q10" s="28">
        <f t="shared" si="7"/>
        <v>1361.1111111111111</v>
      </c>
      <c r="R10" s="26">
        <f t="shared" si="8"/>
        <v>2640.4654545454541</v>
      </c>
      <c r="S10" s="26">
        <f>G18</f>
        <v>0.3</v>
      </c>
      <c r="T10" s="26">
        <f t="shared" si="9"/>
        <v>3432.6050909090904</v>
      </c>
      <c r="U10" s="27">
        <f t="shared" si="2"/>
        <v>9.8074431168831161E-2</v>
      </c>
      <c r="V10" s="78">
        <f>E19+F19*D19</f>
        <v>11.25</v>
      </c>
      <c r="W10" s="78">
        <f t="shared" si="10"/>
        <v>874.99999999999989</v>
      </c>
      <c r="X10" s="92">
        <f t="shared" si="11"/>
        <v>2154.3543434343433</v>
      </c>
      <c r="Y10" s="78">
        <f>G18</f>
        <v>0.3</v>
      </c>
      <c r="Z10" s="26">
        <f t="shared" si="12"/>
        <v>2800.6606464646461</v>
      </c>
      <c r="AA10" s="78">
        <f t="shared" si="3"/>
        <v>8.00188756132756E-2</v>
      </c>
      <c r="AB10" s="30">
        <v>75</v>
      </c>
      <c r="AC10" s="31">
        <f t="shared" si="13"/>
        <v>0.17163025454545455</v>
      </c>
      <c r="AD10" s="31">
        <f t="shared" si="14"/>
        <v>0.1400330323232323</v>
      </c>
    </row>
    <row r="11" spans="1:30" ht="14.4" x14ac:dyDescent="0.3">
      <c r="A11" s="15">
        <v>75</v>
      </c>
      <c r="B11" s="7" t="s">
        <v>9</v>
      </c>
      <c r="C11" s="22" t="s">
        <v>20</v>
      </c>
      <c r="D11" s="23">
        <v>45000</v>
      </c>
      <c r="E11" s="24">
        <v>0.05</v>
      </c>
      <c r="F11" s="25">
        <v>12</v>
      </c>
      <c r="G11" s="26">
        <f t="shared" si="4"/>
        <v>12.6</v>
      </c>
      <c r="H11" s="27">
        <f t="shared" si="5"/>
        <v>567</v>
      </c>
      <c r="I11" s="27">
        <f>C26</f>
        <v>2.52</v>
      </c>
      <c r="J11" s="89">
        <f t="shared" si="6"/>
        <v>1428.84</v>
      </c>
      <c r="K11" s="84">
        <f>E36</f>
        <v>1.1438383838383839E-3</v>
      </c>
      <c r="L11" s="28">
        <f t="shared" si="0"/>
        <v>51.472727272727276</v>
      </c>
      <c r="M11" s="29">
        <f>A18*B18</f>
        <v>128</v>
      </c>
      <c r="N11" s="29">
        <f>C18</f>
        <v>450</v>
      </c>
      <c r="O11" s="29">
        <f>E18+F18*D18</f>
        <v>17.5</v>
      </c>
      <c r="P11" s="29">
        <f t="shared" si="1"/>
        <v>100</v>
      </c>
      <c r="Q11" s="28">
        <f t="shared" si="7"/>
        <v>1750</v>
      </c>
      <c r="R11" s="26">
        <f t="shared" si="8"/>
        <v>3358.312727272727</v>
      </c>
      <c r="S11" s="26">
        <f>G18</f>
        <v>0.3</v>
      </c>
      <c r="T11" s="26">
        <f t="shared" si="9"/>
        <v>4365.8065454545449</v>
      </c>
      <c r="U11" s="27">
        <f t="shared" si="2"/>
        <v>9.7017923232323222E-2</v>
      </c>
      <c r="V11" s="78">
        <f>E19+F19*D19</f>
        <v>11.25</v>
      </c>
      <c r="W11" s="78">
        <f t="shared" si="10"/>
        <v>1125</v>
      </c>
      <c r="X11" s="92">
        <f t="shared" si="11"/>
        <v>2733.312727272727</v>
      </c>
      <c r="Y11" s="78">
        <f>G18</f>
        <v>0.3</v>
      </c>
      <c r="Z11" s="26">
        <f t="shared" si="12"/>
        <v>3553.3065454545449</v>
      </c>
      <c r="AA11" s="78">
        <f t="shared" si="3"/>
        <v>7.8962367676767661E-2</v>
      </c>
      <c r="AB11" s="30">
        <v>70</v>
      </c>
      <c r="AC11" s="31">
        <f t="shared" si="13"/>
        <v>0.16493046949494949</v>
      </c>
      <c r="AD11" s="31">
        <f t="shared" si="14"/>
        <v>0.13423602505050503</v>
      </c>
    </row>
    <row r="12" spans="1:30" ht="14.4" x14ac:dyDescent="0.3">
      <c r="A12" s="15">
        <v>75</v>
      </c>
      <c r="B12" s="7" t="s">
        <v>10</v>
      </c>
      <c r="C12" s="22" t="s">
        <v>21</v>
      </c>
      <c r="D12" s="23">
        <v>75000</v>
      </c>
      <c r="E12" s="24">
        <v>0.05</v>
      </c>
      <c r="F12" s="25">
        <v>12</v>
      </c>
      <c r="G12" s="26">
        <f t="shared" si="4"/>
        <v>12.6</v>
      </c>
      <c r="H12" s="27">
        <f t="shared" si="5"/>
        <v>945</v>
      </c>
      <c r="I12" s="27">
        <f>C26</f>
        <v>2.52</v>
      </c>
      <c r="J12" s="89">
        <f t="shared" si="6"/>
        <v>2381.4</v>
      </c>
      <c r="K12" s="84">
        <f>E36</f>
        <v>1.1438383838383839E-3</v>
      </c>
      <c r="L12" s="28">
        <f t="shared" si="0"/>
        <v>85.787878787878796</v>
      </c>
      <c r="M12" s="29">
        <f>A18*B18</f>
        <v>128</v>
      </c>
      <c r="N12" s="29">
        <f>C18</f>
        <v>450</v>
      </c>
      <c r="O12" s="29">
        <f>E18+F18*D18</f>
        <v>17.5</v>
      </c>
      <c r="P12" s="29">
        <f t="shared" si="1"/>
        <v>166.66666666666666</v>
      </c>
      <c r="Q12" s="28">
        <f>O12*P12</f>
        <v>2916.6666666666665</v>
      </c>
      <c r="R12" s="26">
        <f t="shared" si="8"/>
        <v>5511.8545454545456</v>
      </c>
      <c r="S12" s="26">
        <f>G18</f>
        <v>0.3</v>
      </c>
      <c r="T12" s="26">
        <f t="shared" si="9"/>
        <v>7165.4109090909096</v>
      </c>
      <c r="U12" s="27">
        <f t="shared" si="2"/>
        <v>9.5538812121212124E-2</v>
      </c>
      <c r="V12" s="78">
        <f>E19+F19*D19</f>
        <v>11.25</v>
      </c>
      <c r="W12" s="78">
        <f t="shared" si="10"/>
        <v>1875</v>
      </c>
      <c r="X12" s="92">
        <f t="shared" si="11"/>
        <v>4470.1878787878795</v>
      </c>
      <c r="Y12" s="78">
        <f>G18</f>
        <v>0.3</v>
      </c>
      <c r="Z12" s="26">
        <f t="shared" si="12"/>
        <v>5811.2442424242436</v>
      </c>
      <c r="AA12" s="78">
        <f t="shared" si="3"/>
        <v>7.7483256565656577E-2</v>
      </c>
      <c r="AB12" s="30">
        <v>70</v>
      </c>
      <c r="AC12" s="31">
        <f t="shared" si="13"/>
        <v>0.16241598060606061</v>
      </c>
      <c r="AD12" s="31">
        <f t="shared" si="14"/>
        <v>0.13172153616161619</v>
      </c>
    </row>
    <row r="13" spans="1:30" ht="14.4" x14ac:dyDescent="0.3">
      <c r="A13" s="15">
        <v>75</v>
      </c>
      <c r="B13" s="7" t="s">
        <v>11</v>
      </c>
      <c r="C13" s="22" t="s">
        <v>22</v>
      </c>
      <c r="D13" s="23">
        <v>125000</v>
      </c>
      <c r="E13" s="24">
        <v>0.03</v>
      </c>
      <c r="F13" s="25">
        <v>12</v>
      </c>
      <c r="G13" s="26">
        <f t="shared" si="4"/>
        <v>12.36</v>
      </c>
      <c r="H13" s="27">
        <f t="shared" si="5"/>
        <v>1545</v>
      </c>
      <c r="I13" s="27">
        <f>C26</f>
        <v>2.52</v>
      </c>
      <c r="J13" s="89">
        <f t="shared" si="6"/>
        <v>3893.4</v>
      </c>
      <c r="K13" s="84">
        <f>E36</f>
        <v>1.1438383838383839E-3</v>
      </c>
      <c r="L13" s="28">
        <f t="shared" si="0"/>
        <v>142.97979797979798</v>
      </c>
      <c r="M13" s="29">
        <f>A18*B18</f>
        <v>128</v>
      </c>
      <c r="N13" s="29">
        <f>C18</f>
        <v>450</v>
      </c>
      <c r="O13" s="29">
        <f>E18+F18*D18</f>
        <v>17.5</v>
      </c>
      <c r="P13" s="29">
        <f t="shared" si="1"/>
        <v>277.77777777777777</v>
      </c>
      <c r="Q13" s="28">
        <f t="shared" si="7"/>
        <v>4861.1111111111113</v>
      </c>
      <c r="R13" s="26">
        <f t="shared" si="8"/>
        <v>9025.4909090909096</v>
      </c>
      <c r="S13" s="26">
        <f>G18</f>
        <v>0.3</v>
      </c>
      <c r="T13" s="26">
        <f t="shared" si="9"/>
        <v>11733.138181818182</v>
      </c>
      <c r="U13" s="27">
        <f t="shared" si="2"/>
        <v>9.3865105454545447E-2</v>
      </c>
      <c r="V13" s="78">
        <f>E19+F19*D19</f>
        <v>11.25</v>
      </c>
      <c r="W13" s="78">
        <f t="shared" si="10"/>
        <v>3125</v>
      </c>
      <c r="X13" s="92">
        <f t="shared" si="11"/>
        <v>7289.3797979797982</v>
      </c>
      <c r="Y13" s="78">
        <f>G18</f>
        <v>0.3</v>
      </c>
      <c r="Z13" s="26">
        <f t="shared" si="12"/>
        <v>9476.1937373737383</v>
      </c>
      <c r="AA13" s="78">
        <f t="shared" si="3"/>
        <v>7.58095498989899E-2</v>
      </c>
      <c r="AB13" s="30">
        <v>65</v>
      </c>
      <c r="AC13" s="31">
        <f t="shared" si="13"/>
        <v>0.15487742399999999</v>
      </c>
      <c r="AD13" s="31">
        <f t="shared" si="14"/>
        <v>0.12508575733333333</v>
      </c>
    </row>
    <row r="14" spans="1:30" ht="15" thickBot="1" x14ac:dyDescent="0.35">
      <c r="A14" s="15">
        <v>75</v>
      </c>
      <c r="B14" s="7" t="s">
        <v>12</v>
      </c>
      <c r="C14" s="22" t="s">
        <v>23</v>
      </c>
      <c r="D14" s="23">
        <v>200000</v>
      </c>
      <c r="E14" s="24">
        <v>0.03</v>
      </c>
      <c r="F14" s="25">
        <v>12</v>
      </c>
      <c r="G14" s="26">
        <f t="shared" si="4"/>
        <v>12.36</v>
      </c>
      <c r="H14" s="27">
        <f t="shared" si="5"/>
        <v>2472</v>
      </c>
      <c r="I14" s="27">
        <f>C26</f>
        <v>2.52</v>
      </c>
      <c r="J14" s="89">
        <f t="shared" si="6"/>
        <v>6229.44</v>
      </c>
      <c r="K14" s="84">
        <f>E36</f>
        <v>1.1438383838383839E-3</v>
      </c>
      <c r="L14" s="28">
        <f t="shared" si="0"/>
        <v>228.76767676767679</v>
      </c>
      <c r="M14" s="29">
        <f>A18*B18</f>
        <v>128</v>
      </c>
      <c r="N14" s="29">
        <f>C18</f>
        <v>450</v>
      </c>
      <c r="O14" s="29">
        <f>E18+F18*D18</f>
        <v>17.5</v>
      </c>
      <c r="P14" s="29">
        <f t="shared" si="1"/>
        <v>444.44444444444446</v>
      </c>
      <c r="Q14" s="28">
        <f t="shared" si="7"/>
        <v>7777.7777777777783</v>
      </c>
      <c r="R14" s="26">
        <f t="shared" si="8"/>
        <v>14363.985454545455</v>
      </c>
      <c r="S14" s="26">
        <f>G18</f>
        <v>0.3</v>
      </c>
      <c r="T14" s="26">
        <f t="shared" si="9"/>
        <v>18673.181090909093</v>
      </c>
      <c r="U14" s="27">
        <f t="shared" si="2"/>
        <v>9.336590545454547E-2</v>
      </c>
      <c r="V14" s="78">
        <f>E19+F19*D19</f>
        <v>11.25</v>
      </c>
      <c r="W14" s="78">
        <f t="shared" si="10"/>
        <v>5000</v>
      </c>
      <c r="X14" s="92">
        <f t="shared" si="11"/>
        <v>11586.207676767677</v>
      </c>
      <c r="Y14" s="78">
        <f>G18</f>
        <v>0.3</v>
      </c>
      <c r="Z14" s="26">
        <f t="shared" si="12"/>
        <v>15062.06997979798</v>
      </c>
      <c r="AA14" s="78">
        <f t="shared" si="3"/>
        <v>7.5310349898989895E-2</v>
      </c>
      <c r="AB14" s="30">
        <v>60</v>
      </c>
      <c r="AC14" s="32">
        <f t="shared" si="13"/>
        <v>0.14938544872727275</v>
      </c>
      <c r="AD14" s="32">
        <f t="shared" si="14"/>
        <v>0.12049655983838384</v>
      </c>
    </row>
    <row r="15" spans="1:30" ht="14.4" thickBot="1" x14ac:dyDescent="0.35"/>
    <row r="16" spans="1:30" x14ac:dyDescent="0.3">
      <c r="A16" s="33" t="s">
        <v>27</v>
      </c>
      <c r="B16" s="34"/>
      <c r="C16" s="34"/>
      <c r="D16" s="34"/>
      <c r="E16" s="34"/>
      <c r="F16" s="34"/>
      <c r="G16" s="35"/>
      <c r="AC16" s="80"/>
    </row>
    <row r="17" spans="1:12" x14ac:dyDescent="0.3">
      <c r="A17" s="36" t="s">
        <v>28</v>
      </c>
      <c r="B17" s="37" t="s">
        <v>29</v>
      </c>
      <c r="C17" s="37" t="s">
        <v>30</v>
      </c>
      <c r="D17" s="37" t="s">
        <v>31</v>
      </c>
      <c r="E17" s="37" t="s">
        <v>32</v>
      </c>
      <c r="F17" s="37" t="s">
        <v>33</v>
      </c>
      <c r="G17" s="38" t="s">
        <v>34</v>
      </c>
      <c r="J17" s="39"/>
      <c r="K17" s="85"/>
      <c r="L17" s="14" t="s">
        <v>59</v>
      </c>
    </row>
    <row r="18" spans="1:12" ht="14.4" thickBot="1" x14ac:dyDescent="0.35">
      <c r="A18" s="40">
        <v>4</v>
      </c>
      <c r="B18" s="41">
        <v>32</v>
      </c>
      <c r="C18" s="41">
        <v>450</v>
      </c>
      <c r="D18" s="41">
        <v>0.5</v>
      </c>
      <c r="E18" s="41">
        <v>5</v>
      </c>
      <c r="F18" s="42">
        <v>25</v>
      </c>
      <c r="G18" s="43">
        <v>0.3</v>
      </c>
    </row>
    <row r="19" spans="1:12" ht="14.4" thickBot="1" x14ac:dyDescent="0.35">
      <c r="A19" s="40">
        <v>4</v>
      </c>
      <c r="B19" s="41">
        <v>32</v>
      </c>
      <c r="C19" s="41">
        <v>450</v>
      </c>
      <c r="D19" s="41">
        <v>0.25</v>
      </c>
      <c r="E19" s="41">
        <v>5</v>
      </c>
      <c r="F19" s="42">
        <v>25</v>
      </c>
      <c r="G19" s="43">
        <v>0.3</v>
      </c>
    </row>
    <row r="20" spans="1:12" ht="14.4" thickBot="1" x14ac:dyDescent="0.35">
      <c r="J20" s="44"/>
      <c r="K20" s="86"/>
      <c r="L20" s="14" t="s">
        <v>60</v>
      </c>
    </row>
    <row r="21" spans="1:12" x14ac:dyDescent="0.3">
      <c r="A21" s="45" t="s">
        <v>35</v>
      </c>
      <c r="B21" s="46"/>
      <c r="C21" s="46" t="s">
        <v>36</v>
      </c>
      <c r="D21" s="47" t="s">
        <v>37</v>
      </c>
    </row>
    <row r="22" spans="1:12" x14ac:dyDescent="0.3">
      <c r="A22" s="48" t="s">
        <v>40</v>
      </c>
      <c r="B22" s="49">
        <v>2</v>
      </c>
      <c r="C22" s="50">
        <v>96</v>
      </c>
      <c r="D22" s="51"/>
    </row>
    <row r="23" spans="1:12" x14ac:dyDescent="0.3">
      <c r="A23" s="48" t="s">
        <v>40</v>
      </c>
      <c r="B23" s="49">
        <v>15</v>
      </c>
      <c r="C23" s="50">
        <v>4</v>
      </c>
      <c r="D23" s="51"/>
    </row>
    <row r="24" spans="1:12" x14ac:dyDescent="0.3">
      <c r="A24" s="48" t="s">
        <v>40</v>
      </c>
      <c r="B24" s="49">
        <v>0</v>
      </c>
      <c r="C24" s="50"/>
      <c r="D24" s="51"/>
    </row>
    <row r="25" spans="1:12" ht="14.4" thickBot="1" x14ac:dyDescent="0.35">
      <c r="A25" s="48" t="s">
        <v>44</v>
      </c>
      <c r="B25" s="49">
        <v>0</v>
      </c>
      <c r="C25" s="50"/>
      <c r="D25" s="51"/>
    </row>
    <row r="26" spans="1:12" ht="14.4" thickBot="1" x14ac:dyDescent="0.35">
      <c r="A26" s="52" t="s">
        <v>45</v>
      </c>
      <c r="B26" s="53">
        <f>SUM(B22:B25)</f>
        <v>17</v>
      </c>
      <c r="C26" s="54">
        <f>(B22*C22/100)+(B23*C23/100)+(B24*C24/100)+(B25*C25/100)</f>
        <v>2.52</v>
      </c>
      <c r="D26" s="55" t="s">
        <v>62</v>
      </c>
    </row>
    <row r="27" spans="1:12" ht="14.4" thickBot="1" x14ac:dyDescent="0.35"/>
    <row r="28" spans="1:12" x14ac:dyDescent="0.3">
      <c r="A28" s="56" t="s">
        <v>38</v>
      </c>
      <c r="B28" s="57"/>
      <c r="C28" s="58"/>
      <c r="D28" s="59" t="s">
        <v>39</v>
      </c>
      <c r="E28" s="60" t="s">
        <v>97</v>
      </c>
    </row>
    <row r="29" spans="1:12" x14ac:dyDescent="0.3">
      <c r="A29" s="61" t="s">
        <v>42</v>
      </c>
      <c r="B29" s="62">
        <v>1100</v>
      </c>
      <c r="C29" s="63"/>
      <c r="D29" s="64"/>
      <c r="E29" s="65"/>
    </row>
    <row r="30" spans="1:12" x14ac:dyDescent="0.3">
      <c r="A30" s="61" t="s">
        <v>86</v>
      </c>
      <c r="B30" s="62">
        <v>9</v>
      </c>
      <c r="C30" s="63" t="s">
        <v>41</v>
      </c>
      <c r="D30" s="66">
        <v>0.68100000000000005</v>
      </c>
      <c r="E30" s="65">
        <f>D30*B30</f>
        <v>6.1290000000000004</v>
      </c>
    </row>
    <row r="31" spans="1:12" x14ac:dyDescent="0.3">
      <c r="A31" s="61" t="s">
        <v>87</v>
      </c>
      <c r="B31" s="62">
        <f>B30*B29</f>
        <v>9900</v>
      </c>
      <c r="C31" s="67"/>
      <c r="D31" s="68"/>
      <c r="E31" s="65"/>
    </row>
    <row r="32" spans="1:12" x14ac:dyDescent="0.3">
      <c r="A32" s="61" t="s">
        <v>88</v>
      </c>
      <c r="B32" s="62">
        <v>9</v>
      </c>
      <c r="C32" s="63" t="s">
        <v>43</v>
      </c>
      <c r="D32" s="69">
        <v>0.13800000000000001</v>
      </c>
      <c r="E32" s="65">
        <f>D32*B32</f>
        <v>1.242</v>
      </c>
    </row>
    <row r="33" spans="1:5" x14ac:dyDescent="0.3">
      <c r="A33" s="61" t="s">
        <v>46</v>
      </c>
      <c r="B33" s="62">
        <f>B32*5</f>
        <v>45</v>
      </c>
      <c r="C33" s="63" t="s">
        <v>47</v>
      </c>
      <c r="D33" s="66">
        <v>4.3400000000000001E-2</v>
      </c>
      <c r="E33" s="65">
        <f>D33*B33</f>
        <v>1.9530000000000001</v>
      </c>
    </row>
    <row r="34" spans="1:5" ht="14.4" thickBot="1" x14ac:dyDescent="0.35">
      <c r="A34" s="70" t="s">
        <v>48</v>
      </c>
      <c r="B34" s="71" t="s">
        <v>49</v>
      </c>
      <c r="C34" s="72" t="s">
        <v>50</v>
      </c>
      <c r="D34" s="73">
        <v>2</v>
      </c>
      <c r="E34" s="74">
        <f>D34</f>
        <v>2</v>
      </c>
    </row>
    <row r="35" spans="1:5" ht="14.4" thickBot="1" x14ac:dyDescent="0.35">
      <c r="E35" s="75">
        <f>SUM(E29:E34)</f>
        <v>11.324</v>
      </c>
    </row>
    <row r="36" spans="1:5" ht="14.4" thickBot="1" x14ac:dyDescent="0.35">
      <c r="D36" s="76" t="s">
        <v>98</v>
      </c>
      <c r="E36" s="77">
        <f>E35/B31</f>
        <v>1.1438383838383839E-3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FFEDA-5E04-448A-B0A3-3AC19EFAA765}">
  <dimension ref="A2:AD36"/>
  <sheetViews>
    <sheetView topLeftCell="I1" workbookViewId="0">
      <selection activeCell="T4" sqref="T4:T14"/>
    </sheetView>
  </sheetViews>
  <sheetFormatPr defaultColWidth="9.109375" defaultRowHeight="13.8" x14ac:dyDescent="0.3"/>
  <cols>
    <col min="1" max="1" width="28.6640625" style="14" bestFit="1" customWidth="1"/>
    <col min="2" max="2" width="10.109375" style="14" bestFit="1" customWidth="1"/>
    <col min="3" max="3" width="21" style="14" bestFit="1" customWidth="1"/>
    <col min="4" max="4" width="12.44140625" style="14" bestFit="1" customWidth="1"/>
    <col min="5" max="5" width="21" style="14" bestFit="1" customWidth="1"/>
    <col min="6" max="6" width="14.88671875" style="14" bestFit="1" customWidth="1"/>
    <col min="7" max="7" width="23.5546875" style="14" bestFit="1" customWidth="1"/>
    <col min="8" max="8" width="18.6640625" style="14" customWidth="1"/>
    <col min="9" max="9" width="0.109375" style="14" customWidth="1"/>
    <col min="10" max="10" width="9.5546875" style="14" bestFit="1" customWidth="1"/>
    <col min="11" max="11" width="15.33203125" style="82" customWidth="1"/>
    <col min="12" max="12" width="17.5546875" style="14" bestFit="1" customWidth="1"/>
    <col min="13" max="13" width="19.33203125" style="14" customWidth="1"/>
    <col min="14" max="14" width="9.109375" style="14" customWidth="1"/>
    <col min="15" max="15" width="22.88671875" style="14" customWidth="1"/>
    <col min="16" max="16" width="11.88671875" style="14" customWidth="1"/>
    <col min="17" max="17" width="23.5546875" style="14" bestFit="1" customWidth="1"/>
    <col min="18" max="18" width="24.33203125" style="14" customWidth="1"/>
    <col min="19" max="19" width="11" style="14" customWidth="1"/>
    <col min="20" max="20" width="35.5546875" style="14" bestFit="1" customWidth="1"/>
    <col min="21" max="21" width="14.6640625" style="14" bestFit="1" customWidth="1"/>
    <col min="22" max="27" width="14.6640625" style="14" customWidth="1"/>
    <col min="28" max="28" width="16.5546875" style="14" bestFit="1" customWidth="1"/>
    <col min="29" max="29" width="17.44140625" style="14" bestFit="1" customWidth="1"/>
    <col min="30" max="30" width="11.88671875" style="14" bestFit="1" customWidth="1"/>
    <col min="31" max="16384" width="9.109375" style="14"/>
  </cols>
  <sheetData>
    <row r="2" spans="1:30" ht="14.4" thickBot="1" x14ac:dyDescent="0.35"/>
    <row r="3" spans="1:30" ht="74.25" customHeight="1" thickBot="1" x14ac:dyDescent="0.35">
      <c r="A3" s="15" t="s">
        <v>57</v>
      </c>
      <c r="B3" s="15" t="s">
        <v>24</v>
      </c>
      <c r="C3" s="15" t="s">
        <v>25</v>
      </c>
      <c r="D3" s="15" t="s">
        <v>26</v>
      </c>
      <c r="E3" s="15" t="s">
        <v>55</v>
      </c>
      <c r="F3" s="15" t="s">
        <v>58</v>
      </c>
      <c r="G3" s="16" t="s">
        <v>51</v>
      </c>
      <c r="H3" s="17" t="s">
        <v>52</v>
      </c>
      <c r="I3" s="17" t="s">
        <v>61</v>
      </c>
      <c r="J3" s="90" t="s">
        <v>53</v>
      </c>
      <c r="K3" s="83" t="s">
        <v>99</v>
      </c>
      <c r="L3" s="18" t="s">
        <v>96</v>
      </c>
      <c r="M3" s="19" t="s">
        <v>54</v>
      </c>
      <c r="N3" s="19" t="s">
        <v>100</v>
      </c>
      <c r="O3" s="19" t="s">
        <v>108</v>
      </c>
      <c r="P3" s="19" t="s">
        <v>101</v>
      </c>
      <c r="Q3" s="91" t="s">
        <v>116</v>
      </c>
      <c r="R3" s="87" t="s">
        <v>107</v>
      </c>
      <c r="S3" s="88" t="s">
        <v>102</v>
      </c>
      <c r="T3" s="87" t="s">
        <v>104</v>
      </c>
      <c r="U3" s="87" t="s">
        <v>105</v>
      </c>
      <c r="V3" s="19" t="s">
        <v>109</v>
      </c>
      <c r="W3" s="20" t="s">
        <v>110</v>
      </c>
      <c r="X3" s="20"/>
      <c r="Y3" s="20"/>
      <c r="Z3" s="20" t="s">
        <v>111</v>
      </c>
      <c r="AA3" s="20" t="s">
        <v>112</v>
      </c>
      <c r="AB3" s="20" t="s">
        <v>103</v>
      </c>
      <c r="AC3" s="79" t="s">
        <v>106</v>
      </c>
      <c r="AD3" s="21" t="s">
        <v>113</v>
      </c>
    </row>
    <row r="4" spans="1:30" ht="14.4" x14ac:dyDescent="0.3">
      <c r="A4" s="15">
        <v>75</v>
      </c>
      <c r="B4" s="7" t="s">
        <v>2</v>
      </c>
      <c r="C4" s="22" t="s">
        <v>13</v>
      </c>
      <c r="D4" s="23">
        <v>2000</v>
      </c>
      <c r="E4" s="24">
        <v>0.1</v>
      </c>
      <c r="F4" s="25">
        <v>12</v>
      </c>
      <c r="G4" s="26">
        <f>F4+F4*E4</f>
        <v>13.2</v>
      </c>
      <c r="H4" s="27">
        <f>(G4*D4)/1000</f>
        <v>26.4</v>
      </c>
      <c r="I4" s="27">
        <f>C26</f>
        <v>1.5999999999999999</v>
      </c>
      <c r="J4" s="89">
        <f>H4*I4</f>
        <v>42.239999999999995</v>
      </c>
      <c r="K4" s="84">
        <f>E36</f>
        <v>1.1438383838383839E-3</v>
      </c>
      <c r="L4" s="28">
        <f t="shared" ref="L4:L14" si="0">K4*D4</f>
        <v>2.2876767676767678</v>
      </c>
      <c r="M4" s="29">
        <f>A18*B18</f>
        <v>128</v>
      </c>
      <c r="N4" s="29">
        <f>C18</f>
        <v>450</v>
      </c>
      <c r="O4" s="29">
        <f>E18+F18*D18</f>
        <v>17.5</v>
      </c>
      <c r="P4" s="29">
        <f t="shared" ref="P4:P14" si="1">D4/N4</f>
        <v>4.4444444444444446</v>
      </c>
      <c r="Q4" s="28">
        <f>O4*P4</f>
        <v>77.777777777777786</v>
      </c>
      <c r="R4" s="26">
        <f>Q4+L4+J4+M4</f>
        <v>250.30545454545455</v>
      </c>
      <c r="S4" s="26">
        <f>G18</f>
        <v>0.3</v>
      </c>
      <c r="T4" s="26">
        <f>R4+R4*S4</f>
        <v>325.39709090909093</v>
      </c>
      <c r="U4" s="27">
        <f t="shared" ref="U4:U14" si="2">T4/D4</f>
        <v>0.16269854545454546</v>
      </c>
      <c r="V4" s="78">
        <f>E19+F19*D19</f>
        <v>11.25</v>
      </c>
      <c r="W4" s="78">
        <f>V4*P4</f>
        <v>50</v>
      </c>
      <c r="X4" s="92">
        <f>W4+M4+L4+J4</f>
        <v>222.52767676767678</v>
      </c>
      <c r="Y4" s="78">
        <f>G18</f>
        <v>0.3</v>
      </c>
      <c r="Z4" s="26">
        <f>X4+X4*Y4</f>
        <v>289.28597979797979</v>
      </c>
      <c r="AA4" s="78">
        <f t="shared" ref="AA4:AA14" si="3">Z4/D4</f>
        <v>0.14464298989898988</v>
      </c>
      <c r="AB4" s="30">
        <v>180</v>
      </c>
      <c r="AC4" s="81">
        <f>U4*2+(U4*2*80/100)</f>
        <v>0.58571476363636366</v>
      </c>
      <c r="AD4" s="81">
        <f>AA4*2+(AA4*2*80/100)</f>
        <v>0.5207147636363636</v>
      </c>
    </row>
    <row r="5" spans="1:30" ht="14.4" x14ac:dyDescent="0.3">
      <c r="A5" s="15">
        <v>75</v>
      </c>
      <c r="B5" s="7" t="s">
        <v>3</v>
      </c>
      <c r="C5" s="22" t="s">
        <v>14</v>
      </c>
      <c r="D5" s="23">
        <v>4000</v>
      </c>
      <c r="E5" s="24">
        <v>0.1</v>
      </c>
      <c r="F5" s="25">
        <v>12</v>
      </c>
      <c r="G5" s="26">
        <f t="shared" ref="G5:G14" si="4">F5+F5*E5</f>
        <v>13.2</v>
      </c>
      <c r="H5" s="27">
        <f t="shared" ref="H5:H14" si="5">(G5*D5)/1000</f>
        <v>52.8</v>
      </c>
      <c r="I5" s="27">
        <f>C26</f>
        <v>1.5999999999999999</v>
      </c>
      <c r="J5" s="89">
        <f t="shared" ref="J5:J14" si="6">H5*I5</f>
        <v>84.47999999999999</v>
      </c>
      <c r="K5" s="84">
        <f>E36</f>
        <v>1.1438383838383839E-3</v>
      </c>
      <c r="L5" s="28">
        <f t="shared" si="0"/>
        <v>4.5753535353535355</v>
      </c>
      <c r="M5" s="29">
        <f>A18*B18</f>
        <v>128</v>
      </c>
      <c r="N5" s="29">
        <f>C18</f>
        <v>450</v>
      </c>
      <c r="O5" s="29">
        <f>E18+F18*D18</f>
        <v>17.5</v>
      </c>
      <c r="P5" s="29">
        <f t="shared" si="1"/>
        <v>8.8888888888888893</v>
      </c>
      <c r="Q5" s="28">
        <f t="shared" ref="Q5:Q14" si="7">O5*P5</f>
        <v>155.55555555555557</v>
      </c>
      <c r="R5" s="26">
        <f t="shared" ref="R5:R14" si="8">Q5+L5+J5+M5</f>
        <v>372.6109090909091</v>
      </c>
      <c r="S5" s="26">
        <f>G18</f>
        <v>0.3</v>
      </c>
      <c r="T5" s="26">
        <f t="shared" ref="T5:T14" si="9">R5+R5*S5</f>
        <v>484.39418181818183</v>
      </c>
      <c r="U5" s="27">
        <f t="shared" si="2"/>
        <v>0.12109854545454546</v>
      </c>
      <c r="V5" s="78">
        <f>E19+F19*D19</f>
        <v>11.25</v>
      </c>
      <c r="W5" s="78">
        <f t="shared" ref="W5:W14" si="10">V5*P5</f>
        <v>100</v>
      </c>
      <c r="X5" s="92">
        <f t="shared" ref="X5:X14" si="11">W5+M5+L5+J5</f>
        <v>317.05535353535356</v>
      </c>
      <c r="Y5" s="78">
        <f>G18</f>
        <v>0.3</v>
      </c>
      <c r="Z5" s="26">
        <f t="shared" ref="Z5:Z14" si="12">X5+X5*Y5</f>
        <v>412.17195959595961</v>
      </c>
      <c r="AA5" s="78">
        <f t="shared" si="3"/>
        <v>0.1030429898989899</v>
      </c>
      <c r="AB5" s="30">
        <v>160</v>
      </c>
      <c r="AC5" s="31">
        <f>U5*2+(U5*2*80/100)</f>
        <v>0.43595476363636365</v>
      </c>
      <c r="AD5" s="31">
        <f>AA5*2+(AA5*2*80/100)</f>
        <v>0.37095476363636365</v>
      </c>
    </row>
    <row r="6" spans="1:30" ht="14.4" x14ac:dyDescent="0.3">
      <c r="A6" s="15">
        <v>75</v>
      </c>
      <c r="B6" s="7" t="s">
        <v>4</v>
      </c>
      <c r="C6" s="22" t="s">
        <v>15</v>
      </c>
      <c r="D6" s="23">
        <v>7500</v>
      </c>
      <c r="E6" s="24">
        <v>7.0000000000000007E-2</v>
      </c>
      <c r="F6" s="25">
        <v>12</v>
      </c>
      <c r="G6" s="26">
        <f t="shared" si="4"/>
        <v>12.84</v>
      </c>
      <c r="H6" s="27">
        <f t="shared" si="5"/>
        <v>96.3</v>
      </c>
      <c r="I6" s="27">
        <f>C26</f>
        <v>1.5999999999999999</v>
      </c>
      <c r="J6" s="89">
        <f t="shared" si="6"/>
        <v>154.07999999999998</v>
      </c>
      <c r="K6" s="84">
        <f>E36</f>
        <v>1.1438383838383839E-3</v>
      </c>
      <c r="L6" s="28">
        <f t="shared" si="0"/>
        <v>8.57878787878788</v>
      </c>
      <c r="M6" s="29">
        <f>A18*B18</f>
        <v>128</v>
      </c>
      <c r="N6" s="29">
        <f>C18</f>
        <v>450</v>
      </c>
      <c r="O6" s="29">
        <f>E18+F18*D18</f>
        <v>17.5</v>
      </c>
      <c r="P6" s="29">
        <f t="shared" si="1"/>
        <v>16.666666666666668</v>
      </c>
      <c r="Q6" s="28">
        <f t="shared" si="7"/>
        <v>291.66666666666669</v>
      </c>
      <c r="R6" s="26">
        <f t="shared" si="8"/>
        <v>582.32545454545448</v>
      </c>
      <c r="S6" s="26">
        <f>G18</f>
        <v>0.3</v>
      </c>
      <c r="T6" s="26">
        <f t="shared" si="9"/>
        <v>757.0230909090908</v>
      </c>
      <c r="U6" s="27">
        <f t="shared" si="2"/>
        <v>0.10093641212121211</v>
      </c>
      <c r="V6" s="78">
        <f>E19+F19*D19</f>
        <v>11.25</v>
      </c>
      <c r="W6" s="78">
        <f t="shared" si="10"/>
        <v>187.5</v>
      </c>
      <c r="X6" s="92">
        <f t="shared" si="11"/>
        <v>478.15878787878785</v>
      </c>
      <c r="Y6" s="78">
        <f>G18</f>
        <v>0.3</v>
      </c>
      <c r="Z6" s="26">
        <f t="shared" si="12"/>
        <v>621.60642424242417</v>
      </c>
      <c r="AA6" s="78">
        <f t="shared" si="3"/>
        <v>8.2880856565656552E-2</v>
      </c>
      <c r="AB6" s="30">
        <v>140</v>
      </c>
      <c r="AC6" s="31">
        <f>U6*2+(U6*2*80/100)</f>
        <v>0.36337108363636361</v>
      </c>
      <c r="AD6" s="31">
        <f>AA6*2+(AA6*2*80/100)</f>
        <v>0.29837108363636361</v>
      </c>
    </row>
    <row r="7" spans="1:30" ht="14.4" x14ac:dyDescent="0.3">
      <c r="A7" s="15">
        <v>75</v>
      </c>
      <c r="B7" s="7" t="s">
        <v>5</v>
      </c>
      <c r="C7" s="22" t="s">
        <v>16</v>
      </c>
      <c r="D7" s="23">
        <v>12500</v>
      </c>
      <c r="E7" s="24">
        <v>7.0000000000000007E-2</v>
      </c>
      <c r="F7" s="25">
        <v>12</v>
      </c>
      <c r="G7" s="26">
        <f t="shared" si="4"/>
        <v>12.84</v>
      </c>
      <c r="H7" s="27">
        <f t="shared" si="5"/>
        <v>160.5</v>
      </c>
      <c r="I7" s="27">
        <f>C26</f>
        <v>1.5999999999999999</v>
      </c>
      <c r="J7" s="89">
        <f t="shared" si="6"/>
        <v>256.79999999999995</v>
      </c>
      <c r="K7" s="84">
        <f>E36</f>
        <v>1.1438383838383839E-3</v>
      </c>
      <c r="L7" s="28">
        <f t="shared" si="0"/>
        <v>14.297979797979799</v>
      </c>
      <c r="M7" s="29">
        <f>A18*B18</f>
        <v>128</v>
      </c>
      <c r="N7" s="29">
        <f>C18</f>
        <v>450</v>
      </c>
      <c r="O7" s="29">
        <f>E18+F18*D18</f>
        <v>17.5</v>
      </c>
      <c r="P7" s="29">
        <f t="shared" si="1"/>
        <v>27.777777777777779</v>
      </c>
      <c r="Q7" s="28">
        <f t="shared" si="7"/>
        <v>486.11111111111114</v>
      </c>
      <c r="R7" s="26">
        <f t="shared" si="8"/>
        <v>885.20909090909095</v>
      </c>
      <c r="S7" s="26">
        <f>G18</f>
        <v>0.3</v>
      </c>
      <c r="T7" s="26">
        <f t="shared" si="9"/>
        <v>1150.7718181818182</v>
      </c>
      <c r="U7" s="27">
        <f t="shared" si="2"/>
        <v>9.2061745454545457E-2</v>
      </c>
      <c r="V7" s="78">
        <f>E19+F19*D19</f>
        <v>11.25</v>
      </c>
      <c r="W7" s="78">
        <f t="shared" si="10"/>
        <v>312.5</v>
      </c>
      <c r="X7" s="92">
        <f t="shared" si="11"/>
        <v>711.59797979797975</v>
      </c>
      <c r="Y7" s="78">
        <f>G18</f>
        <v>0.3</v>
      </c>
      <c r="Z7" s="26">
        <f t="shared" si="12"/>
        <v>925.0773737373737</v>
      </c>
      <c r="AA7" s="78">
        <f t="shared" si="3"/>
        <v>7.4006189898989896E-2</v>
      </c>
      <c r="AB7" s="30">
        <v>85</v>
      </c>
      <c r="AC7" s="31">
        <f>U7+U7*AB7/100</f>
        <v>0.1703142290909091</v>
      </c>
      <c r="AD7" s="31">
        <f>AA7+AA7*AB7/100</f>
        <v>0.13691145131313132</v>
      </c>
    </row>
    <row r="8" spans="1:30" ht="14.4" x14ac:dyDescent="0.3">
      <c r="A8" s="15">
        <v>75</v>
      </c>
      <c r="B8" s="7" t="s">
        <v>6</v>
      </c>
      <c r="C8" s="22" t="s">
        <v>17</v>
      </c>
      <c r="D8" s="23">
        <v>17500</v>
      </c>
      <c r="E8" s="24">
        <v>7.0000000000000007E-2</v>
      </c>
      <c r="F8" s="25">
        <v>12</v>
      </c>
      <c r="G8" s="26">
        <f t="shared" si="4"/>
        <v>12.84</v>
      </c>
      <c r="H8" s="27">
        <f t="shared" si="5"/>
        <v>224.7</v>
      </c>
      <c r="I8" s="27">
        <f>C26</f>
        <v>1.5999999999999999</v>
      </c>
      <c r="J8" s="89">
        <f t="shared" si="6"/>
        <v>359.51999999999992</v>
      </c>
      <c r="K8" s="84">
        <f>E36</f>
        <v>1.1438383838383839E-3</v>
      </c>
      <c r="L8" s="28">
        <f t="shared" si="0"/>
        <v>20.017171717171717</v>
      </c>
      <c r="M8" s="29">
        <f>A18*B18</f>
        <v>128</v>
      </c>
      <c r="N8" s="29">
        <f>C18</f>
        <v>450</v>
      </c>
      <c r="O8" s="29">
        <f>E18+F18*D18</f>
        <v>17.5</v>
      </c>
      <c r="P8" s="29">
        <f t="shared" si="1"/>
        <v>38.888888888888886</v>
      </c>
      <c r="Q8" s="28">
        <f t="shared" si="7"/>
        <v>680.55555555555554</v>
      </c>
      <c r="R8" s="26">
        <f t="shared" si="8"/>
        <v>1188.0927272727272</v>
      </c>
      <c r="S8" s="26">
        <f>G18</f>
        <v>0.3</v>
      </c>
      <c r="T8" s="26">
        <f t="shared" si="9"/>
        <v>1544.5205454545453</v>
      </c>
      <c r="U8" s="27">
        <f t="shared" si="2"/>
        <v>8.8258316883116875E-2</v>
      </c>
      <c r="V8" s="78">
        <f>E19+F19*D19</f>
        <v>11.25</v>
      </c>
      <c r="W8" s="78">
        <f t="shared" si="10"/>
        <v>437.49999999999994</v>
      </c>
      <c r="X8" s="92">
        <f t="shared" si="11"/>
        <v>945.03717171717153</v>
      </c>
      <c r="Y8" s="78">
        <f>G18</f>
        <v>0.3</v>
      </c>
      <c r="Z8" s="26">
        <f t="shared" si="12"/>
        <v>1228.5483232323229</v>
      </c>
      <c r="AA8" s="78">
        <f t="shared" si="3"/>
        <v>7.0202761327561314E-2</v>
      </c>
      <c r="AB8" s="30">
        <v>80</v>
      </c>
      <c r="AC8" s="31">
        <f t="shared" ref="AC8:AC14" si="13">U8+U8*AB8/100</f>
        <v>0.15886497038961037</v>
      </c>
      <c r="AD8" s="31">
        <f t="shared" ref="AD8:AD14" si="14">AA8+AA8*AB8/100</f>
        <v>0.12636497038961036</v>
      </c>
    </row>
    <row r="9" spans="1:30" ht="14.4" x14ac:dyDescent="0.3">
      <c r="A9" s="15">
        <v>75</v>
      </c>
      <c r="B9" s="7" t="s">
        <v>7</v>
      </c>
      <c r="C9" s="22" t="s">
        <v>18</v>
      </c>
      <c r="D9" s="23">
        <v>25000</v>
      </c>
      <c r="E9" s="24">
        <v>0.05</v>
      </c>
      <c r="F9" s="25">
        <v>12</v>
      </c>
      <c r="G9" s="26">
        <f t="shared" si="4"/>
        <v>12.6</v>
      </c>
      <c r="H9" s="27">
        <f t="shared" si="5"/>
        <v>315</v>
      </c>
      <c r="I9" s="27">
        <f>C26</f>
        <v>1.5999999999999999</v>
      </c>
      <c r="J9" s="89">
        <f t="shared" si="6"/>
        <v>503.99999999999994</v>
      </c>
      <c r="K9" s="84">
        <f>E36</f>
        <v>1.1438383838383839E-3</v>
      </c>
      <c r="L9" s="28">
        <f t="shared" si="0"/>
        <v>28.595959595959599</v>
      </c>
      <c r="M9" s="29">
        <f>A18*B18</f>
        <v>128</v>
      </c>
      <c r="N9" s="29">
        <f>C18</f>
        <v>450</v>
      </c>
      <c r="O9" s="29">
        <f>E18+F18*D18</f>
        <v>17.5</v>
      </c>
      <c r="P9" s="29">
        <f t="shared" si="1"/>
        <v>55.555555555555557</v>
      </c>
      <c r="Q9" s="28">
        <f t="shared" si="7"/>
        <v>972.22222222222229</v>
      </c>
      <c r="R9" s="26">
        <f t="shared" si="8"/>
        <v>1632.8181818181818</v>
      </c>
      <c r="S9" s="26">
        <f>G18</f>
        <v>0.3</v>
      </c>
      <c r="T9" s="26">
        <f t="shared" si="9"/>
        <v>2122.6636363636362</v>
      </c>
      <c r="U9" s="27">
        <f t="shared" si="2"/>
        <v>8.4906545454545443E-2</v>
      </c>
      <c r="V9" s="78">
        <f>E19+F19*D19</f>
        <v>11.25</v>
      </c>
      <c r="W9" s="78">
        <f t="shared" si="10"/>
        <v>625</v>
      </c>
      <c r="X9" s="92">
        <f t="shared" si="11"/>
        <v>1285.5959595959596</v>
      </c>
      <c r="Y9" s="78">
        <f>G18</f>
        <v>0.3</v>
      </c>
      <c r="Z9" s="26">
        <f t="shared" si="12"/>
        <v>1671.2747474747475</v>
      </c>
      <c r="AA9" s="78">
        <f t="shared" si="3"/>
        <v>6.6850989898989896E-2</v>
      </c>
      <c r="AB9" s="30">
        <v>75</v>
      </c>
      <c r="AC9" s="31">
        <f t="shared" si="13"/>
        <v>0.14858645454545452</v>
      </c>
      <c r="AD9" s="31">
        <f t="shared" si="14"/>
        <v>0.11698923232323231</v>
      </c>
    </row>
    <row r="10" spans="1:30" ht="14.4" x14ac:dyDescent="0.3">
      <c r="A10" s="15">
        <v>75</v>
      </c>
      <c r="B10" s="7" t="s">
        <v>8</v>
      </c>
      <c r="C10" s="22" t="s">
        <v>19</v>
      </c>
      <c r="D10" s="23">
        <v>35000</v>
      </c>
      <c r="E10" s="24">
        <v>0.05</v>
      </c>
      <c r="F10" s="25">
        <v>12</v>
      </c>
      <c r="G10" s="26">
        <f t="shared" si="4"/>
        <v>12.6</v>
      </c>
      <c r="H10" s="27">
        <f t="shared" si="5"/>
        <v>441</v>
      </c>
      <c r="I10" s="27">
        <f>C26</f>
        <v>1.5999999999999999</v>
      </c>
      <c r="J10" s="89">
        <f t="shared" si="6"/>
        <v>705.59999999999991</v>
      </c>
      <c r="K10" s="84">
        <f>E36</f>
        <v>1.1438383838383839E-3</v>
      </c>
      <c r="L10" s="28">
        <f t="shared" si="0"/>
        <v>40.034343434343434</v>
      </c>
      <c r="M10" s="29">
        <f>A18*B18</f>
        <v>128</v>
      </c>
      <c r="N10" s="29">
        <f>C18</f>
        <v>450</v>
      </c>
      <c r="O10" s="29">
        <f>E18+F18*D18</f>
        <v>17.5</v>
      </c>
      <c r="P10" s="29">
        <f t="shared" si="1"/>
        <v>77.777777777777771</v>
      </c>
      <c r="Q10" s="28">
        <f t="shared" si="7"/>
        <v>1361.1111111111111</v>
      </c>
      <c r="R10" s="26">
        <f t="shared" si="8"/>
        <v>2234.7454545454543</v>
      </c>
      <c r="S10" s="26">
        <f>G18</f>
        <v>0.3</v>
      </c>
      <c r="T10" s="26">
        <f t="shared" si="9"/>
        <v>2905.1690909090908</v>
      </c>
      <c r="U10" s="27">
        <f t="shared" si="2"/>
        <v>8.3004831168831159E-2</v>
      </c>
      <c r="V10" s="78">
        <f>E19+F19*D19</f>
        <v>11.25</v>
      </c>
      <c r="W10" s="78">
        <f t="shared" si="10"/>
        <v>874.99999999999989</v>
      </c>
      <c r="X10" s="92">
        <f t="shared" si="11"/>
        <v>1748.6343434343432</v>
      </c>
      <c r="Y10" s="78">
        <f>G18</f>
        <v>0.3</v>
      </c>
      <c r="Z10" s="26">
        <f t="shared" si="12"/>
        <v>2273.224646464646</v>
      </c>
      <c r="AA10" s="78">
        <f t="shared" si="3"/>
        <v>6.4949275613275598E-2</v>
      </c>
      <c r="AB10" s="30">
        <v>75</v>
      </c>
      <c r="AC10" s="31">
        <f t="shared" si="13"/>
        <v>0.14525845454545452</v>
      </c>
      <c r="AD10" s="31">
        <f t="shared" si="14"/>
        <v>0.1136612323232323</v>
      </c>
    </row>
    <row r="11" spans="1:30" ht="14.4" x14ac:dyDescent="0.3">
      <c r="A11" s="15">
        <v>75</v>
      </c>
      <c r="B11" s="7" t="s">
        <v>9</v>
      </c>
      <c r="C11" s="22" t="s">
        <v>20</v>
      </c>
      <c r="D11" s="23">
        <v>45000</v>
      </c>
      <c r="E11" s="24">
        <v>0.05</v>
      </c>
      <c r="F11" s="25">
        <v>12</v>
      </c>
      <c r="G11" s="26">
        <f t="shared" si="4"/>
        <v>12.6</v>
      </c>
      <c r="H11" s="27">
        <f t="shared" si="5"/>
        <v>567</v>
      </c>
      <c r="I11" s="27">
        <f>C26</f>
        <v>1.5999999999999999</v>
      </c>
      <c r="J11" s="89">
        <f t="shared" si="6"/>
        <v>907.19999999999993</v>
      </c>
      <c r="K11" s="84">
        <f>E36</f>
        <v>1.1438383838383839E-3</v>
      </c>
      <c r="L11" s="28">
        <f t="shared" si="0"/>
        <v>51.472727272727276</v>
      </c>
      <c r="M11" s="29">
        <f>A18*B18</f>
        <v>128</v>
      </c>
      <c r="N11" s="29">
        <f>C18</f>
        <v>450</v>
      </c>
      <c r="O11" s="29">
        <f>E18+F18*D18</f>
        <v>17.5</v>
      </c>
      <c r="P11" s="29">
        <f t="shared" si="1"/>
        <v>100</v>
      </c>
      <c r="Q11" s="28">
        <f t="shared" si="7"/>
        <v>1750</v>
      </c>
      <c r="R11" s="26">
        <f t="shared" si="8"/>
        <v>2836.6727272727271</v>
      </c>
      <c r="S11" s="26">
        <f>G18</f>
        <v>0.3</v>
      </c>
      <c r="T11" s="26">
        <f t="shared" si="9"/>
        <v>3687.6745454545453</v>
      </c>
      <c r="U11" s="27">
        <f t="shared" si="2"/>
        <v>8.1948323232323234E-2</v>
      </c>
      <c r="V11" s="78">
        <f>E19+F19*D19</f>
        <v>11.25</v>
      </c>
      <c r="W11" s="78">
        <f t="shared" si="10"/>
        <v>1125</v>
      </c>
      <c r="X11" s="92">
        <f t="shared" si="11"/>
        <v>2211.6727272727271</v>
      </c>
      <c r="Y11" s="78">
        <f>G18</f>
        <v>0.3</v>
      </c>
      <c r="Z11" s="26">
        <f t="shared" si="12"/>
        <v>2875.1745454545453</v>
      </c>
      <c r="AA11" s="78">
        <f t="shared" si="3"/>
        <v>6.3892767676767673E-2</v>
      </c>
      <c r="AB11" s="30">
        <v>70</v>
      </c>
      <c r="AC11" s="31">
        <f t="shared" si="13"/>
        <v>0.13931214949494949</v>
      </c>
      <c r="AD11" s="31">
        <f t="shared" si="14"/>
        <v>0.10861770505050505</v>
      </c>
    </row>
    <row r="12" spans="1:30" ht="14.4" x14ac:dyDescent="0.3">
      <c r="A12" s="15">
        <v>75</v>
      </c>
      <c r="B12" s="7" t="s">
        <v>10</v>
      </c>
      <c r="C12" s="22" t="s">
        <v>21</v>
      </c>
      <c r="D12" s="23">
        <v>75000</v>
      </c>
      <c r="E12" s="24">
        <v>0.05</v>
      </c>
      <c r="F12" s="25">
        <v>12</v>
      </c>
      <c r="G12" s="26">
        <f t="shared" si="4"/>
        <v>12.6</v>
      </c>
      <c r="H12" s="27">
        <f t="shared" si="5"/>
        <v>945</v>
      </c>
      <c r="I12" s="27">
        <f>C26</f>
        <v>1.5999999999999999</v>
      </c>
      <c r="J12" s="89">
        <f t="shared" si="6"/>
        <v>1511.9999999999998</v>
      </c>
      <c r="K12" s="84">
        <f>E36</f>
        <v>1.1438383838383839E-3</v>
      </c>
      <c r="L12" s="28">
        <f t="shared" si="0"/>
        <v>85.787878787878796</v>
      </c>
      <c r="M12" s="29">
        <f>A18*B18</f>
        <v>128</v>
      </c>
      <c r="N12" s="29">
        <f>C18</f>
        <v>450</v>
      </c>
      <c r="O12" s="29">
        <f>E18+F18*D18</f>
        <v>17.5</v>
      </c>
      <c r="P12" s="29">
        <f t="shared" si="1"/>
        <v>166.66666666666666</v>
      </c>
      <c r="Q12" s="28">
        <f>O12*P12</f>
        <v>2916.6666666666665</v>
      </c>
      <c r="R12" s="26">
        <f t="shared" si="8"/>
        <v>4642.454545454545</v>
      </c>
      <c r="S12" s="26">
        <f>G18</f>
        <v>0.3</v>
      </c>
      <c r="T12" s="26">
        <f t="shared" si="9"/>
        <v>6035.1909090909085</v>
      </c>
      <c r="U12" s="27">
        <f t="shared" si="2"/>
        <v>8.0469212121212108E-2</v>
      </c>
      <c r="V12" s="78">
        <f>E19+F19*D19</f>
        <v>11.25</v>
      </c>
      <c r="W12" s="78">
        <f t="shared" si="10"/>
        <v>1875</v>
      </c>
      <c r="X12" s="92">
        <f t="shared" si="11"/>
        <v>3600.787878787879</v>
      </c>
      <c r="Y12" s="78">
        <f>G18</f>
        <v>0.3</v>
      </c>
      <c r="Z12" s="26">
        <f t="shared" si="12"/>
        <v>4681.0242424242424</v>
      </c>
      <c r="AA12" s="78">
        <f t="shared" si="3"/>
        <v>6.2413656565656568E-2</v>
      </c>
      <c r="AB12" s="30">
        <v>70</v>
      </c>
      <c r="AC12" s="31">
        <f t="shared" si="13"/>
        <v>0.13679766060606058</v>
      </c>
      <c r="AD12" s="31">
        <f t="shared" si="14"/>
        <v>0.10610321616161617</v>
      </c>
    </row>
    <row r="13" spans="1:30" ht="14.4" x14ac:dyDescent="0.3">
      <c r="A13" s="15">
        <v>75</v>
      </c>
      <c r="B13" s="7" t="s">
        <v>11</v>
      </c>
      <c r="C13" s="22" t="s">
        <v>22</v>
      </c>
      <c r="D13" s="23">
        <v>125000</v>
      </c>
      <c r="E13" s="24">
        <v>0.03</v>
      </c>
      <c r="F13" s="25">
        <v>12</v>
      </c>
      <c r="G13" s="26">
        <f t="shared" si="4"/>
        <v>12.36</v>
      </c>
      <c r="H13" s="27">
        <f t="shared" si="5"/>
        <v>1545</v>
      </c>
      <c r="I13" s="27">
        <f>C26</f>
        <v>1.5999999999999999</v>
      </c>
      <c r="J13" s="89">
        <f t="shared" si="6"/>
        <v>2472</v>
      </c>
      <c r="K13" s="84">
        <f>E36</f>
        <v>1.1438383838383839E-3</v>
      </c>
      <c r="L13" s="28">
        <f t="shared" si="0"/>
        <v>142.97979797979798</v>
      </c>
      <c r="M13" s="29">
        <f>A18*B18</f>
        <v>128</v>
      </c>
      <c r="N13" s="29">
        <f>C18</f>
        <v>450</v>
      </c>
      <c r="O13" s="29">
        <f>E18+F18*D18</f>
        <v>17.5</v>
      </c>
      <c r="P13" s="29">
        <f t="shared" si="1"/>
        <v>277.77777777777777</v>
      </c>
      <c r="Q13" s="28">
        <f t="shared" si="7"/>
        <v>4861.1111111111113</v>
      </c>
      <c r="R13" s="26">
        <f t="shared" si="8"/>
        <v>7604.090909090909</v>
      </c>
      <c r="S13" s="26">
        <f>G18</f>
        <v>0.3</v>
      </c>
      <c r="T13" s="26">
        <f t="shared" si="9"/>
        <v>9885.318181818182</v>
      </c>
      <c r="U13" s="27">
        <f t="shared" si="2"/>
        <v>7.9082545454545461E-2</v>
      </c>
      <c r="V13" s="78">
        <f>E19+F19*D19</f>
        <v>11.25</v>
      </c>
      <c r="W13" s="78">
        <f t="shared" si="10"/>
        <v>3125</v>
      </c>
      <c r="X13" s="92">
        <f t="shared" si="11"/>
        <v>5867.9797979797986</v>
      </c>
      <c r="Y13" s="78">
        <f>G18</f>
        <v>0.3</v>
      </c>
      <c r="Z13" s="26">
        <f t="shared" si="12"/>
        <v>7628.3737373737385</v>
      </c>
      <c r="AA13" s="78">
        <f t="shared" si="3"/>
        <v>6.1026989898989907E-2</v>
      </c>
      <c r="AB13" s="30">
        <v>65</v>
      </c>
      <c r="AC13" s="31">
        <f t="shared" si="13"/>
        <v>0.1304862</v>
      </c>
      <c r="AD13" s="31">
        <f t="shared" si="14"/>
        <v>0.10069453333333335</v>
      </c>
    </row>
    <row r="14" spans="1:30" ht="15" thickBot="1" x14ac:dyDescent="0.35">
      <c r="A14" s="15">
        <v>75</v>
      </c>
      <c r="B14" s="7" t="s">
        <v>12</v>
      </c>
      <c r="C14" s="22" t="s">
        <v>23</v>
      </c>
      <c r="D14" s="23">
        <v>200000</v>
      </c>
      <c r="E14" s="24">
        <v>0.03</v>
      </c>
      <c r="F14" s="25">
        <v>12</v>
      </c>
      <c r="G14" s="26">
        <f t="shared" si="4"/>
        <v>12.36</v>
      </c>
      <c r="H14" s="27">
        <f t="shared" si="5"/>
        <v>2472</v>
      </c>
      <c r="I14" s="27">
        <f>C26</f>
        <v>1.5999999999999999</v>
      </c>
      <c r="J14" s="89">
        <f t="shared" si="6"/>
        <v>3955.2</v>
      </c>
      <c r="K14" s="84">
        <f>E36</f>
        <v>1.1438383838383839E-3</v>
      </c>
      <c r="L14" s="28">
        <f t="shared" si="0"/>
        <v>228.76767676767679</v>
      </c>
      <c r="M14" s="29">
        <f>A18*B18</f>
        <v>128</v>
      </c>
      <c r="N14" s="29">
        <f>C18</f>
        <v>450</v>
      </c>
      <c r="O14" s="29">
        <f>E18+F18*D18</f>
        <v>17.5</v>
      </c>
      <c r="P14" s="29">
        <f t="shared" si="1"/>
        <v>444.44444444444446</v>
      </c>
      <c r="Q14" s="28">
        <f t="shared" si="7"/>
        <v>7777.7777777777783</v>
      </c>
      <c r="R14" s="26">
        <f t="shared" si="8"/>
        <v>12089.745454545455</v>
      </c>
      <c r="S14" s="26">
        <f>G18</f>
        <v>0.3</v>
      </c>
      <c r="T14" s="26">
        <f t="shared" si="9"/>
        <v>15716.66909090909</v>
      </c>
      <c r="U14" s="27">
        <f t="shared" si="2"/>
        <v>7.8583345454545456E-2</v>
      </c>
      <c r="V14" s="78">
        <f>E19+F19*D19</f>
        <v>11.25</v>
      </c>
      <c r="W14" s="78">
        <f t="shared" si="10"/>
        <v>5000</v>
      </c>
      <c r="X14" s="92">
        <f t="shared" si="11"/>
        <v>9311.9676767676756</v>
      </c>
      <c r="Y14" s="78">
        <f>G18</f>
        <v>0.3</v>
      </c>
      <c r="Z14" s="26">
        <f t="shared" si="12"/>
        <v>12105.557979797977</v>
      </c>
      <c r="AA14" s="78">
        <f t="shared" si="3"/>
        <v>6.0527789898989888E-2</v>
      </c>
      <c r="AB14" s="30">
        <v>60</v>
      </c>
      <c r="AC14" s="32">
        <f t="shared" si="13"/>
        <v>0.12573335272727273</v>
      </c>
      <c r="AD14" s="32">
        <f t="shared" si="14"/>
        <v>9.6844463838383826E-2</v>
      </c>
    </row>
    <row r="15" spans="1:30" ht="14.4" thickBot="1" x14ac:dyDescent="0.35"/>
    <row r="16" spans="1:30" x14ac:dyDescent="0.3">
      <c r="A16" s="33" t="s">
        <v>27</v>
      </c>
      <c r="B16" s="34"/>
      <c r="C16" s="34"/>
      <c r="D16" s="34"/>
      <c r="E16" s="34"/>
      <c r="F16" s="34"/>
      <c r="G16" s="35"/>
      <c r="AC16" s="80"/>
    </row>
    <row r="17" spans="1:12" x14ac:dyDescent="0.3">
      <c r="A17" s="36" t="s">
        <v>28</v>
      </c>
      <c r="B17" s="37" t="s">
        <v>29</v>
      </c>
      <c r="C17" s="37" t="s">
        <v>30</v>
      </c>
      <c r="D17" s="37" t="s">
        <v>31</v>
      </c>
      <c r="E17" s="37" t="s">
        <v>32</v>
      </c>
      <c r="F17" s="37" t="s">
        <v>33</v>
      </c>
      <c r="G17" s="38" t="s">
        <v>34</v>
      </c>
      <c r="J17" s="39"/>
      <c r="K17" s="85"/>
      <c r="L17" s="14" t="s">
        <v>59</v>
      </c>
    </row>
    <row r="18" spans="1:12" ht="14.4" thickBot="1" x14ac:dyDescent="0.35">
      <c r="A18" s="40">
        <v>4</v>
      </c>
      <c r="B18" s="41">
        <v>32</v>
      </c>
      <c r="C18" s="41">
        <v>450</v>
      </c>
      <c r="D18" s="41">
        <v>0.5</v>
      </c>
      <c r="E18" s="41">
        <v>5</v>
      </c>
      <c r="F18" s="42">
        <v>25</v>
      </c>
      <c r="G18" s="43">
        <v>0.3</v>
      </c>
    </row>
    <row r="19" spans="1:12" ht="14.4" thickBot="1" x14ac:dyDescent="0.35">
      <c r="A19" s="40">
        <v>4</v>
      </c>
      <c r="B19" s="41">
        <v>32</v>
      </c>
      <c r="C19" s="41">
        <v>450</v>
      </c>
      <c r="D19" s="41">
        <v>0.25</v>
      </c>
      <c r="E19" s="41">
        <v>5</v>
      </c>
      <c r="F19" s="42">
        <v>25</v>
      </c>
      <c r="G19" s="43">
        <v>0.3</v>
      </c>
    </row>
    <row r="20" spans="1:12" ht="14.4" thickBot="1" x14ac:dyDescent="0.35">
      <c r="J20" s="44"/>
      <c r="K20" s="86"/>
      <c r="L20" s="14" t="s">
        <v>60</v>
      </c>
    </row>
    <row r="21" spans="1:12" x14ac:dyDescent="0.3">
      <c r="A21" s="45" t="s">
        <v>35</v>
      </c>
      <c r="B21" s="46"/>
      <c r="C21" s="46" t="s">
        <v>36</v>
      </c>
      <c r="D21" s="47" t="s">
        <v>37</v>
      </c>
    </row>
    <row r="22" spans="1:12" x14ac:dyDescent="0.3">
      <c r="A22" s="48" t="s">
        <v>40</v>
      </c>
      <c r="B22" s="49">
        <v>1.5</v>
      </c>
      <c r="C22" s="50">
        <v>96</v>
      </c>
      <c r="D22" s="51"/>
    </row>
    <row r="23" spans="1:12" x14ac:dyDescent="0.3">
      <c r="A23" s="48" t="s">
        <v>40</v>
      </c>
      <c r="B23" s="49">
        <v>4</v>
      </c>
      <c r="C23" s="50">
        <v>4</v>
      </c>
      <c r="D23" s="51"/>
    </row>
    <row r="24" spans="1:12" x14ac:dyDescent="0.3">
      <c r="A24" s="48" t="s">
        <v>40</v>
      </c>
      <c r="B24" s="49">
        <v>0</v>
      </c>
      <c r="C24" s="50"/>
      <c r="D24" s="51"/>
    </row>
    <row r="25" spans="1:12" ht="14.4" thickBot="1" x14ac:dyDescent="0.35">
      <c r="A25" s="48" t="s">
        <v>44</v>
      </c>
      <c r="B25" s="49">
        <v>0</v>
      </c>
      <c r="C25" s="50"/>
      <c r="D25" s="51"/>
    </row>
    <row r="26" spans="1:12" ht="14.4" thickBot="1" x14ac:dyDescent="0.35">
      <c r="A26" s="52" t="s">
        <v>45</v>
      </c>
      <c r="B26" s="53">
        <f>SUM(B22:B25)</f>
        <v>5.5</v>
      </c>
      <c r="C26" s="54">
        <f>(B22*C22/100)+(B23*C23/100)+(B24*C24/100)+(B25*C25/100)</f>
        <v>1.5999999999999999</v>
      </c>
      <c r="D26" s="55" t="s">
        <v>62</v>
      </c>
    </row>
    <row r="27" spans="1:12" ht="14.4" thickBot="1" x14ac:dyDescent="0.35"/>
    <row r="28" spans="1:12" x14ac:dyDescent="0.3">
      <c r="A28" s="56" t="s">
        <v>38</v>
      </c>
      <c r="B28" s="57"/>
      <c r="C28" s="58"/>
      <c r="D28" s="59" t="s">
        <v>39</v>
      </c>
      <c r="E28" s="60" t="s">
        <v>97</v>
      </c>
    </row>
    <row r="29" spans="1:12" x14ac:dyDescent="0.3">
      <c r="A29" s="61" t="s">
        <v>42</v>
      </c>
      <c r="B29" s="62">
        <v>1100</v>
      </c>
      <c r="C29" s="63"/>
      <c r="D29" s="64"/>
      <c r="E29" s="65"/>
    </row>
    <row r="30" spans="1:12" x14ac:dyDescent="0.3">
      <c r="A30" s="61" t="s">
        <v>86</v>
      </c>
      <c r="B30" s="62">
        <v>9</v>
      </c>
      <c r="C30" s="63" t="s">
        <v>41</v>
      </c>
      <c r="D30" s="66">
        <v>0.68100000000000005</v>
      </c>
      <c r="E30" s="65">
        <f>D30*B30</f>
        <v>6.1290000000000004</v>
      </c>
    </row>
    <row r="31" spans="1:12" x14ac:dyDescent="0.3">
      <c r="A31" s="61" t="s">
        <v>87</v>
      </c>
      <c r="B31" s="62">
        <f>B30*B29</f>
        <v>9900</v>
      </c>
      <c r="C31" s="67"/>
      <c r="D31" s="68"/>
      <c r="E31" s="65"/>
    </row>
    <row r="32" spans="1:12" x14ac:dyDescent="0.3">
      <c r="A32" s="61" t="s">
        <v>88</v>
      </c>
      <c r="B32" s="62">
        <v>9</v>
      </c>
      <c r="C32" s="63" t="s">
        <v>43</v>
      </c>
      <c r="D32" s="69">
        <v>0.13800000000000001</v>
      </c>
      <c r="E32" s="65">
        <f>D32*B32</f>
        <v>1.242</v>
      </c>
    </row>
    <row r="33" spans="1:5" x14ac:dyDescent="0.3">
      <c r="A33" s="61" t="s">
        <v>46</v>
      </c>
      <c r="B33" s="62">
        <f>B32*5</f>
        <v>45</v>
      </c>
      <c r="C33" s="63" t="s">
        <v>47</v>
      </c>
      <c r="D33" s="66">
        <v>4.3400000000000001E-2</v>
      </c>
      <c r="E33" s="65">
        <f>D33*B33</f>
        <v>1.9530000000000001</v>
      </c>
    </row>
    <row r="34" spans="1:5" ht="14.4" thickBot="1" x14ac:dyDescent="0.35">
      <c r="A34" s="70" t="s">
        <v>48</v>
      </c>
      <c r="B34" s="71" t="s">
        <v>49</v>
      </c>
      <c r="C34" s="72" t="s">
        <v>50</v>
      </c>
      <c r="D34" s="73">
        <v>2</v>
      </c>
      <c r="E34" s="74">
        <f>D34</f>
        <v>2</v>
      </c>
    </row>
    <row r="35" spans="1:5" ht="14.4" thickBot="1" x14ac:dyDescent="0.35">
      <c r="E35" s="75">
        <f>SUM(E29:E34)</f>
        <v>11.324</v>
      </c>
    </row>
    <row r="36" spans="1:5" ht="14.4" thickBot="1" x14ac:dyDescent="0.35">
      <c r="D36" s="76" t="s">
        <v>98</v>
      </c>
      <c r="E36" s="77">
        <f>E35/B31</f>
        <v>1.1438383838383839E-3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544FE-8008-4863-9133-F80EC4EAB945}">
  <dimension ref="A2:AD36"/>
  <sheetViews>
    <sheetView topLeftCell="I1" workbookViewId="0">
      <selection activeCell="T4" sqref="T4:T14"/>
    </sheetView>
  </sheetViews>
  <sheetFormatPr defaultColWidth="9.109375" defaultRowHeight="13.8" x14ac:dyDescent="0.3"/>
  <cols>
    <col min="1" max="1" width="28.6640625" style="14" bestFit="1" customWidth="1"/>
    <col min="2" max="2" width="10.109375" style="14" bestFit="1" customWidth="1"/>
    <col min="3" max="3" width="21" style="14" bestFit="1" customWidth="1"/>
    <col min="4" max="4" width="12.44140625" style="14" bestFit="1" customWidth="1"/>
    <col min="5" max="5" width="21" style="14" bestFit="1" customWidth="1"/>
    <col min="6" max="6" width="14.88671875" style="14" bestFit="1" customWidth="1"/>
    <col min="7" max="7" width="23.5546875" style="14" bestFit="1" customWidth="1"/>
    <col min="8" max="8" width="18.6640625" style="14" customWidth="1"/>
    <col min="9" max="9" width="0.109375" style="14" customWidth="1"/>
    <col min="10" max="10" width="9.5546875" style="14" bestFit="1" customWidth="1"/>
    <col min="11" max="11" width="15.33203125" style="82" customWidth="1"/>
    <col min="12" max="12" width="17.5546875" style="14" bestFit="1" customWidth="1"/>
    <col min="13" max="13" width="19.33203125" style="14" customWidth="1"/>
    <col min="14" max="14" width="9.109375" style="14" customWidth="1"/>
    <col min="15" max="15" width="22.88671875" style="14" customWidth="1"/>
    <col min="16" max="16" width="11.88671875" style="14" customWidth="1"/>
    <col min="17" max="17" width="23.5546875" style="14" bestFit="1" customWidth="1"/>
    <col min="18" max="18" width="24.33203125" style="14" customWidth="1"/>
    <col min="19" max="19" width="11" style="14" customWidth="1"/>
    <col min="20" max="20" width="35.5546875" style="14" bestFit="1" customWidth="1"/>
    <col min="21" max="21" width="14.6640625" style="14" bestFit="1" customWidth="1"/>
    <col min="22" max="27" width="14.6640625" style="14" customWidth="1"/>
    <col min="28" max="28" width="16.5546875" style="14" bestFit="1" customWidth="1"/>
    <col min="29" max="29" width="17.44140625" style="14" bestFit="1" customWidth="1"/>
    <col min="30" max="30" width="11.88671875" style="14" bestFit="1" customWidth="1"/>
    <col min="31" max="16384" width="9.109375" style="14"/>
  </cols>
  <sheetData>
    <row r="2" spans="1:30" ht="14.4" thickBot="1" x14ac:dyDescent="0.35"/>
    <row r="3" spans="1:30" ht="74.25" customHeight="1" thickBot="1" x14ac:dyDescent="0.35">
      <c r="A3" s="15" t="s">
        <v>57</v>
      </c>
      <c r="B3" s="15" t="s">
        <v>24</v>
      </c>
      <c r="C3" s="15" t="s">
        <v>25</v>
      </c>
      <c r="D3" s="15" t="s">
        <v>26</v>
      </c>
      <c r="E3" s="15" t="s">
        <v>55</v>
      </c>
      <c r="F3" s="15" t="s">
        <v>58</v>
      </c>
      <c r="G3" s="16" t="s">
        <v>51</v>
      </c>
      <c r="H3" s="17" t="s">
        <v>52</v>
      </c>
      <c r="I3" s="17" t="s">
        <v>61</v>
      </c>
      <c r="J3" s="90" t="s">
        <v>53</v>
      </c>
      <c r="K3" s="83" t="s">
        <v>99</v>
      </c>
      <c r="L3" s="18" t="s">
        <v>96</v>
      </c>
      <c r="M3" s="19" t="s">
        <v>54</v>
      </c>
      <c r="N3" s="19" t="s">
        <v>100</v>
      </c>
      <c r="O3" s="19" t="s">
        <v>108</v>
      </c>
      <c r="P3" s="19" t="s">
        <v>101</v>
      </c>
      <c r="Q3" s="91" t="s">
        <v>116</v>
      </c>
      <c r="R3" s="87" t="s">
        <v>107</v>
      </c>
      <c r="S3" s="88" t="s">
        <v>102</v>
      </c>
      <c r="T3" s="87" t="s">
        <v>104</v>
      </c>
      <c r="U3" s="87" t="s">
        <v>105</v>
      </c>
      <c r="V3" s="19" t="s">
        <v>109</v>
      </c>
      <c r="W3" s="20" t="s">
        <v>110</v>
      </c>
      <c r="X3" s="20"/>
      <c r="Y3" s="20"/>
      <c r="Z3" s="20" t="s">
        <v>111</v>
      </c>
      <c r="AA3" s="20" t="s">
        <v>112</v>
      </c>
      <c r="AB3" s="20" t="s">
        <v>103</v>
      </c>
      <c r="AC3" s="79" t="s">
        <v>106</v>
      </c>
      <c r="AD3" s="21" t="s">
        <v>113</v>
      </c>
    </row>
    <row r="4" spans="1:30" ht="14.4" x14ac:dyDescent="0.3">
      <c r="A4" s="15">
        <v>75</v>
      </c>
      <c r="B4" s="7" t="s">
        <v>2</v>
      </c>
      <c r="C4" s="22" t="s">
        <v>13</v>
      </c>
      <c r="D4" s="23">
        <v>2000</v>
      </c>
      <c r="E4" s="24">
        <v>0.1</v>
      </c>
      <c r="F4" s="25">
        <v>12</v>
      </c>
      <c r="G4" s="26">
        <f>F4+F4*E4</f>
        <v>13.2</v>
      </c>
      <c r="H4" s="27">
        <f>(G4*D4)/1000</f>
        <v>26.4</v>
      </c>
      <c r="I4" s="27">
        <f>C26</f>
        <v>2.04</v>
      </c>
      <c r="J4" s="89">
        <f>H4*I4</f>
        <v>53.855999999999995</v>
      </c>
      <c r="K4" s="84">
        <f>E36</f>
        <v>1.1438383838383839E-3</v>
      </c>
      <c r="L4" s="28">
        <f t="shared" ref="L4:L14" si="0">K4*D4</f>
        <v>2.2876767676767678</v>
      </c>
      <c r="M4" s="29">
        <f>A18*B18</f>
        <v>128</v>
      </c>
      <c r="N4" s="29">
        <f>C18</f>
        <v>450</v>
      </c>
      <c r="O4" s="29">
        <f>E18+F18*D18</f>
        <v>17.5</v>
      </c>
      <c r="P4" s="29">
        <f t="shared" ref="P4:P14" si="1">D4/N4</f>
        <v>4.4444444444444446</v>
      </c>
      <c r="Q4" s="28">
        <f>O4*P4</f>
        <v>77.777777777777786</v>
      </c>
      <c r="R4" s="26">
        <f>Q4+L4+J4+M4</f>
        <v>261.92145454545454</v>
      </c>
      <c r="S4" s="26">
        <f>G18</f>
        <v>0.3</v>
      </c>
      <c r="T4" s="26">
        <f>R4+R4*S4</f>
        <v>340.49789090909087</v>
      </c>
      <c r="U4" s="27">
        <f t="shared" ref="U4:U14" si="2">T4/D4</f>
        <v>0.17024894545454544</v>
      </c>
      <c r="V4" s="78">
        <f>E19+F19*D19</f>
        <v>11.25</v>
      </c>
      <c r="W4" s="78">
        <f>V4*P4</f>
        <v>50</v>
      </c>
      <c r="X4" s="92">
        <f>W4+M4+L4+J4</f>
        <v>234.14367676767677</v>
      </c>
      <c r="Y4" s="78">
        <f>G18</f>
        <v>0.3</v>
      </c>
      <c r="Z4" s="26">
        <f>X4+X4*Y4</f>
        <v>304.38677979797978</v>
      </c>
      <c r="AA4" s="78">
        <f t="shared" ref="AA4:AA14" si="3">Z4/D4</f>
        <v>0.15219338989898989</v>
      </c>
      <c r="AB4" s="30">
        <v>180</v>
      </c>
      <c r="AC4" s="81">
        <f>U4*2+(U4*2*80/100)</f>
        <v>0.61289620363636366</v>
      </c>
      <c r="AD4" s="81">
        <f>AA4*2+(AA4*2*80/100)</f>
        <v>0.5478962036363636</v>
      </c>
    </row>
    <row r="5" spans="1:30" ht="14.4" x14ac:dyDescent="0.3">
      <c r="A5" s="15">
        <v>75</v>
      </c>
      <c r="B5" s="7" t="s">
        <v>3</v>
      </c>
      <c r="C5" s="22" t="s">
        <v>14</v>
      </c>
      <c r="D5" s="23">
        <v>4000</v>
      </c>
      <c r="E5" s="24">
        <v>0.1</v>
      </c>
      <c r="F5" s="25">
        <v>12</v>
      </c>
      <c r="G5" s="26">
        <f t="shared" ref="G5:G14" si="4">F5+F5*E5</f>
        <v>13.2</v>
      </c>
      <c r="H5" s="27">
        <f t="shared" ref="H5:H14" si="5">(G5*D5)/1000</f>
        <v>52.8</v>
      </c>
      <c r="I5" s="27">
        <f>C26</f>
        <v>2.04</v>
      </c>
      <c r="J5" s="89">
        <f t="shared" ref="J5:J14" si="6">H5*I5</f>
        <v>107.71199999999999</v>
      </c>
      <c r="K5" s="84">
        <f>E36</f>
        <v>1.1438383838383839E-3</v>
      </c>
      <c r="L5" s="28">
        <f t="shared" si="0"/>
        <v>4.5753535353535355</v>
      </c>
      <c r="M5" s="29">
        <f>A18*B18</f>
        <v>128</v>
      </c>
      <c r="N5" s="29">
        <f>C18</f>
        <v>450</v>
      </c>
      <c r="O5" s="29">
        <f>E18+F18*D18</f>
        <v>17.5</v>
      </c>
      <c r="P5" s="29">
        <f t="shared" si="1"/>
        <v>8.8888888888888893</v>
      </c>
      <c r="Q5" s="28">
        <f t="shared" ref="Q5:Q14" si="7">O5*P5</f>
        <v>155.55555555555557</v>
      </c>
      <c r="R5" s="26">
        <f t="shared" ref="R5:R14" si="8">Q5+L5+J5+M5</f>
        <v>395.84290909090907</v>
      </c>
      <c r="S5" s="26">
        <f>G18</f>
        <v>0.3</v>
      </c>
      <c r="T5" s="26">
        <f t="shared" ref="T5:T14" si="9">R5+R5*S5</f>
        <v>514.59578181818176</v>
      </c>
      <c r="U5" s="27">
        <f t="shared" si="2"/>
        <v>0.12864894545454544</v>
      </c>
      <c r="V5" s="78">
        <f>E19+F19*D19</f>
        <v>11.25</v>
      </c>
      <c r="W5" s="78">
        <f t="shared" ref="W5:W14" si="10">V5*P5</f>
        <v>100</v>
      </c>
      <c r="X5" s="92">
        <f t="shared" ref="X5:X14" si="11">W5+M5+L5+J5</f>
        <v>340.28735353535353</v>
      </c>
      <c r="Y5" s="78">
        <f>G18</f>
        <v>0.3</v>
      </c>
      <c r="Z5" s="26">
        <f t="shared" ref="Z5:Z14" si="12">X5+X5*Y5</f>
        <v>442.37355959595959</v>
      </c>
      <c r="AA5" s="78">
        <f t="shared" si="3"/>
        <v>0.1105933898989899</v>
      </c>
      <c r="AB5" s="30">
        <v>160</v>
      </c>
      <c r="AC5" s="31">
        <f>U5*2+(U5*2*80/100)</f>
        <v>0.4631362036363636</v>
      </c>
      <c r="AD5" s="31">
        <f>AA5*2+(AA5*2*80/100)</f>
        <v>0.39813620363636365</v>
      </c>
    </row>
    <row r="6" spans="1:30" ht="14.4" x14ac:dyDescent="0.3">
      <c r="A6" s="15">
        <v>75</v>
      </c>
      <c r="B6" s="7" t="s">
        <v>4</v>
      </c>
      <c r="C6" s="22" t="s">
        <v>15</v>
      </c>
      <c r="D6" s="23">
        <v>7500</v>
      </c>
      <c r="E6" s="24">
        <v>7.0000000000000007E-2</v>
      </c>
      <c r="F6" s="25">
        <v>12</v>
      </c>
      <c r="G6" s="26">
        <f t="shared" si="4"/>
        <v>12.84</v>
      </c>
      <c r="H6" s="27">
        <f t="shared" si="5"/>
        <v>96.3</v>
      </c>
      <c r="I6" s="27">
        <f>C26</f>
        <v>2.04</v>
      </c>
      <c r="J6" s="89">
        <f t="shared" si="6"/>
        <v>196.452</v>
      </c>
      <c r="K6" s="84">
        <f>E36</f>
        <v>1.1438383838383839E-3</v>
      </c>
      <c r="L6" s="28">
        <f t="shared" si="0"/>
        <v>8.57878787878788</v>
      </c>
      <c r="M6" s="29">
        <f>A18*B18</f>
        <v>128</v>
      </c>
      <c r="N6" s="29">
        <f>C18</f>
        <v>450</v>
      </c>
      <c r="O6" s="29">
        <f>E18+F18*D18</f>
        <v>17.5</v>
      </c>
      <c r="P6" s="29">
        <f t="shared" si="1"/>
        <v>16.666666666666668</v>
      </c>
      <c r="Q6" s="28">
        <f t="shared" si="7"/>
        <v>291.66666666666669</v>
      </c>
      <c r="R6" s="26">
        <f t="shared" si="8"/>
        <v>624.69745454545455</v>
      </c>
      <c r="S6" s="26">
        <f>G18</f>
        <v>0.3</v>
      </c>
      <c r="T6" s="26">
        <f t="shared" si="9"/>
        <v>812.10669090909096</v>
      </c>
      <c r="U6" s="27">
        <f t="shared" si="2"/>
        <v>0.10828089212121213</v>
      </c>
      <c r="V6" s="78">
        <f>E19+F19*D19</f>
        <v>11.25</v>
      </c>
      <c r="W6" s="78">
        <f t="shared" si="10"/>
        <v>187.5</v>
      </c>
      <c r="X6" s="92">
        <f t="shared" si="11"/>
        <v>520.53078787878781</v>
      </c>
      <c r="Y6" s="78">
        <f>G18</f>
        <v>0.3</v>
      </c>
      <c r="Z6" s="26">
        <f t="shared" si="12"/>
        <v>676.6900242424241</v>
      </c>
      <c r="AA6" s="78">
        <f t="shared" si="3"/>
        <v>9.0225336565656553E-2</v>
      </c>
      <c r="AB6" s="30">
        <v>140</v>
      </c>
      <c r="AC6" s="31">
        <f>U6*2+(U6*2*80/100)</f>
        <v>0.38981121163636367</v>
      </c>
      <c r="AD6" s="31">
        <f>AA6*2+(AA6*2*80/100)</f>
        <v>0.32481121163636362</v>
      </c>
    </row>
    <row r="7" spans="1:30" ht="14.4" x14ac:dyDescent="0.3">
      <c r="A7" s="15">
        <v>75</v>
      </c>
      <c r="B7" s="7" t="s">
        <v>5</v>
      </c>
      <c r="C7" s="22" t="s">
        <v>16</v>
      </c>
      <c r="D7" s="23">
        <v>12500</v>
      </c>
      <c r="E7" s="24">
        <v>7.0000000000000007E-2</v>
      </c>
      <c r="F7" s="25">
        <v>12</v>
      </c>
      <c r="G7" s="26">
        <f t="shared" si="4"/>
        <v>12.84</v>
      </c>
      <c r="H7" s="27">
        <f t="shared" si="5"/>
        <v>160.5</v>
      </c>
      <c r="I7" s="27">
        <f>C26</f>
        <v>2.04</v>
      </c>
      <c r="J7" s="89">
        <f t="shared" si="6"/>
        <v>327.42</v>
      </c>
      <c r="K7" s="84">
        <f>E36</f>
        <v>1.1438383838383839E-3</v>
      </c>
      <c r="L7" s="28">
        <f t="shared" si="0"/>
        <v>14.297979797979799</v>
      </c>
      <c r="M7" s="29">
        <f>A18*B18</f>
        <v>128</v>
      </c>
      <c r="N7" s="29">
        <f>C18</f>
        <v>450</v>
      </c>
      <c r="O7" s="29">
        <f>E18+F18*D18</f>
        <v>17.5</v>
      </c>
      <c r="P7" s="29">
        <f t="shared" si="1"/>
        <v>27.777777777777779</v>
      </c>
      <c r="Q7" s="28">
        <f t="shared" si="7"/>
        <v>486.11111111111114</v>
      </c>
      <c r="R7" s="26">
        <f t="shared" si="8"/>
        <v>955.82909090909095</v>
      </c>
      <c r="S7" s="26">
        <f>G18</f>
        <v>0.3</v>
      </c>
      <c r="T7" s="26">
        <f t="shared" si="9"/>
        <v>1242.5778181818182</v>
      </c>
      <c r="U7" s="27">
        <f t="shared" si="2"/>
        <v>9.9406225454545458E-2</v>
      </c>
      <c r="V7" s="78">
        <f>E19+F19*D19</f>
        <v>11.25</v>
      </c>
      <c r="W7" s="78">
        <f t="shared" si="10"/>
        <v>312.5</v>
      </c>
      <c r="X7" s="92">
        <f t="shared" si="11"/>
        <v>782.21797979797975</v>
      </c>
      <c r="Y7" s="78">
        <f>G18</f>
        <v>0.3</v>
      </c>
      <c r="Z7" s="26">
        <f t="shared" si="12"/>
        <v>1016.8833737373736</v>
      </c>
      <c r="AA7" s="78">
        <f t="shared" si="3"/>
        <v>8.1350669898989897E-2</v>
      </c>
      <c r="AB7" s="30">
        <v>85</v>
      </c>
      <c r="AC7" s="31">
        <f>U7+U7*AB7/100</f>
        <v>0.18390151709090907</v>
      </c>
      <c r="AD7" s="31">
        <f>AA7+AA7*AB7/100</f>
        <v>0.15049873931313129</v>
      </c>
    </row>
    <row r="8" spans="1:30" ht="14.4" x14ac:dyDescent="0.3">
      <c r="A8" s="15">
        <v>75</v>
      </c>
      <c r="B8" s="7" t="s">
        <v>6</v>
      </c>
      <c r="C8" s="22" t="s">
        <v>17</v>
      </c>
      <c r="D8" s="23">
        <v>17500</v>
      </c>
      <c r="E8" s="24">
        <v>7.0000000000000007E-2</v>
      </c>
      <c r="F8" s="25">
        <v>12</v>
      </c>
      <c r="G8" s="26">
        <f t="shared" si="4"/>
        <v>12.84</v>
      </c>
      <c r="H8" s="27">
        <f t="shared" si="5"/>
        <v>224.7</v>
      </c>
      <c r="I8" s="27">
        <f>C26</f>
        <v>2.04</v>
      </c>
      <c r="J8" s="89">
        <f t="shared" si="6"/>
        <v>458.38799999999998</v>
      </c>
      <c r="K8" s="84">
        <f>E36</f>
        <v>1.1438383838383839E-3</v>
      </c>
      <c r="L8" s="28">
        <f t="shared" si="0"/>
        <v>20.017171717171717</v>
      </c>
      <c r="M8" s="29">
        <f>A18*B18</f>
        <v>128</v>
      </c>
      <c r="N8" s="29">
        <f>C18</f>
        <v>450</v>
      </c>
      <c r="O8" s="29">
        <f>E18+F18*D18</f>
        <v>17.5</v>
      </c>
      <c r="P8" s="29">
        <f t="shared" si="1"/>
        <v>38.888888888888886</v>
      </c>
      <c r="Q8" s="28">
        <f t="shared" si="7"/>
        <v>680.55555555555554</v>
      </c>
      <c r="R8" s="26">
        <f t="shared" si="8"/>
        <v>1286.9607272727271</v>
      </c>
      <c r="S8" s="26">
        <f>G18</f>
        <v>0.3</v>
      </c>
      <c r="T8" s="26">
        <f t="shared" si="9"/>
        <v>1673.0489454545452</v>
      </c>
      <c r="U8" s="27">
        <f t="shared" si="2"/>
        <v>9.5602796883116875E-2</v>
      </c>
      <c r="V8" s="78">
        <f>E19+F19*D19</f>
        <v>11.25</v>
      </c>
      <c r="W8" s="78">
        <f t="shared" si="10"/>
        <v>437.49999999999994</v>
      </c>
      <c r="X8" s="92">
        <f t="shared" si="11"/>
        <v>1043.9051717171717</v>
      </c>
      <c r="Y8" s="78">
        <f>G18</f>
        <v>0.3</v>
      </c>
      <c r="Z8" s="26">
        <f t="shared" si="12"/>
        <v>1357.0767232323233</v>
      </c>
      <c r="AA8" s="78">
        <f t="shared" si="3"/>
        <v>7.7547241327561328E-2</v>
      </c>
      <c r="AB8" s="30">
        <v>80</v>
      </c>
      <c r="AC8" s="31">
        <f t="shared" ref="AC8:AC14" si="13">U8+U8*AB8/100</f>
        <v>0.17208503438961037</v>
      </c>
      <c r="AD8" s="31">
        <f t="shared" ref="AD8:AD14" si="14">AA8+AA8*AB8/100</f>
        <v>0.1395850343896104</v>
      </c>
    </row>
    <row r="9" spans="1:30" ht="14.4" x14ac:dyDescent="0.3">
      <c r="A9" s="15">
        <v>75</v>
      </c>
      <c r="B9" s="7" t="s">
        <v>7</v>
      </c>
      <c r="C9" s="22" t="s">
        <v>18</v>
      </c>
      <c r="D9" s="23">
        <v>25000</v>
      </c>
      <c r="E9" s="24">
        <v>0.05</v>
      </c>
      <c r="F9" s="25">
        <v>12</v>
      </c>
      <c r="G9" s="26">
        <f t="shared" si="4"/>
        <v>12.6</v>
      </c>
      <c r="H9" s="27">
        <f t="shared" si="5"/>
        <v>315</v>
      </c>
      <c r="I9" s="27">
        <f>C26</f>
        <v>2.04</v>
      </c>
      <c r="J9" s="89">
        <f t="shared" si="6"/>
        <v>642.6</v>
      </c>
      <c r="K9" s="84">
        <f>E36</f>
        <v>1.1438383838383839E-3</v>
      </c>
      <c r="L9" s="28">
        <f t="shared" si="0"/>
        <v>28.595959595959599</v>
      </c>
      <c r="M9" s="29">
        <f>A18*B18</f>
        <v>128</v>
      </c>
      <c r="N9" s="29">
        <f>C18</f>
        <v>450</v>
      </c>
      <c r="O9" s="29">
        <f>E18+F18*D18</f>
        <v>17.5</v>
      </c>
      <c r="P9" s="29">
        <f t="shared" si="1"/>
        <v>55.555555555555557</v>
      </c>
      <c r="Q9" s="28">
        <f t="shared" si="7"/>
        <v>972.22222222222229</v>
      </c>
      <c r="R9" s="26">
        <f t="shared" si="8"/>
        <v>1771.4181818181819</v>
      </c>
      <c r="S9" s="26">
        <f>G18</f>
        <v>0.3</v>
      </c>
      <c r="T9" s="26">
        <f t="shared" si="9"/>
        <v>2302.8436363636365</v>
      </c>
      <c r="U9" s="27">
        <f t="shared" si="2"/>
        <v>9.2113745454545454E-2</v>
      </c>
      <c r="V9" s="78">
        <f>E19+F19*D19</f>
        <v>11.25</v>
      </c>
      <c r="W9" s="78">
        <f t="shared" si="10"/>
        <v>625</v>
      </c>
      <c r="X9" s="92">
        <f t="shared" si="11"/>
        <v>1424.1959595959597</v>
      </c>
      <c r="Y9" s="78">
        <f>G18</f>
        <v>0.3</v>
      </c>
      <c r="Z9" s="26">
        <f t="shared" si="12"/>
        <v>1851.4547474747476</v>
      </c>
      <c r="AA9" s="78">
        <f t="shared" si="3"/>
        <v>7.4058189898989907E-2</v>
      </c>
      <c r="AB9" s="30">
        <v>75</v>
      </c>
      <c r="AC9" s="31">
        <f t="shared" si="13"/>
        <v>0.16119905454545455</v>
      </c>
      <c r="AD9" s="31">
        <f t="shared" si="14"/>
        <v>0.12960183232323233</v>
      </c>
    </row>
    <row r="10" spans="1:30" ht="14.4" x14ac:dyDescent="0.3">
      <c r="A10" s="15">
        <v>75</v>
      </c>
      <c r="B10" s="7" t="s">
        <v>8</v>
      </c>
      <c r="C10" s="22" t="s">
        <v>19</v>
      </c>
      <c r="D10" s="23">
        <v>35000</v>
      </c>
      <c r="E10" s="24">
        <v>0.05</v>
      </c>
      <c r="F10" s="25">
        <v>12</v>
      </c>
      <c r="G10" s="26">
        <f t="shared" si="4"/>
        <v>12.6</v>
      </c>
      <c r="H10" s="27">
        <f t="shared" si="5"/>
        <v>441</v>
      </c>
      <c r="I10" s="27">
        <f>C26</f>
        <v>2.04</v>
      </c>
      <c r="J10" s="89">
        <f t="shared" si="6"/>
        <v>899.64</v>
      </c>
      <c r="K10" s="84">
        <f>E36</f>
        <v>1.1438383838383839E-3</v>
      </c>
      <c r="L10" s="28">
        <f t="shared" si="0"/>
        <v>40.034343434343434</v>
      </c>
      <c r="M10" s="29">
        <f>A18*B18</f>
        <v>128</v>
      </c>
      <c r="N10" s="29">
        <f>C18</f>
        <v>450</v>
      </c>
      <c r="O10" s="29">
        <f>E18+F18*D18</f>
        <v>17.5</v>
      </c>
      <c r="P10" s="29">
        <f t="shared" si="1"/>
        <v>77.777777777777771</v>
      </c>
      <c r="Q10" s="28">
        <f t="shared" si="7"/>
        <v>1361.1111111111111</v>
      </c>
      <c r="R10" s="26">
        <f t="shared" si="8"/>
        <v>2428.7854545454543</v>
      </c>
      <c r="S10" s="26">
        <f>G18</f>
        <v>0.3</v>
      </c>
      <c r="T10" s="26">
        <f t="shared" si="9"/>
        <v>3157.4210909090907</v>
      </c>
      <c r="U10" s="27">
        <f t="shared" si="2"/>
        <v>9.0212031168831169E-2</v>
      </c>
      <c r="V10" s="78">
        <f>E19+F19*D19</f>
        <v>11.25</v>
      </c>
      <c r="W10" s="78">
        <f t="shared" si="10"/>
        <v>874.99999999999989</v>
      </c>
      <c r="X10" s="92">
        <f t="shared" si="11"/>
        <v>1942.6743434343434</v>
      </c>
      <c r="Y10" s="78">
        <f>G18</f>
        <v>0.3</v>
      </c>
      <c r="Z10" s="26">
        <f t="shared" si="12"/>
        <v>2525.4766464646464</v>
      </c>
      <c r="AA10" s="78">
        <f t="shared" si="3"/>
        <v>7.2156475613275609E-2</v>
      </c>
      <c r="AB10" s="30">
        <v>75</v>
      </c>
      <c r="AC10" s="31">
        <f t="shared" si="13"/>
        <v>0.15787105454545455</v>
      </c>
      <c r="AD10" s="31">
        <f t="shared" si="14"/>
        <v>0.1262738323232323</v>
      </c>
    </row>
    <row r="11" spans="1:30" ht="14.4" x14ac:dyDescent="0.3">
      <c r="A11" s="15">
        <v>75</v>
      </c>
      <c r="B11" s="7" t="s">
        <v>9</v>
      </c>
      <c r="C11" s="22" t="s">
        <v>20</v>
      </c>
      <c r="D11" s="23">
        <v>45000</v>
      </c>
      <c r="E11" s="24">
        <v>0.05</v>
      </c>
      <c r="F11" s="25">
        <v>12</v>
      </c>
      <c r="G11" s="26">
        <f t="shared" si="4"/>
        <v>12.6</v>
      </c>
      <c r="H11" s="27">
        <f t="shared" si="5"/>
        <v>567</v>
      </c>
      <c r="I11" s="27">
        <f>C26</f>
        <v>2.04</v>
      </c>
      <c r="J11" s="89">
        <f t="shared" si="6"/>
        <v>1156.68</v>
      </c>
      <c r="K11" s="84">
        <f>E36</f>
        <v>1.1438383838383839E-3</v>
      </c>
      <c r="L11" s="28">
        <f t="shared" si="0"/>
        <v>51.472727272727276</v>
      </c>
      <c r="M11" s="29">
        <f>A18*B18</f>
        <v>128</v>
      </c>
      <c r="N11" s="29">
        <f>C18</f>
        <v>450</v>
      </c>
      <c r="O11" s="29">
        <f>E18+F18*D18</f>
        <v>17.5</v>
      </c>
      <c r="P11" s="29">
        <f t="shared" si="1"/>
        <v>100</v>
      </c>
      <c r="Q11" s="28">
        <f t="shared" si="7"/>
        <v>1750</v>
      </c>
      <c r="R11" s="26">
        <f t="shared" si="8"/>
        <v>3086.1527272727271</v>
      </c>
      <c r="S11" s="26">
        <f>G18</f>
        <v>0.3</v>
      </c>
      <c r="T11" s="26">
        <f t="shared" si="9"/>
        <v>4011.9985454545454</v>
      </c>
      <c r="U11" s="27">
        <f t="shared" si="2"/>
        <v>8.9155523232323231E-2</v>
      </c>
      <c r="V11" s="78">
        <f>E19+F19*D19</f>
        <v>11.25</v>
      </c>
      <c r="W11" s="78">
        <f t="shared" si="10"/>
        <v>1125</v>
      </c>
      <c r="X11" s="92">
        <f t="shared" si="11"/>
        <v>2461.1527272727271</v>
      </c>
      <c r="Y11" s="78">
        <f>G18</f>
        <v>0.3</v>
      </c>
      <c r="Z11" s="26">
        <f t="shared" si="12"/>
        <v>3199.4985454545454</v>
      </c>
      <c r="AA11" s="78">
        <f t="shared" si="3"/>
        <v>7.109996767676767E-2</v>
      </c>
      <c r="AB11" s="30">
        <v>70</v>
      </c>
      <c r="AC11" s="31">
        <f t="shared" si="13"/>
        <v>0.15156438949494949</v>
      </c>
      <c r="AD11" s="31">
        <f t="shared" si="14"/>
        <v>0.12086994505050504</v>
      </c>
    </row>
    <row r="12" spans="1:30" ht="14.4" x14ac:dyDescent="0.3">
      <c r="A12" s="15">
        <v>75</v>
      </c>
      <c r="B12" s="7" t="s">
        <v>10</v>
      </c>
      <c r="C12" s="22" t="s">
        <v>21</v>
      </c>
      <c r="D12" s="23">
        <v>75000</v>
      </c>
      <c r="E12" s="24">
        <v>0.05</v>
      </c>
      <c r="F12" s="25">
        <v>12</v>
      </c>
      <c r="G12" s="26">
        <f t="shared" si="4"/>
        <v>12.6</v>
      </c>
      <c r="H12" s="27">
        <f t="shared" si="5"/>
        <v>945</v>
      </c>
      <c r="I12" s="27">
        <f>C26</f>
        <v>2.04</v>
      </c>
      <c r="J12" s="89">
        <f t="shared" si="6"/>
        <v>1927.8</v>
      </c>
      <c r="K12" s="84">
        <f>E36</f>
        <v>1.1438383838383839E-3</v>
      </c>
      <c r="L12" s="28">
        <f t="shared" si="0"/>
        <v>85.787878787878796</v>
      </c>
      <c r="M12" s="29">
        <f>A18*B18</f>
        <v>128</v>
      </c>
      <c r="N12" s="29">
        <f>C18</f>
        <v>450</v>
      </c>
      <c r="O12" s="29">
        <f>E18+F18*D18</f>
        <v>17.5</v>
      </c>
      <c r="P12" s="29">
        <f t="shared" si="1"/>
        <v>166.66666666666666</v>
      </c>
      <c r="Q12" s="28">
        <f>O12*P12</f>
        <v>2916.6666666666665</v>
      </c>
      <c r="R12" s="26">
        <f t="shared" si="8"/>
        <v>5058.2545454545452</v>
      </c>
      <c r="S12" s="26">
        <f>G18</f>
        <v>0.3</v>
      </c>
      <c r="T12" s="26">
        <f t="shared" si="9"/>
        <v>6575.7309090909084</v>
      </c>
      <c r="U12" s="27">
        <f t="shared" si="2"/>
        <v>8.7676412121212119E-2</v>
      </c>
      <c r="V12" s="78">
        <f>E19+F19*D19</f>
        <v>11.25</v>
      </c>
      <c r="W12" s="78">
        <f t="shared" si="10"/>
        <v>1875</v>
      </c>
      <c r="X12" s="92">
        <f t="shared" si="11"/>
        <v>4016.5878787878792</v>
      </c>
      <c r="Y12" s="78">
        <f>G18</f>
        <v>0.3</v>
      </c>
      <c r="Z12" s="26">
        <f t="shared" si="12"/>
        <v>5221.5642424242433</v>
      </c>
      <c r="AA12" s="78">
        <f t="shared" si="3"/>
        <v>6.9620856565656572E-2</v>
      </c>
      <c r="AB12" s="30">
        <v>70</v>
      </c>
      <c r="AC12" s="31">
        <f t="shared" si="13"/>
        <v>0.1490499006060606</v>
      </c>
      <c r="AD12" s="31">
        <f t="shared" si="14"/>
        <v>0.11835545616161618</v>
      </c>
    </row>
    <row r="13" spans="1:30" ht="14.4" x14ac:dyDescent="0.3">
      <c r="A13" s="15">
        <v>75</v>
      </c>
      <c r="B13" s="7" t="s">
        <v>11</v>
      </c>
      <c r="C13" s="22" t="s">
        <v>22</v>
      </c>
      <c r="D13" s="23">
        <v>125000</v>
      </c>
      <c r="E13" s="24">
        <v>0.03</v>
      </c>
      <c r="F13" s="25">
        <v>12</v>
      </c>
      <c r="G13" s="26">
        <f t="shared" si="4"/>
        <v>12.36</v>
      </c>
      <c r="H13" s="27">
        <f t="shared" si="5"/>
        <v>1545</v>
      </c>
      <c r="I13" s="27">
        <f>C26</f>
        <v>2.04</v>
      </c>
      <c r="J13" s="89">
        <f t="shared" si="6"/>
        <v>3151.8</v>
      </c>
      <c r="K13" s="84">
        <f>E36</f>
        <v>1.1438383838383839E-3</v>
      </c>
      <c r="L13" s="28">
        <f t="shared" si="0"/>
        <v>142.97979797979798</v>
      </c>
      <c r="M13" s="29">
        <f>A18*B18</f>
        <v>128</v>
      </c>
      <c r="N13" s="29">
        <f>C18</f>
        <v>450</v>
      </c>
      <c r="O13" s="29">
        <f>E18+F18*D18</f>
        <v>17.5</v>
      </c>
      <c r="P13" s="29">
        <f t="shared" si="1"/>
        <v>277.77777777777777</v>
      </c>
      <c r="Q13" s="28">
        <f t="shared" si="7"/>
        <v>4861.1111111111113</v>
      </c>
      <c r="R13" s="26">
        <f t="shared" si="8"/>
        <v>8283.8909090909092</v>
      </c>
      <c r="S13" s="26">
        <f>G18</f>
        <v>0.3</v>
      </c>
      <c r="T13" s="26">
        <f t="shared" si="9"/>
        <v>10769.058181818182</v>
      </c>
      <c r="U13" s="27">
        <f t="shared" si="2"/>
        <v>8.6152465454545454E-2</v>
      </c>
      <c r="V13" s="78">
        <f>E19+F19*D19</f>
        <v>11.25</v>
      </c>
      <c r="W13" s="78">
        <f t="shared" si="10"/>
        <v>3125</v>
      </c>
      <c r="X13" s="92">
        <f t="shared" si="11"/>
        <v>6547.7797979797979</v>
      </c>
      <c r="Y13" s="78">
        <f>G18</f>
        <v>0.3</v>
      </c>
      <c r="Z13" s="26">
        <f t="shared" si="12"/>
        <v>8512.1137373737365</v>
      </c>
      <c r="AA13" s="78">
        <f t="shared" si="3"/>
        <v>6.8096909898989894E-2</v>
      </c>
      <c r="AB13" s="30">
        <v>65</v>
      </c>
      <c r="AC13" s="31">
        <f t="shared" si="13"/>
        <v>0.14215156800000001</v>
      </c>
      <c r="AD13" s="31">
        <f t="shared" si="14"/>
        <v>0.11235990133333332</v>
      </c>
    </row>
    <row r="14" spans="1:30" ht="15" thickBot="1" x14ac:dyDescent="0.35">
      <c r="A14" s="15">
        <v>75</v>
      </c>
      <c r="B14" s="7" t="s">
        <v>12</v>
      </c>
      <c r="C14" s="22" t="s">
        <v>23</v>
      </c>
      <c r="D14" s="23">
        <v>200000</v>
      </c>
      <c r="E14" s="24">
        <v>0.03</v>
      </c>
      <c r="F14" s="25">
        <v>12</v>
      </c>
      <c r="G14" s="26">
        <f t="shared" si="4"/>
        <v>12.36</v>
      </c>
      <c r="H14" s="27">
        <f t="shared" si="5"/>
        <v>2472</v>
      </c>
      <c r="I14" s="27">
        <f>C26</f>
        <v>2.04</v>
      </c>
      <c r="J14" s="89">
        <f t="shared" si="6"/>
        <v>5042.88</v>
      </c>
      <c r="K14" s="84">
        <f>E36</f>
        <v>1.1438383838383839E-3</v>
      </c>
      <c r="L14" s="28">
        <f t="shared" si="0"/>
        <v>228.76767676767679</v>
      </c>
      <c r="M14" s="29">
        <f>A18*B18</f>
        <v>128</v>
      </c>
      <c r="N14" s="29">
        <f>C18</f>
        <v>450</v>
      </c>
      <c r="O14" s="29">
        <f>E18+F18*D18</f>
        <v>17.5</v>
      </c>
      <c r="P14" s="29">
        <f t="shared" si="1"/>
        <v>444.44444444444446</v>
      </c>
      <c r="Q14" s="28">
        <f t="shared" si="7"/>
        <v>7777.7777777777783</v>
      </c>
      <c r="R14" s="26">
        <f t="shared" si="8"/>
        <v>13177.425454545455</v>
      </c>
      <c r="S14" s="26">
        <f>G18</f>
        <v>0.3</v>
      </c>
      <c r="T14" s="26">
        <f t="shared" si="9"/>
        <v>17130.653090909091</v>
      </c>
      <c r="U14" s="27">
        <f t="shared" si="2"/>
        <v>8.5653265454545449E-2</v>
      </c>
      <c r="V14" s="78">
        <f>E19+F19*D19</f>
        <v>11.25</v>
      </c>
      <c r="W14" s="78">
        <f t="shared" si="10"/>
        <v>5000</v>
      </c>
      <c r="X14" s="92">
        <f t="shared" si="11"/>
        <v>10399.647676767676</v>
      </c>
      <c r="Y14" s="78">
        <f>G18</f>
        <v>0.3</v>
      </c>
      <c r="Z14" s="26">
        <f t="shared" si="12"/>
        <v>13519.541979797978</v>
      </c>
      <c r="AA14" s="78">
        <f t="shared" si="3"/>
        <v>6.7597709898989888E-2</v>
      </c>
      <c r="AB14" s="30">
        <v>60</v>
      </c>
      <c r="AC14" s="32">
        <f t="shared" si="13"/>
        <v>0.13704522472727271</v>
      </c>
      <c r="AD14" s="32">
        <f t="shared" si="14"/>
        <v>0.10815633583838383</v>
      </c>
    </row>
    <row r="15" spans="1:30" ht="14.4" thickBot="1" x14ac:dyDescent="0.35"/>
    <row r="16" spans="1:30" x14ac:dyDescent="0.3">
      <c r="A16" s="33" t="s">
        <v>27</v>
      </c>
      <c r="B16" s="34"/>
      <c r="C16" s="34"/>
      <c r="D16" s="34"/>
      <c r="E16" s="34"/>
      <c r="F16" s="34"/>
      <c r="G16" s="35"/>
      <c r="AC16" s="80"/>
    </row>
    <row r="17" spans="1:12" x14ac:dyDescent="0.3">
      <c r="A17" s="36" t="s">
        <v>28</v>
      </c>
      <c r="B17" s="37" t="s">
        <v>29</v>
      </c>
      <c r="C17" s="37" t="s">
        <v>30</v>
      </c>
      <c r="D17" s="37" t="s">
        <v>31</v>
      </c>
      <c r="E17" s="37" t="s">
        <v>32</v>
      </c>
      <c r="F17" s="37" t="s">
        <v>33</v>
      </c>
      <c r="G17" s="38" t="s">
        <v>34</v>
      </c>
      <c r="J17" s="39"/>
      <c r="K17" s="85"/>
      <c r="L17" s="14" t="s">
        <v>59</v>
      </c>
    </row>
    <row r="18" spans="1:12" ht="14.4" thickBot="1" x14ac:dyDescent="0.35">
      <c r="A18" s="40">
        <v>4</v>
      </c>
      <c r="B18" s="41">
        <v>32</v>
      </c>
      <c r="C18" s="41">
        <v>450</v>
      </c>
      <c r="D18" s="41">
        <v>0.5</v>
      </c>
      <c r="E18" s="41">
        <v>5</v>
      </c>
      <c r="F18" s="42">
        <v>25</v>
      </c>
      <c r="G18" s="43">
        <v>0.3</v>
      </c>
    </row>
    <row r="19" spans="1:12" ht="14.4" thickBot="1" x14ac:dyDescent="0.35">
      <c r="A19" s="40">
        <v>4</v>
      </c>
      <c r="B19" s="41">
        <v>32</v>
      </c>
      <c r="C19" s="41">
        <v>450</v>
      </c>
      <c r="D19" s="41">
        <v>0.25</v>
      </c>
      <c r="E19" s="41">
        <v>5</v>
      </c>
      <c r="F19" s="42">
        <v>25</v>
      </c>
      <c r="G19" s="43">
        <v>0.3</v>
      </c>
    </row>
    <row r="20" spans="1:12" ht="14.4" thickBot="1" x14ac:dyDescent="0.35">
      <c r="J20" s="44"/>
      <c r="K20" s="86"/>
      <c r="L20" s="14" t="s">
        <v>60</v>
      </c>
    </row>
    <row r="21" spans="1:12" x14ac:dyDescent="0.3">
      <c r="A21" s="45" t="s">
        <v>35</v>
      </c>
      <c r="B21" s="46"/>
      <c r="C21" s="46" t="s">
        <v>36</v>
      </c>
      <c r="D21" s="47" t="s">
        <v>37</v>
      </c>
    </row>
    <row r="22" spans="1:12" x14ac:dyDescent="0.3">
      <c r="A22" s="48" t="s">
        <v>40</v>
      </c>
      <c r="B22" s="49">
        <v>1.5</v>
      </c>
      <c r="C22" s="50">
        <v>96</v>
      </c>
      <c r="D22" s="51"/>
    </row>
    <row r="23" spans="1:12" x14ac:dyDescent="0.3">
      <c r="A23" s="48" t="s">
        <v>40</v>
      </c>
      <c r="B23" s="49">
        <v>15</v>
      </c>
      <c r="C23" s="50">
        <v>4</v>
      </c>
      <c r="D23" s="51"/>
    </row>
    <row r="24" spans="1:12" x14ac:dyDescent="0.3">
      <c r="A24" s="48" t="s">
        <v>40</v>
      </c>
      <c r="B24" s="49">
        <v>0</v>
      </c>
      <c r="C24" s="50"/>
      <c r="D24" s="51"/>
    </row>
    <row r="25" spans="1:12" ht="14.4" thickBot="1" x14ac:dyDescent="0.35">
      <c r="A25" s="48" t="s">
        <v>44</v>
      </c>
      <c r="B25" s="49">
        <v>0</v>
      </c>
      <c r="C25" s="50"/>
      <c r="D25" s="51"/>
    </row>
    <row r="26" spans="1:12" ht="14.4" thickBot="1" x14ac:dyDescent="0.35">
      <c r="A26" s="52" t="s">
        <v>45</v>
      </c>
      <c r="B26" s="53">
        <f>SUM(B22:B25)</f>
        <v>16.5</v>
      </c>
      <c r="C26" s="54">
        <f>(B22*C22/100)+(B23*C23/100)+(B24*C24/100)+(B25*C25/100)</f>
        <v>2.04</v>
      </c>
      <c r="D26" s="55" t="s">
        <v>62</v>
      </c>
    </row>
    <row r="27" spans="1:12" ht="14.4" thickBot="1" x14ac:dyDescent="0.35"/>
    <row r="28" spans="1:12" x14ac:dyDescent="0.3">
      <c r="A28" s="56" t="s">
        <v>38</v>
      </c>
      <c r="B28" s="57"/>
      <c r="C28" s="58"/>
      <c r="D28" s="59" t="s">
        <v>39</v>
      </c>
      <c r="E28" s="60" t="s">
        <v>97</v>
      </c>
    </row>
    <row r="29" spans="1:12" x14ac:dyDescent="0.3">
      <c r="A29" s="61" t="s">
        <v>42</v>
      </c>
      <c r="B29" s="62">
        <v>1100</v>
      </c>
      <c r="C29" s="63"/>
      <c r="D29" s="64"/>
      <c r="E29" s="65"/>
    </row>
    <row r="30" spans="1:12" x14ac:dyDescent="0.3">
      <c r="A30" s="61" t="s">
        <v>86</v>
      </c>
      <c r="B30" s="62">
        <v>9</v>
      </c>
      <c r="C30" s="63" t="s">
        <v>41</v>
      </c>
      <c r="D30" s="66">
        <v>0.68100000000000005</v>
      </c>
      <c r="E30" s="65">
        <f>D30*B30</f>
        <v>6.1290000000000004</v>
      </c>
    </row>
    <row r="31" spans="1:12" x14ac:dyDescent="0.3">
      <c r="A31" s="61" t="s">
        <v>87</v>
      </c>
      <c r="B31" s="62">
        <f>B30*B29</f>
        <v>9900</v>
      </c>
      <c r="C31" s="67"/>
      <c r="D31" s="68"/>
      <c r="E31" s="65"/>
    </row>
    <row r="32" spans="1:12" x14ac:dyDescent="0.3">
      <c r="A32" s="61" t="s">
        <v>88</v>
      </c>
      <c r="B32" s="62">
        <v>9</v>
      </c>
      <c r="C32" s="63" t="s">
        <v>43</v>
      </c>
      <c r="D32" s="69">
        <v>0.13800000000000001</v>
      </c>
      <c r="E32" s="65">
        <f>D32*B32</f>
        <v>1.242</v>
      </c>
    </row>
    <row r="33" spans="1:5" x14ac:dyDescent="0.3">
      <c r="A33" s="61" t="s">
        <v>46</v>
      </c>
      <c r="B33" s="62">
        <f>B32*5</f>
        <v>45</v>
      </c>
      <c r="C33" s="63" t="s">
        <v>47</v>
      </c>
      <c r="D33" s="66">
        <v>4.3400000000000001E-2</v>
      </c>
      <c r="E33" s="65">
        <f>D33*B33</f>
        <v>1.9530000000000001</v>
      </c>
    </row>
    <row r="34" spans="1:5" ht="14.4" thickBot="1" x14ac:dyDescent="0.35">
      <c r="A34" s="70" t="s">
        <v>48</v>
      </c>
      <c r="B34" s="71" t="s">
        <v>49</v>
      </c>
      <c r="C34" s="72" t="s">
        <v>50</v>
      </c>
      <c r="D34" s="73">
        <v>2</v>
      </c>
      <c r="E34" s="74">
        <f>D34</f>
        <v>2</v>
      </c>
    </row>
    <row r="35" spans="1:5" ht="14.4" thickBot="1" x14ac:dyDescent="0.35">
      <c r="E35" s="75">
        <f>SUM(E29:E34)</f>
        <v>11.324</v>
      </c>
    </row>
    <row r="36" spans="1:5" ht="14.4" thickBot="1" x14ac:dyDescent="0.35">
      <c r="D36" s="76" t="s">
        <v>98</v>
      </c>
      <c r="E36" s="77">
        <f>E35/B31</f>
        <v>1.1438383838383839E-3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02C67-82CD-446A-BA90-B207113FF0EA}">
  <dimension ref="A2:AD36"/>
  <sheetViews>
    <sheetView topLeftCell="L1" workbookViewId="0">
      <selection activeCell="Z10" sqref="Z10"/>
    </sheetView>
  </sheetViews>
  <sheetFormatPr defaultColWidth="9.109375" defaultRowHeight="13.8" x14ac:dyDescent="0.3"/>
  <cols>
    <col min="1" max="1" width="28.6640625" style="14" bestFit="1" customWidth="1"/>
    <col min="2" max="2" width="10.109375" style="14" bestFit="1" customWidth="1"/>
    <col min="3" max="3" width="21" style="14" bestFit="1" customWidth="1"/>
    <col min="4" max="4" width="12.44140625" style="14" bestFit="1" customWidth="1"/>
    <col min="5" max="5" width="21" style="14" bestFit="1" customWidth="1"/>
    <col min="6" max="6" width="14.88671875" style="14" bestFit="1" customWidth="1"/>
    <col min="7" max="7" width="23.5546875" style="14" bestFit="1" customWidth="1"/>
    <col min="8" max="8" width="18.6640625" style="14" customWidth="1"/>
    <col min="9" max="9" width="0.109375" style="14" customWidth="1"/>
    <col min="10" max="10" width="9.5546875" style="14" bestFit="1" customWidth="1"/>
    <col min="11" max="11" width="15.33203125" style="82" customWidth="1"/>
    <col min="12" max="12" width="17.5546875" style="14" bestFit="1" customWidth="1"/>
    <col min="13" max="13" width="19.33203125" style="14" customWidth="1"/>
    <col min="14" max="14" width="9.109375" style="14" customWidth="1"/>
    <col min="15" max="15" width="22.88671875" style="14" customWidth="1"/>
    <col min="16" max="16" width="11.88671875" style="14" customWidth="1"/>
    <col min="17" max="17" width="23.5546875" style="14" bestFit="1" customWidth="1"/>
    <col min="18" max="18" width="24.33203125" style="14" customWidth="1"/>
    <col min="19" max="19" width="11" style="14" customWidth="1"/>
    <col min="20" max="20" width="35.5546875" style="14" bestFit="1" customWidth="1"/>
    <col min="21" max="21" width="14.6640625" style="14" bestFit="1" customWidth="1"/>
    <col min="22" max="27" width="14.6640625" style="14" customWidth="1"/>
    <col min="28" max="28" width="16.5546875" style="14" bestFit="1" customWidth="1"/>
    <col min="29" max="29" width="17.44140625" style="14" bestFit="1" customWidth="1"/>
    <col min="30" max="30" width="11.88671875" style="14" bestFit="1" customWidth="1"/>
    <col min="31" max="16384" width="9.109375" style="14"/>
  </cols>
  <sheetData>
    <row r="2" spans="1:30" ht="14.4" thickBot="1" x14ac:dyDescent="0.35"/>
    <row r="3" spans="1:30" ht="74.25" customHeight="1" thickBot="1" x14ac:dyDescent="0.35">
      <c r="A3" s="15" t="s">
        <v>57</v>
      </c>
      <c r="B3" s="15" t="s">
        <v>24</v>
      </c>
      <c r="C3" s="15" t="s">
        <v>25</v>
      </c>
      <c r="D3" s="15" t="s">
        <v>26</v>
      </c>
      <c r="E3" s="15" t="s">
        <v>55</v>
      </c>
      <c r="F3" s="15" t="s">
        <v>58</v>
      </c>
      <c r="G3" s="16" t="s">
        <v>51</v>
      </c>
      <c r="H3" s="17" t="s">
        <v>52</v>
      </c>
      <c r="I3" s="17" t="s">
        <v>61</v>
      </c>
      <c r="J3" s="90" t="s">
        <v>53</v>
      </c>
      <c r="K3" s="83" t="s">
        <v>99</v>
      </c>
      <c r="L3" s="18" t="s">
        <v>96</v>
      </c>
      <c r="M3" s="19" t="s">
        <v>54</v>
      </c>
      <c r="N3" s="19" t="s">
        <v>100</v>
      </c>
      <c r="O3" s="19" t="s">
        <v>108</v>
      </c>
      <c r="P3" s="19" t="s">
        <v>101</v>
      </c>
      <c r="Q3" s="91" t="s">
        <v>116</v>
      </c>
      <c r="R3" s="87" t="s">
        <v>107</v>
      </c>
      <c r="S3" s="88" t="s">
        <v>102</v>
      </c>
      <c r="T3" s="87" t="s">
        <v>104</v>
      </c>
      <c r="U3" s="87" t="s">
        <v>105</v>
      </c>
      <c r="V3" s="19" t="s">
        <v>109</v>
      </c>
      <c r="W3" s="20" t="s">
        <v>110</v>
      </c>
      <c r="X3" s="20"/>
      <c r="Y3" s="20"/>
      <c r="Z3" s="20" t="s">
        <v>111</v>
      </c>
      <c r="AA3" s="20" t="s">
        <v>112</v>
      </c>
      <c r="AB3" s="20" t="s">
        <v>103</v>
      </c>
      <c r="AC3" s="79" t="s">
        <v>106</v>
      </c>
      <c r="AD3" s="21" t="s">
        <v>113</v>
      </c>
    </row>
    <row r="4" spans="1:30" ht="14.4" x14ac:dyDescent="0.3">
      <c r="A4" s="15">
        <v>100</v>
      </c>
      <c r="B4" s="7" t="s">
        <v>2</v>
      </c>
      <c r="C4" s="22" t="s">
        <v>13</v>
      </c>
      <c r="D4" s="23">
        <v>2000</v>
      </c>
      <c r="E4" s="24">
        <v>0.1</v>
      </c>
      <c r="F4" s="25">
        <v>15</v>
      </c>
      <c r="G4" s="26">
        <f>F4+F4*E4</f>
        <v>16.5</v>
      </c>
      <c r="H4" s="27">
        <f>(G4*D4)/1000</f>
        <v>33</v>
      </c>
      <c r="I4" s="27">
        <f>C26</f>
        <v>2.08</v>
      </c>
      <c r="J4" s="89">
        <f>H4*I4</f>
        <v>68.64</v>
      </c>
      <c r="K4" s="84">
        <f>E36</f>
        <v>1.1438383838383839E-3</v>
      </c>
      <c r="L4" s="28">
        <f t="shared" ref="L4:L14" si="0">K4*D4</f>
        <v>2.2876767676767678</v>
      </c>
      <c r="M4" s="29">
        <f>A18*B18</f>
        <v>128</v>
      </c>
      <c r="N4" s="29">
        <f>C18</f>
        <v>450</v>
      </c>
      <c r="O4" s="29">
        <f>E18+F18*D18</f>
        <v>17.5</v>
      </c>
      <c r="P4" s="29">
        <f t="shared" ref="P4:P14" si="1">D4/N4</f>
        <v>4.4444444444444446</v>
      </c>
      <c r="Q4" s="28">
        <f>O4*P4</f>
        <v>77.777777777777786</v>
      </c>
      <c r="R4" s="26">
        <f>Q4+L4+J4+M4</f>
        <v>276.70545454545459</v>
      </c>
      <c r="S4" s="26">
        <f>G18</f>
        <v>0.3</v>
      </c>
      <c r="T4" s="26">
        <f>R4+R4*S4</f>
        <v>359.71709090909098</v>
      </c>
      <c r="U4" s="27">
        <f t="shared" ref="U4:U14" si="2">T4/D4</f>
        <v>0.17985854545454549</v>
      </c>
      <c r="V4" s="78">
        <f>E19+F19*D19</f>
        <v>11.25</v>
      </c>
      <c r="W4" s="78">
        <f>V4*P4</f>
        <v>50</v>
      </c>
      <c r="X4" s="92">
        <f>W4+M4+L4+J4</f>
        <v>248.92767676767676</v>
      </c>
      <c r="Y4" s="78">
        <f>G18</f>
        <v>0.3</v>
      </c>
      <c r="Z4" s="26">
        <f>X4+X4*Y4</f>
        <v>323.60597979797978</v>
      </c>
      <c r="AA4" s="78">
        <f t="shared" ref="AA4:AA14" si="3">Z4/D4</f>
        <v>0.16180298989898989</v>
      </c>
      <c r="AB4" s="30">
        <v>180</v>
      </c>
      <c r="AC4" s="81">
        <f>U4*2+(U4*2*80/100)</f>
        <v>0.64749076363636382</v>
      </c>
      <c r="AD4" s="81">
        <f>AA4*2+(AA4*2*80/100)</f>
        <v>0.58249076363636365</v>
      </c>
    </row>
    <row r="5" spans="1:30" ht="14.4" x14ac:dyDescent="0.3">
      <c r="A5" s="15">
        <v>100</v>
      </c>
      <c r="B5" s="7" t="s">
        <v>3</v>
      </c>
      <c r="C5" s="22" t="s">
        <v>14</v>
      </c>
      <c r="D5" s="23">
        <v>4000</v>
      </c>
      <c r="E5" s="24">
        <v>0.1</v>
      </c>
      <c r="F5" s="25">
        <v>15</v>
      </c>
      <c r="G5" s="26">
        <f t="shared" ref="G5:G14" si="4">F5+F5*E5</f>
        <v>16.5</v>
      </c>
      <c r="H5" s="27">
        <f t="shared" ref="H5:H14" si="5">(G5*D5)/1000</f>
        <v>66</v>
      </c>
      <c r="I5" s="27">
        <f>C26</f>
        <v>2.08</v>
      </c>
      <c r="J5" s="89">
        <f t="shared" ref="J5:J14" si="6">H5*I5</f>
        <v>137.28</v>
      </c>
      <c r="K5" s="84">
        <f>E36</f>
        <v>1.1438383838383839E-3</v>
      </c>
      <c r="L5" s="28">
        <f t="shared" si="0"/>
        <v>4.5753535353535355</v>
      </c>
      <c r="M5" s="29">
        <f>A18*B18</f>
        <v>128</v>
      </c>
      <c r="N5" s="29">
        <f>C18</f>
        <v>450</v>
      </c>
      <c r="O5" s="29">
        <f>E18+F18*D18</f>
        <v>17.5</v>
      </c>
      <c r="P5" s="29">
        <f t="shared" si="1"/>
        <v>8.8888888888888893</v>
      </c>
      <c r="Q5" s="28">
        <f t="shared" ref="Q5:Q14" si="7">O5*P5</f>
        <v>155.55555555555557</v>
      </c>
      <c r="R5" s="26">
        <f t="shared" ref="R5:R14" si="8">Q5+L5+J5+M5</f>
        <v>425.41090909090912</v>
      </c>
      <c r="S5" s="26">
        <f>G18</f>
        <v>0.3</v>
      </c>
      <c r="T5" s="26">
        <f t="shared" ref="T5:T14" si="9">R5+R5*S5</f>
        <v>553.03418181818188</v>
      </c>
      <c r="U5" s="27">
        <f t="shared" si="2"/>
        <v>0.13825854545454547</v>
      </c>
      <c r="V5" s="78">
        <f>E19+F19*D19</f>
        <v>11.25</v>
      </c>
      <c r="W5" s="78">
        <f t="shared" ref="W5:W14" si="10">V5*P5</f>
        <v>100</v>
      </c>
      <c r="X5" s="92">
        <f t="shared" ref="X5:X14" si="11">W5+M5+L5+J5</f>
        <v>369.85535353535352</v>
      </c>
      <c r="Y5" s="78">
        <f>G18</f>
        <v>0.3</v>
      </c>
      <c r="Z5" s="26">
        <f t="shared" ref="Z5:Z14" si="12">X5+X5*Y5</f>
        <v>480.81195959595959</v>
      </c>
      <c r="AA5" s="78">
        <f t="shared" si="3"/>
        <v>0.12020298989898989</v>
      </c>
      <c r="AB5" s="30">
        <v>160</v>
      </c>
      <c r="AC5" s="31">
        <f>U5*2+(U5*2*80/100)</f>
        <v>0.4977307636363637</v>
      </c>
      <c r="AD5" s="31">
        <f>AA5*2+(AA5*2*80/100)</f>
        <v>0.43273076363636365</v>
      </c>
    </row>
    <row r="6" spans="1:30" ht="14.4" x14ac:dyDescent="0.3">
      <c r="A6" s="15">
        <v>100</v>
      </c>
      <c r="B6" s="7" t="s">
        <v>4</v>
      </c>
      <c r="C6" s="22" t="s">
        <v>15</v>
      </c>
      <c r="D6" s="23">
        <v>7500</v>
      </c>
      <c r="E6" s="24">
        <v>7.0000000000000007E-2</v>
      </c>
      <c r="F6" s="25">
        <v>15</v>
      </c>
      <c r="G6" s="26">
        <f t="shared" si="4"/>
        <v>16.05</v>
      </c>
      <c r="H6" s="27">
        <f t="shared" si="5"/>
        <v>120.375</v>
      </c>
      <c r="I6" s="27">
        <f>C26</f>
        <v>2.08</v>
      </c>
      <c r="J6" s="89">
        <f t="shared" si="6"/>
        <v>250.38</v>
      </c>
      <c r="K6" s="84">
        <f>E36</f>
        <v>1.1438383838383839E-3</v>
      </c>
      <c r="L6" s="28">
        <f t="shared" si="0"/>
        <v>8.57878787878788</v>
      </c>
      <c r="M6" s="29">
        <f>A18*B18</f>
        <v>128</v>
      </c>
      <c r="N6" s="29">
        <f>C18</f>
        <v>450</v>
      </c>
      <c r="O6" s="29">
        <f>E18+F18*D18</f>
        <v>17.5</v>
      </c>
      <c r="P6" s="29">
        <f t="shared" si="1"/>
        <v>16.666666666666668</v>
      </c>
      <c r="Q6" s="28">
        <f t="shared" si="7"/>
        <v>291.66666666666669</v>
      </c>
      <c r="R6" s="26">
        <f t="shared" si="8"/>
        <v>678.62545454545455</v>
      </c>
      <c r="S6" s="26">
        <f>G18</f>
        <v>0.3</v>
      </c>
      <c r="T6" s="26">
        <f t="shared" si="9"/>
        <v>882.21309090909085</v>
      </c>
      <c r="U6" s="27">
        <f t="shared" si="2"/>
        <v>0.11762841212121211</v>
      </c>
      <c r="V6" s="78">
        <f>E19+F19*D19</f>
        <v>11.25</v>
      </c>
      <c r="W6" s="78">
        <f t="shared" si="10"/>
        <v>187.5</v>
      </c>
      <c r="X6" s="92">
        <f t="shared" si="11"/>
        <v>574.45878787878792</v>
      </c>
      <c r="Y6" s="78">
        <f>G18</f>
        <v>0.3</v>
      </c>
      <c r="Z6" s="26">
        <f t="shared" si="12"/>
        <v>746.79642424242434</v>
      </c>
      <c r="AA6" s="78">
        <f t="shared" si="3"/>
        <v>9.9572856565656578E-2</v>
      </c>
      <c r="AB6" s="30">
        <v>140</v>
      </c>
      <c r="AC6" s="31">
        <f>U6*2+(U6*2*80/100)</f>
        <v>0.42346228363636362</v>
      </c>
      <c r="AD6" s="31">
        <f>AA6*2+(AA6*2*80/100)</f>
        <v>0.35846228363636368</v>
      </c>
    </row>
    <row r="7" spans="1:30" ht="14.4" x14ac:dyDescent="0.3">
      <c r="A7" s="15">
        <v>100</v>
      </c>
      <c r="B7" s="7" t="s">
        <v>5</v>
      </c>
      <c r="C7" s="22" t="s">
        <v>16</v>
      </c>
      <c r="D7" s="23">
        <v>12500</v>
      </c>
      <c r="E7" s="24">
        <v>7.0000000000000007E-2</v>
      </c>
      <c r="F7" s="25">
        <v>15</v>
      </c>
      <c r="G7" s="26">
        <f t="shared" si="4"/>
        <v>16.05</v>
      </c>
      <c r="H7" s="27">
        <f t="shared" si="5"/>
        <v>200.625</v>
      </c>
      <c r="I7" s="27">
        <f>C26</f>
        <v>2.08</v>
      </c>
      <c r="J7" s="89">
        <f t="shared" si="6"/>
        <v>417.3</v>
      </c>
      <c r="K7" s="84">
        <f>E36</f>
        <v>1.1438383838383839E-3</v>
      </c>
      <c r="L7" s="28">
        <f t="shared" si="0"/>
        <v>14.297979797979799</v>
      </c>
      <c r="M7" s="29">
        <f>A18*B18</f>
        <v>128</v>
      </c>
      <c r="N7" s="29">
        <f>C18</f>
        <v>450</v>
      </c>
      <c r="O7" s="29">
        <f>E18+F18*D18</f>
        <v>17.5</v>
      </c>
      <c r="P7" s="29">
        <f t="shared" si="1"/>
        <v>27.777777777777779</v>
      </c>
      <c r="Q7" s="28">
        <f t="shared" si="7"/>
        <v>486.11111111111114</v>
      </c>
      <c r="R7" s="26">
        <f t="shared" si="8"/>
        <v>1045.7090909090909</v>
      </c>
      <c r="S7" s="26">
        <f>G18</f>
        <v>0.3</v>
      </c>
      <c r="T7" s="26">
        <f t="shared" si="9"/>
        <v>1359.4218181818183</v>
      </c>
      <c r="U7" s="27">
        <f t="shared" si="2"/>
        <v>0.10875374545454546</v>
      </c>
      <c r="V7" s="78">
        <f>E19+F19*D19</f>
        <v>11.25</v>
      </c>
      <c r="W7" s="78">
        <f t="shared" si="10"/>
        <v>312.5</v>
      </c>
      <c r="X7" s="92">
        <f t="shared" si="11"/>
        <v>872.09797979797986</v>
      </c>
      <c r="Y7" s="78">
        <f>G18</f>
        <v>0.3</v>
      </c>
      <c r="Z7" s="26">
        <f t="shared" si="12"/>
        <v>1133.7273737373739</v>
      </c>
      <c r="AA7" s="78">
        <f t="shared" si="3"/>
        <v>9.0698189898989909E-2</v>
      </c>
      <c r="AB7" s="30">
        <v>85</v>
      </c>
      <c r="AC7" s="31">
        <f>U7+U7*AB7/100</f>
        <v>0.20119442909090909</v>
      </c>
      <c r="AD7" s="31">
        <f>AA7+AA7*AB7/100</f>
        <v>0.16779165131313134</v>
      </c>
    </row>
    <row r="8" spans="1:30" ht="14.4" x14ac:dyDescent="0.3">
      <c r="A8" s="15">
        <v>100</v>
      </c>
      <c r="B8" s="7" t="s">
        <v>6</v>
      </c>
      <c r="C8" s="22" t="s">
        <v>17</v>
      </c>
      <c r="D8" s="23">
        <v>17500</v>
      </c>
      <c r="E8" s="24">
        <v>7.0000000000000007E-2</v>
      </c>
      <c r="F8" s="25">
        <v>15</v>
      </c>
      <c r="G8" s="26">
        <f t="shared" si="4"/>
        <v>16.05</v>
      </c>
      <c r="H8" s="27">
        <f t="shared" si="5"/>
        <v>280.875</v>
      </c>
      <c r="I8" s="27">
        <f>C26</f>
        <v>2.08</v>
      </c>
      <c r="J8" s="89">
        <f t="shared" si="6"/>
        <v>584.22</v>
      </c>
      <c r="K8" s="84">
        <f>E36</f>
        <v>1.1438383838383839E-3</v>
      </c>
      <c r="L8" s="28">
        <f t="shared" si="0"/>
        <v>20.017171717171717</v>
      </c>
      <c r="M8" s="29">
        <f>A18*B18</f>
        <v>128</v>
      </c>
      <c r="N8" s="29">
        <f>C18</f>
        <v>450</v>
      </c>
      <c r="O8" s="29">
        <f>E18+F18*D18</f>
        <v>17.5</v>
      </c>
      <c r="P8" s="29">
        <f t="shared" si="1"/>
        <v>38.888888888888886</v>
      </c>
      <c r="Q8" s="28">
        <f t="shared" si="7"/>
        <v>680.55555555555554</v>
      </c>
      <c r="R8" s="26">
        <f t="shared" si="8"/>
        <v>1412.7927272727272</v>
      </c>
      <c r="S8" s="26">
        <f>G18</f>
        <v>0.3</v>
      </c>
      <c r="T8" s="26">
        <f t="shared" si="9"/>
        <v>1836.6305454545454</v>
      </c>
      <c r="U8" s="27">
        <f t="shared" si="2"/>
        <v>0.10495031688311689</v>
      </c>
      <c r="V8" s="78">
        <f>E19+F19*D19</f>
        <v>11.25</v>
      </c>
      <c r="W8" s="78">
        <f t="shared" si="10"/>
        <v>437.49999999999994</v>
      </c>
      <c r="X8" s="92">
        <f t="shared" si="11"/>
        <v>1169.7371717171718</v>
      </c>
      <c r="Y8" s="78">
        <f>G18</f>
        <v>0.3</v>
      </c>
      <c r="Z8" s="26">
        <f t="shared" si="12"/>
        <v>1520.6583232323233</v>
      </c>
      <c r="AA8" s="78">
        <f t="shared" si="3"/>
        <v>8.6894761327561326E-2</v>
      </c>
      <c r="AB8" s="30">
        <v>80</v>
      </c>
      <c r="AC8" s="31">
        <f t="shared" ref="AC8:AC14" si="13">U8+U8*AB8/100</f>
        <v>0.1889105703896104</v>
      </c>
      <c r="AD8" s="31">
        <f t="shared" ref="AD8:AD14" si="14">AA8+AA8*AB8/100</f>
        <v>0.1564105703896104</v>
      </c>
    </row>
    <row r="9" spans="1:30" ht="14.4" x14ac:dyDescent="0.3">
      <c r="A9" s="15">
        <v>100</v>
      </c>
      <c r="B9" s="7" t="s">
        <v>7</v>
      </c>
      <c r="C9" s="22" t="s">
        <v>18</v>
      </c>
      <c r="D9" s="23">
        <v>25000</v>
      </c>
      <c r="E9" s="24">
        <v>0.05</v>
      </c>
      <c r="F9" s="25">
        <v>15</v>
      </c>
      <c r="G9" s="26">
        <f t="shared" si="4"/>
        <v>15.75</v>
      </c>
      <c r="H9" s="27">
        <f t="shared" si="5"/>
        <v>393.75</v>
      </c>
      <c r="I9" s="27">
        <f>C26</f>
        <v>2.08</v>
      </c>
      <c r="J9" s="89">
        <f t="shared" si="6"/>
        <v>819</v>
      </c>
      <c r="K9" s="84">
        <f>E36</f>
        <v>1.1438383838383839E-3</v>
      </c>
      <c r="L9" s="28">
        <f t="shared" si="0"/>
        <v>28.595959595959599</v>
      </c>
      <c r="M9" s="29">
        <f>A18*B18</f>
        <v>128</v>
      </c>
      <c r="N9" s="29">
        <f>C18</f>
        <v>450</v>
      </c>
      <c r="O9" s="29">
        <f>E18+F18*D18</f>
        <v>17.5</v>
      </c>
      <c r="P9" s="29">
        <f t="shared" si="1"/>
        <v>55.555555555555557</v>
      </c>
      <c r="Q9" s="28">
        <f t="shared" si="7"/>
        <v>972.22222222222229</v>
      </c>
      <c r="R9" s="26">
        <f t="shared" si="8"/>
        <v>1947.818181818182</v>
      </c>
      <c r="S9" s="26">
        <f>G18</f>
        <v>0.3</v>
      </c>
      <c r="T9" s="26">
        <f t="shared" si="9"/>
        <v>2532.1636363636367</v>
      </c>
      <c r="U9" s="27">
        <f t="shared" si="2"/>
        <v>0.10128654545454546</v>
      </c>
      <c r="V9" s="78">
        <f>E19+F19*D19</f>
        <v>11.25</v>
      </c>
      <c r="W9" s="78">
        <f t="shared" si="10"/>
        <v>625</v>
      </c>
      <c r="X9" s="92">
        <f t="shared" si="11"/>
        <v>1600.5959595959596</v>
      </c>
      <c r="Y9" s="78">
        <f>G18</f>
        <v>0.3</v>
      </c>
      <c r="Z9" s="26">
        <f t="shared" si="12"/>
        <v>2080.7747474747475</v>
      </c>
      <c r="AA9" s="78">
        <f t="shared" si="3"/>
        <v>8.3230989898989902E-2</v>
      </c>
      <c r="AB9" s="30">
        <v>75</v>
      </c>
      <c r="AC9" s="31">
        <f t="shared" si="13"/>
        <v>0.17725145454545455</v>
      </c>
      <c r="AD9" s="31">
        <f t="shared" si="14"/>
        <v>0.14565423232323232</v>
      </c>
    </row>
    <row r="10" spans="1:30" ht="14.4" x14ac:dyDescent="0.3">
      <c r="A10" s="15">
        <v>100</v>
      </c>
      <c r="B10" s="7" t="s">
        <v>8</v>
      </c>
      <c r="C10" s="22" t="s">
        <v>19</v>
      </c>
      <c r="D10" s="23">
        <v>35000</v>
      </c>
      <c r="E10" s="24">
        <v>0.05</v>
      </c>
      <c r="F10" s="25">
        <v>15</v>
      </c>
      <c r="G10" s="26">
        <f t="shared" si="4"/>
        <v>15.75</v>
      </c>
      <c r="H10" s="27">
        <f t="shared" si="5"/>
        <v>551.25</v>
      </c>
      <c r="I10" s="27">
        <f>C26</f>
        <v>2.08</v>
      </c>
      <c r="J10" s="89">
        <f t="shared" si="6"/>
        <v>1146.6000000000001</v>
      </c>
      <c r="K10" s="84">
        <f>E36</f>
        <v>1.1438383838383839E-3</v>
      </c>
      <c r="L10" s="28">
        <f t="shared" si="0"/>
        <v>40.034343434343434</v>
      </c>
      <c r="M10" s="29">
        <f>A18*B18</f>
        <v>128</v>
      </c>
      <c r="N10" s="29">
        <f>C18</f>
        <v>450</v>
      </c>
      <c r="O10" s="29">
        <f>E18+F18*D18</f>
        <v>17.5</v>
      </c>
      <c r="P10" s="29">
        <f t="shared" si="1"/>
        <v>77.777777777777771</v>
      </c>
      <c r="Q10" s="28">
        <f t="shared" si="7"/>
        <v>1361.1111111111111</v>
      </c>
      <c r="R10" s="26">
        <f t="shared" si="8"/>
        <v>2675.7454545454548</v>
      </c>
      <c r="S10" s="26">
        <f>G18</f>
        <v>0.3</v>
      </c>
      <c r="T10" s="26">
        <f t="shared" si="9"/>
        <v>3478.4690909090914</v>
      </c>
      <c r="U10" s="27">
        <f t="shared" si="2"/>
        <v>9.9384831168831178E-2</v>
      </c>
      <c r="V10" s="78">
        <f>E19+F19*D19</f>
        <v>11.25</v>
      </c>
      <c r="W10" s="78">
        <f t="shared" si="10"/>
        <v>874.99999999999989</v>
      </c>
      <c r="X10" s="92">
        <f t="shared" si="11"/>
        <v>2189.6343434343435</v>
      </c>
      <c r="Y10" s="78">
        <f>G18</f>
        <v>0.3</v>
      </c>
      <c r="Z10" s="26">
        <f t="shared" si="12"/>
        <v>2846.5246464646466</v>
      </c>
      <c r="AA10" s="78">
        <f t="shared" si="3"/>
        <v>8.1329275613275617E-2</v>
      </c>
      <c r="AB10" s="30">
        <v>75</v>
      </c>
      <c r="AC10" s="31">
        <f t="shared" si="13"/>
        <v>0.17392345454545455</v>
      </c>
      <c r="AD10" s="31">
        <f t="shared" si="14"/>
        <v>0.14232623232323233</v>
      </c>
    </row>
    <row r="11" spans="1:30" ht="14.4" x14ac:dyDescent="0.3">
      <c r="A11" s="15">
        <v>100</v>
      </c>
      <c r="B11" s="7" t="s">
        <v>9</v>
      </c>
      <c r="C11" s="22" t="s">
        <v>20</v>
      </c>
      <c r="D11" s="23">
        <v>45000</v>
      </c>
      <c r="E11" s="24">
        <v>0.05</v>
      </c>
      <c r="F11" s="25">
        <v>15</v>
      </c>
      <c r="G11" s="26">
        <f t="shared" si="4"/>
        <v>15.75</v>
      </c>
      <c r="H11" s="27">
        <f t="shared" si="5"/>
        <v>708.75</v>
      </c>
      <c r="I11" s="27">
        <f>C26</f>
        <v>2.08</v>
      </c>
      <c r="J11" s="89">
        <f t="shared" si="6"/>
        <v>1474.2</v>
      </c>
      <c r="K11" s="84">
        <f>E36</f>
        <v>1.1438383838383839E-3</v>
      </c>
      <c r="L11" s="28">
        <f t="shared" si="0"/>
        <v>51.472727272727276</v>
      </c>
      <c r="M11" s="29">
        <f>A18*B18</f>
        <v>128</v>
      </c>
      <c r="N11" s="29">
        <f>C18</f>
        <v>450</v>
      </c>
      <c r="O11" s="29">
        <f>E18+F18*D18</f>
        <v>17.5</v>
      </c>
      <c r="P11" s="29">
        <f t="shared" si="1"/>
        <v>100</v>
      </c>
      <c r="Q11" s="28">
        <f t="shared" si="7"/>
        <v>1750</v>
      </c>
      <c r="R11" s="26">
        <f t="shared" si="8"/>
        <v>3403.6727272727276</v>
      </c>
      <c r="S11" s="26">
        <f>G18</f>
        <v>0.3</v>
      </c>
      <c r="T11" s="26">
        <f t="shared" si="9"/>
        <v>4424.7745454545457</v>
      </c>
      <c r="U11" s="27">
        <f t="shared" si="2"/>
        <v>9.8328323232323239E-2</v>
      </c>
      <c r="V11" s="78">
        <f>E19+F19*D19</f>
        <v>11.25</v>
      </c>
      <c r="W11" s="78">
        <f t="shared" si="10"/>
        <v>1125</v>
      </c>
      <c r="X11" s="92">
        <f t="shared" si="11"/>
        <v>2778.6727272727276</v>
      </c>
      <c r="Y11" s="78">
        <f>G18</f>
        <v>0.3</v>
      </c>
      <c r="Z11" s="26">
        <f t="shared" si="12"/>
        <v>3612.2745454545457</v>
      </c>
      <c r="AA11" s="78">
        <f t="shared" si="3"/>
        <v>8.0272767676767678E-2</v>
      </c>
      <c r="AB11" s="30">
        <v>70</v>
      </c>
      <c r="AC11" s="31">
        <f t="shared" si="13"/>
        <v>0.1671581494949495</v>
      </c>
      <c r="AD11" s="31">
        <f t="shared" si="14"/>
        <v>0.13646370505050506</v>
      </c>
    </row>
    <row r="12" spans="1:30" ht="14.4" x14ac:dyDescent="0.3">
      <c r="A12" s="15">
        <v>100</v>
      </c>
      <c r="B12" s="7" t="s">
        <v>10</v>
      </c>
      <c r="C12" s="22" t="s">
        <v>21</v>
      </c>
      <c r="D12" s="23">
        <v>75000</v>
      </c>
      <c r="E12" s="24">
        <v>0.05</v>
      </c>
      <c r="F12" s="25">
        <v>15</v>
      </c>
      <c r="G12" s="26">
        <f t="shared" si="4"/>
        <v>15.75</v>
      </c>
      <c r="H12" s="27">
        <f t="shared" si="5"/>
        <v>1181.25</v>
      </c>
      <c r="I12" s="27">
        <f>C26</f>
        <v>2.08</v>
      </c>
      <c r="J12" s="89">
        <f t="shared" si="6"/>
        <v>2457</v>
      </c>
      <c r="K12" s="84">
        <f>E36</f>
        <v>1.1438383838383839E-3</v>
      </c>
      <c r="L12" s="28">
        <f t="shared" si="0"/>
        <v>85.787878787878796</v>
      </c>
      <c r="M12" s="29">
        <f>A18*B18</f>
        <v>128</v>
      </c>
      <c r="N12" s="29">
        <f>C18</f>
        <v>450</v>
      </c>
      <c r="O12" s="29">
        <f>E18+F18*D18</f>
        <v>17.5</v>
      </c>
      <c r="P12" s="29">
        <f t="shared" si="1"/>
        <v>166.66666666666666</v>
      </c>
      <c r="Q12" s="28">
        <f>O12*P12</f>
        <v>2916.6666666666665</v>
      </c>
      <c r="R12" s="26">
        <f t="shared" si="8"/>
        <v>5587.454545454546</v>
      </c>
      <c r="S12" s="26">
        <f>G18</f>
        <v>0.3</v>
      </c>
      <c r="T12" s="26">
        <f t="shared" si="9"/>
        <v>7263.6909090909094</v>
      </c>
      <c r="U12" s="27">
        <f t="shared" si="2"/>
        <v>9.6849212121212128E-2</v>
      </c>
      <c r="V12" s="78">
        <f>E19+F19*D19</f>
        <v>11.25</v>
      </c>
      <c r="W12" s="78">
        <f t="shared" si="10"/>
        <v>1875</v>
      </c>
      <c r="X12" s="92">
        <f t="shared" si="11"/>
        <v>4545.787878787879</v>
      </c>
      <c r="Y12" s="78">
        <f>G18</f>
        <v>0.3</v>
      </c>
      <c r="Z12" s="26">
        <f t="shared" si="12"/>
        <v>5909.5242424242424</v>
      </c>
      <c r="AA12" s="78">
        <f t="shared" si="3"/>
        <v>7.8793656565656567E-2</v>
      </c>
      <c r="AB12" s="30">
        <v>70</v>
      </c>
      <c r="AC12" s="31">
        <f t="shared" si="13"/>
        <v>0.16464366060606062</v>
      </c>
      <c r="AD12" s="31">
        <f t="shared" si="14"/>
        <v>0.13394921616161617</v>
      </c>
    </row>
    <row r="13" spans="1:30" ht="14.4" x14ac:dyDescent="0.3">
      <c r="A13" s="15">
        <v>100</v>
      </c>
      <c r="B13" s="7" t="s">
        <v>11</v>
      </c>
      <c r="C13" s="22" t="s">
        <v>22</v>
      </c>
      <c r="D13" s="23">
        <v>125000</v>
      </c>
      <c r="E13" s="24">
        <v>0.03</v>
      </c>
      <c r="F13" s="25">
        <v>15</v>
      </c>
      <c r="G13" s="26">
        <f t="shared" si="4"/>
        <v>15.45</v>
      </c>
      <c r="H13" s="27">
        <f t="shared" si="5"/>
        <v>1931.25</v>
      </c>
      <c r="I13" s="27">
        <f>C26</f>
        <v>2.08</v>
      </c>
      <c r="J13" s="89">
        <f t="shared" si="6"/>
        <v>4017</v>
      </c>
      <c r="K13" s="84">
        <f>E36</f>
        <v>1.1438383838383839E-3</v>
      </c>
      <c r="L13" s="28">
        <f t="shared" si="0"/>
        <v>142.97979797979798</v>
      </c>
      <c r="M13" s="29">
        <f>A18*B18</f>
        <v>128</v>
      </c>
      <c r="N13" s="29">
        <f>C18</f>
        <v>450</v>
      </c>
      <c r="O13" s="29">
        <f>E18+F18*D18</f>
        <v>17.5</v>
      </c>
      <c r="P13" s="29">
        <f t="shared" si="1"/>
        <v>277.77777777777777</v>
      </c>
      <c r="Q13" s="28">
        <f t="shared" si="7"/>
        <v>4861.1111111111113</v>
      </c>
      <c r="R13" s="26">
        <f t="shared" si="8"/>
        <v>9149.0909090909081</v>
      </c>
      <c r="S13" s="26">
        <f>G18</f>
        <v>0.3</v>
      </c>
      <c r="T13" s="26">
        <f t="shared" si="9"/>
        <v>11893.81818181818</v>
      </c>
      <c r="U13" s="27">
        <f t="shared" si="2"/>
        <v>9.5150545454545446E-2</v>
      </c>
      <c r="V13" s="78">
        <f>E19+F19*D19</f>
        <v>11.25</v>
      </c>
      <c r="W13" s="78">
        <f t="shared" si="10"/>
        <v>3125</v>
      </c>
      <c r="X13" s="92">
        <f t="shared" si="11"/>
        <v>7412.9797979797986</v>
      </c>
      <c r="Y13" s="78">
        <f>G18</f>
        <v>0.3</v>
      </c>
      <c r="Z13" s="26">
        <f t="shared" si="12"/>
        <v>9636.8737373737385</v>
      </c>
      <c r="AA13" s="78">
        <f t="shared" si="3"/>
        <v>7.7094989898989913E-2</v>
      </c>
      <c r="AB13" s="30">
        <v>65</v>
      </c>
      <c r="AC13" s="31">
        <f t="shared" si="13"/>
        <v>0.15699839999999998</v>
      </c>
      <c r="AD13" s="31">
        <f t="shared" si="14"/>
        <v>0.12720673333333335</v>
      </c>
    </row>
    <row r="14" spans="1:30" ht="15" thickBot="1" x14ac:dyDescent="0.35">
      <c r="A14" s="15">
        <v>100</v>
      </c>
      <c r="B14" s="7" t="s">
        <v>12</v>
      </c>
      <c r="C14" s="22" t="s">
        <v>23</v>
      </c>
      <c r="D14" s="23">
        <v>200000</v>
      </c>
      <c r="E14" s="24">
        <v>0.03</v>
      </c>
      <c r="F14" s="25">
        <v>15</v>
      </c>
      <c r="G14" s="26">
        <f t="shared" si="4"/>
        <v>15.45</v>
      </c>
      <c r="H14" s="27">
        <f t="shared" si="5"/>
        <v>3090</v>
      </c>
      <c r="I14" s="27">
        <f>C26</f>
        <v>2.08</v>
      </c>
      <c r="J14" s="89">
        <f t="shared" si="6"/>
        <v>6427.2</v>
      </c>
      <c r="K14" s="84">
        <f>E36</f>
        <v>1.1438383838383839E-3</v>
      </c>
      <c r="L14" s="28">
        <f t="shared" si="0"/>
        <v>228.76767676767679</v>
      </c>
      <c r="M14" s="29">
        <f>A18*B18</f>
        <v>128</v>
      </c>
      <c r="N14" s="29">
        <f>C18</f>
        <v>450</v>
      </c>
      <c r="O14" s="29">
        <f>E18+F18*D18</f>
        <v>17.5</v>
      </c>
      <c r="P14" s="29">
        <f t="shared" si="1"/>
        <v>444.44444444444446</v>
      </c>
      <c r="Q14" s="28">
        <f t="shared" si="7"/>
        <v>7777.7777777777783</v>
      </c>
      <c r="R14" s="26">
        <f t="shared" si="8"/>
        <v>14561.745454545455</v>
      </c>
      <c r="S14" s="26">
        <f>G18</f>
        <v>0.3</v>
      </c>
      <c r="T14" s="26">
        <f t="shared" si="9"/>
        <v>18930.269090909089</v>
      </c>
      <c r="U14" s="27">
        <f t="shared" si="2"/>
        <v>9.4651345454545441E-2</v>
      </c>
      <c r="V14" s="78">
        <f>E19+F19*D19</f>
        <v>11.25</v>
      </c>
      <c r="W14" s="78">
        <f t="shared" si="10"/>
        <v>5000</v>
      </c>
      <c r="X14" s="92">
        <f t="shared" si="11"/>
        <v>11783.967676767676</v>
      </c>
      <c r="Y14" s="78">
        <f>G18</f>
        <v>0.3</v>
      </c>
      <c r="Z14" s="26">
        <f t="shared" si="12"/>
        <v>15319.157979797978</v>
      </c>
      <c r="AA14" s="78">
        <f t="shared" si="3"/>
        <v>7.6595789898989894E-2</v>
      </c>
      <c r="AB14" s="30">
        <v>60</v>
      </c>
      <c r="AC14" s="32">
        <f t="shared" si="13"/>
        <v>0.15144215272727271</v>
      </c>
      <c r="AD14" s="32">
        <f t="shared" si="14"/>
        <v>0.12255326383838383</v>
      </c>
    </row>
    <row r="15" spans="1:30" ht="14.4" thickBot="1" x14ac:dyDescent="0.35"/>
    <row r="16" spans="1:30" x14ac:dyDescent="0.3">
      <c r="A16" s="33" t="s">
        <v>27</v>
      </c>
      <c r="B16" s="34"/>
      <c r="C16" s="34"/>
      <c r="D16" s="34"/>
      <c r="E16" s="34"/>
      <c r="F16" s="34"/>
      <c r="G16" s="35"/>
      <c r="AC16" s="80"/>
    </row>
    <row r="17" spans="1:12" x14ac:dyDescent="0.3">
      <c r="A17" s="36" t="s">
        <v>28</v>
      </c>
      <c r="B17" s="37" t="s">
        <v>29</v>
      </c>
      <c r="C17" s="37" t="s">
        <v>30</v>
      </c>
      <c r="D17" s="37" t="s">
        <v>31</v>
      </c>
      <c r="E17" s="37" t="s">
        <v>32</v>
      </c>
      <c r="F17" s="37" t="s">
        <v>33</v>
      </c>
      <c r="G17" s="38" t="s">
        <v>34</v>
      </c>
      <c r="J17" s="39"/>
      <c r="K17" s="85"/>
      <c r="L17" s="14" t="s">
        <v>59</v>
      </c>
    </row>
    <row r="18" spans="1:12" ht="14.4" thickBot="1" x14ac:dyDescent="0.35">
      <c r="A18" s="40">
        <v>4</v>
      </c>
      <c r="B18" s="41">
        <v>32</v>
      </c>
      <c r="C18" s="41">
        <v>450</v>
      </c>
      <c r="D18" s="41">
        <v>0.5</v>
      </c>
      <c r="E18" s="41">
        <v>5</v>
      </c>
      <c r="F18" s="42">
        <v>25</v>
      </c>
      <c r="G18" s="43">
        <v>0.3</v>
      </c>
    </row>
    <row r="19" spans="1:12" ht="14.4" thickBot="1" x14ac:dyDescent="0.35">
      <c r="A19" s="40">
        <v>4</v>
      </c>
      <c r="B19" s="41">
        <v>32</v>
      </c>
      <c r="C19" s="41">
        <v>450</v>
      </c>
      <c r="D19" s="41">
        <v>0.25</v>
      </c>
      <c r="E19" s="41">
        <v>5</v>
      </c>
      <c r="F19" s="42">
        <v>25</v>
      </c>
      <c r="G19" s="43">
        <v>0.3</v>
      </c>
    </row>
    <row r="20" spans="1:12" ht="14.4" thickBot="1" x14ac:dyDescent="0.35">
      <c r="J20" s="44"/>
      <c r="K20" s="86"/>
      <c r="L20" s="14" t="s">
        <v>60</v>
      </c>
    </row>
    <row r="21" spans="1:12" x14ac:dyDescent="0.3">
      <c r="A21" s="45" t="s">
        <v>35</v>
      </c>
      <c r="B21" s="46"/>
      <c r="C21" s="46" t="s">
        <v>36</v>
      </c>
      <c r="D21" s="47" t="s">
        <v>37</v>
      </c>
    </row>
    <row r="22" spans="1:12" x14ac:dyDescent="0.3">
      <c r="A22" s="48" t="s">
        <v>40</v>
      </c>
      <c r="B22" s="49">
        <v>2</v>
      </c>
      <c r="C22" s="50">
        <v>96</v>
      </c>
      <c r="D22" s="51"/>
    </row>
    <row r="23" spans="1:12" x14ac:dyDescent="0.3">
      <c r="A23" s="48" t="s">
        <v>40</v>
      </c>
      <c r="B23" s="49">
        <v>4</v>
      </c>
      <c r="C23" s="50">
        <v>4</v>
      </c>
      <c r="D23" s="51"/>
    </row>
    <row r="24" spans="1:12" x14ac:dyDescent="0.3">
      <c r="A24" s="48" t="s">
        <v>40</v>
      </c>
      <c r="B24" s="49">
        <v>0</v>
      </c>
      <c r="C24" s="50"/>
      <c r="D24" s="51"/>
    </row>
    <row r="25" spans="1:12" ht="14.4" thickBot="1" x14ac:dyDescent="0.35">
      <c r="A25" s="48" t="s">
        <v>44</v>
      </c>
      <c r="B25" s="49">
        <v>0</v>
      </c>
      <c r="C25" s="50"/>
      <c r="D25" s="51"/>
    </row>
    <row r="26" spans="1:12" ht="14.4" thickBot="1" x14ac:dyDescent="0.35">
      <c r="A26" s="52" t="s">
        <v>45</v>
      </c>
      <c r="B26" s="53">
        <f>SUM(B22:B25)</f>
        <v>6</v>
      </c>
      <c r="C26" s="54">
        <f>(B22*C22/100)+(B23*C23/100)+(B24*C24/100)+(B25*C25/100)</f>
        <v>2.08</v>
      </c>
      <c r="D26" s="55" t="s">
        <v>62</v>
      </c>
    </row>
    <row r="27" spans="1:12" ht="14.4" thickBot="1" x14ac:dyDescent="0.35"/>
    <row r="28" spans="1:12" x14ac:dyDescent="0.3">
      <c r="A28" s="56" t="s">
        <v>38</v>
      </c>
      <c r="B28" s="57"/>
      <c r="C28" s="58"/>
      <c r="D28" s="59" t="s">
        <v>39</v>
      </c>
      <c r="E28" s="60" t="s">
        <v>97</v>
      </c>
    </row>
    <row r="29" spans="1:12" x14ac:dyDescent="0.3">
      <c r="A29" s="61" t="s">
        <v>42</v>
      </c>
      <c r="B29" s="62">
        <v>1100</v>
      </c>
      <c r="C29" s="63"/>
      <c r="D29" s="64"/>
      <c r="E29" s="65"/>
    </row>
    <row r="30" spans="1:12" x14ac:dyDescent="0.3">
      <c r="A30" s="61" t="s">
        <v>86</v>
      </c>
      <c r="B30" s="62">
        <v>9</v>
      </c>
      <c r="C30" s="63" t="s">
        <v>41</v>
      </c>
      <c r="D30" s="66">
        <v>0.68100000000000005</v>
      </c>
      <c r="E30" s="65">
        <f>D30*B30</f>
        <v>6.1290000000000004</v>
      </c>
    </row>
    <row r="31" spans="1:12" x14ac:dyDescent="0.3">
      <c r="A31" s="61" t="s">
        <v>87</v>
      </c>
      <c r="B31" s="62">
        <f>B30*B29</f>
        <v>9900</v>
      </c>
      <c r="C31" s="67"/>
      <c r="D31" s="68"/>
      <c r="E31" s="65"/>
    </row>
    <row r="32" spans="1:12" x14ac:dyDescent="0.3">
      <c r="A32" s="61" t="s">
        <v>88</v>
      </c>
      <c r="B32" s="62">
        <v>9</v>
      </c>
      <c r="C32" s="63" t="s">
        <v>43</v>
      </c>
      <c r="D32" s="69">
        <v>0.13800000000000001</v>
      </c>
      <c r="E32" s="65">
        <f>D32*B32</f>
        <v>1.242</v>
      </c>
    </row>
    <row r="33" spans="1:5" x14ac:dyDescent="0.3">
      <c r="A33" s="61" t="s">
        <v>46</v>
      </c>
      <c r="B33" s="62">
        <f>B32*5</f>
        <v>45</v>
      </c>
      <c r="C33" s="63" t="s">
        <v>47</v>
      </c>
      <c r="D33" s="66">
        <v>4.3400000000000001E-2</v>
      </c>
      <c r="E33" s="65">
        <f>D33*B33</f>
        <v>1.9530000000000001</v>
      </c>
    </row>
    <row r="34" spans="1:5" ht="14.4" thickBot="1" x14ac:dyDescent="0.35">
      <c r="A34" s="70" t="s">
        <v>48</v>
      </c>
      <c r="B34" s="71" t="s">
        <v>49</v>
      </c>
      <c r="C34" s="72" t="s">
        <v>50</v>
      </c>
      <c r="D34" s="73">
        <v>2</v>
      </c>
      <c r="E34" s="74">
        <f>D34</f>
        <v>2</v>
      </c>
    </row>
    <row r="35" spans="1:5" ht="14.4" thickBot="1" x14ac:dyDescent="0.35">
      <c r="E35" s="75">
        <f>SUM(E29:E34)</f>
        <v>11.324</v>
      </c>
    </row>
    <row r="36" spans="1:5" ht="14.4" thickBot="1" x14ac:dyDescent="0.35">
      <c r="D36" s="76" t="s">
        <v>98</v>
      </c>
      <c r="E36" s="77">
        <f>E35/B31</f>
        <v>1.1438383838383839E-3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73D38-1882-4332-9FE4-A0FB243E0050}">
  <dimension ref="A2:AD36"/>
  <sheetViews>
    <sheetView topLeftCell="G1" workbookViewId="0">
      <selection activeCell="T4" sqref="T4:T14"/>
    </sheetView>
  </sheetViews>
  <sheetFormatPr defaultColWidth="9.109375" defaultRowHeight="13.8" x14ac:dyDescent="0.3"/>
  <cols>
    <col min="1" max="1" width="28.6640625" style="14" bestFit="1" customWidth="1"/>
    <col min="2" max="2" width="10.109375" style="14" bestFit="1" customWidth="1"/>
    <col min="3" max="3" width="21" style="14" bestFit="1" customWidth="1"/>
    <col min="4" max="4" width="12.44140625" style="14" bestFit="1" customWidth="1"/>
    <col min="5" max="5" width="21" style="14" bestFit="1" customWidth="1"/>
    <col min="6" max="6" width="14.88671875" style="14" bestFit="1" customWidth="1"/>
    <col min="7" max="7" width="23.5546875" style="14" bestFit="1" customWidth="1"/>
    <col min="8" max="8" width="18.6640625" style="14" customWidth="1"/>
    <col min="9" max="9" width="0.109375" style="14" customWidth="1"/>
    <col min="10" max="10" width="9.5546875" style="14" bestFit="1" customWidth="1"/>
    <col min="11" max="11" width="15.33203125" style="82" customWidth="1"/>
    <col min="12" max="12" width="17.5546875" style="14" bestFit="1" customWidth="1"/>
    <col min="13" max="13" width="19.33203125" style="14" customWidth="1"/>
    <col min="14" max="14" width="9.109375" style="14" customWidth="1"/>
    <col min="15" max="15" width="22.88671875" style="14" customWidth="1"/>
    <col min="16" max="16" width="11.88671875" style="14" customWidth="1"/>
    <col min="17" max="17" width="23.5546875" style="14" bestFit="1" customWidth="1"/>
    <col min="18" max="18" width="24.33203125" style="14" customWidth="1"/>
    <col min="19" max="19" width="11" style="14" customWidth="1"/>
    <col min="20" max="20" width="35.5546875" style="14" bestFit="1" customWidth="1"/>
    <col min="21" max="21" width="14.6640625" style="14" bestFit="1" customWidth="1"/>
    <col min="22" max="27" width="14.6640625" style="14" customWidth="1"/>
    <col min="28" max="28" width="16.5546875" style="14" bestFit="1" customWidth="1"/>
    <col min="29" max="29" width="17.44140625" style="14" bestFit="1" customWidth="1"/>
    <col min="30" max="30" width="11.88671875" style="14" bestFit="1" customWidth="1"/>
    <col min="31" max="16384" width="9.109375" style="14"/>
  </cols>
  <sheetData>
    <row r="2" spans="1:30" ht="14.4" thickBot="1" x14ac:dyDescent="0.35"/>
    <row r="3" spans="1:30" ht="74.25" customHeight="1" thickBot="1" x14ac:dyDescent="0.35">
      <c r="A3" s="15" t="s">
        <v>57</v>
      </c>
      <c r="B3" s="15" t="s">
        <v>24</v>
      </c>
      <c r="C3" s="15" t="s">
        <v>25</v>
      </c>
      <c r="D3" s="15" t="s">
        <v>26</v>
      </c>
      <c r="E3" s="15" t="s">
        <v>55</v>
      </c>
      <c r="F3" s="15" t="s">
        <v>58</v>
      </c>
      <c r="G3" s="16" t="s">
        <v>51</v>
      </c>
      <c r="H3" s="17" t="s">
        <v>52</v>
      </c>
      <c r="I3" s="17" t="s">
        <v>61</v>
      </c>
      <c r="J3" s="90" t="s">
        <v>53</v>
      </c>
      <c r="K3" s="83" t="s">
        <v>99</v>
      </c>
      <c r="L3" s="18" t="s">
        <v>96</v>
      </c>
      <c r="M3" s="19" t="s">
        <v>54</v>
      </c>
      <c r="N3" s="19" t="s">
        <v>100</v>
      </c>
      <c r="O3" s="19" t="s">
        <v>108</v>
      </c>
      <c r="P3" s="19" t="s">
        <v>101</v>
      </c>
      <c r="Q3" s="91" t="s">
        <v>116</v>
      </c>
      <c r="R3" s="87" t="s">
        <v>107</v>
      </c>
      <c r="S3" s="88" t="s">
        <v>102</v>
      </c>
      <c r="T3" s="87" t="s">
        <v>104</v>
      </c>
      <c r="U3" s="87" t="s">
        <v>105</v>
      </c>
      <c r="V3" s="19" t="s">
        <v>109</v>
      </c>
      <c r="W3" s="20" t="s">
        <v>110</v>
      </c>
      <c r="X3" s="20"/>
      <c r="Y3" s="20"/>
      <c r="Z3" s="20" t="s">
        <v>111</v>
      </c>
      <c r="AA3" s="20" t="s">
        <v>112</v>
      </c>
      <c r="AB3" s="20" t="s">
        <v>103</v>
      </c>
      <c r="AC3" s="79" t="s">
        <v>106</v>
      </c>
      <c r="AD3" s="21" t="s">
        <v>113</v>
      </c>
    </row>
    <row r="4" spans="1:30" ht="14.4" x14ac:dyDescent="0.3">
      <c r="A4" s="15">
        <v>100</v>
      </c>
      <c r="B4" s="7" t="s">
        <v>2</v>
      </c>
      <c r="C4" s="22" t="s">
        <v>13</v>
      </c>
      <c r="D4" s="23">
        <v>2000</v>
      </c>
      <c r="E4" s="24">
        <v>0.1</v>
      </c>
      <c r="F4" s="25">
        <v>15</v>
      </c>
      <c r="G4" s="26">
        <f>F4+F4*E4</f>
        <v>16.5</v>
      </c>
      <c r="H4" s="27">
        <f>(G4*D4)/1000</f>
        <v>33</v>
      </c>
      <c r="I4" s="27">
        <f>C26</f>
        <v>2.52</v>
      </c>
      <c r="J4" s="89">
        <f>H4*I4</f>
        <v>83.16</v>
      </c>
      <c r="K4" s="84">
        <f>E36</f>
        <v>1.1438383838383839E-3</v>
      </c>
      <c r="L4" s="28">
        <f t="shared" ref="L4:L14" si="0">K4*D4</f>
        <v>2.2876767676767678</v>
      </c>
      <c r="M4" s="29">
        <f>A18*B18</f>
        <v>128</v>
      </c>
      <c r="N4" s="29">
        <f>C18</f>
        <v>450</v>
      </c>
      <c r="O4" s="29">
        <f>E18+F18*D18</f>
        <v>17.5</v>
      </c>
      <c r="P4" s="29">
        <f t="shared" ref="P4:P14" si="1">D4/N4</f>
        <v>4.4444444444444446</v>
      </c>
      <c r="Q4" s="28">
        <f>O4*P4</f>
        <v>77.777777777777786</v>
      </c>
      <c r="R4" s="26">
        <f>Q4+L4+J4+M4</f>
        <v>291.22545454545457</v>
      </c>
      <c r="S4" s="26">
        <f>G18</f>
        <v>0.3</v>
      </c>
      <c r="T4" s="26">
        <f>R4+R4*S4</f>
        <v>378.59309090909096</v>
      </c>
      <c r="U4" s="27">
        <f t="shared" ref="U4:U14" si="2">T4/D4</f>
        <v>0.18929654545454547</v>
      </c>
      <c r="V4" s="78">
        <f>E19+F19*D19</f>
        <v>11.25</v>
      </c>
      <c r="W4" s="78">
        <f>V4*P4</f>
        <v>50</v>
      </c>
      <c r="X4" s="92">
        <f>W4+M4+L4+J4</f>
        <v>263.44767676767674</v>
      </c>
      <c r="Y4" s="78">
        <f>G18</f>
        <v>0.3</v>
      </c>
      <c r="Z4" s="26">
        <f>X4+X4*Y4</f>
        <v>342.48197979797976</v>
      </c>
      <c r="AA4" s="78">
        <f t="shared" ref="AA4:AA14" si="3">Z4/D4</f>
        <v>0.17124098989898989</v>
      </c>
      <c r="AB4" s="30">
        <v>180</v>
      </c>
      <c r="AC4" s="81">
        <f>U4*2+(U4*2*80/100)</f>
        <v>0.68146756363636363</v>
      </c>
      <c r="AD4" s="81">
        <f>AA4*2+(AA4*2*80/100)</f>
        <v>0.61646756363636368</v>
      </c>
    </row>
    <row r="5" spans="1:30" ht="14.4" x14ac:dyDescent="0.3">
      <c r="A5" s="15">
        <v>100</v>
      </c>
      <c r="B5" s="7" t="s">
        <v>3</v>
      </c>
      <c r="C5" s="22" t="s">
        <v>14</v>
      </c>
      <c r="D5" s="23">
        <v>4000</v>
      </c>
      <c r="E5" s="24">
        <v>0.1</v>
      </c>
      <c r="F5" s="25">
        <v>15</v>
      </c>
      <c r="G5" s="26">
        <f t="shared" ref="G5:G14" si="4">F5+F5*E5</f>
        <v>16.5</v>
      </c>
      <c r="H5" s="27">
        <f t="shared" ref="H5:H14" si="5">(G5*D5)/1000</f>
        <v>66</v>
      </c>
      <c r="I5" s="27">
        <f>C26</f>
        <v>2.52</v>
      </c>
      <c r="J5" s="89">
        <f t="shared" ref="J5:J14" si="6">H5*I5</f>
        <v>166.32</v>
      </c>
      <c r="K5" s="84">
        <f>E36</f>
        <v>1.1438383838383839E-3</v>
      </c>
      <c r="L5" s="28">
        <f t="shared" si="0"/>
        <v>4.5753535353535355</v>
      </c>
      <c r="M5" s="29">
        <f>A18*B18</f>
        <v>128</v>
      </c>
      <c r="N5" s="29">
        <f>C18</f>
        <v>450</v>
      </c>
      <c r="O5" s="29">
        <f>E18+F18*D18</f>
        <v>17.5</v>
      </c>
      <c r="P5" s="29">
        <f t="shared" si="1"/>
        <v>8.8888888888888893</v>
      </c>
      <c r="Q5" s="28">
        <f t="shared" ref="Q5:Q14" si="7">O5*P5</f>
        <v>155.55555555555557</v>
      </c>
      <c r="R5" s="26">
        <f t="shared" ref="R5:R14" si="8">Q5+L5+J5+M5</f>
        <v>454.45090909090914</v>
      </c>
      <c r="S5" s="26">
        <f>G18</f>
        <v>0.3</v>
      </c>
      <c r="T5" s="26">
        <f t="shared" ref="T5:T14" si="9">R5+R5*S5</f>
        <v>590.78618181818183</v>
      </c>
      <c r="U5" s="27">
        <f t="shared" si="2"/>
        <v>0.14769654545454547</v>
      </c>
      <c r="V5" s="78">
        <f>E19+F19*D19</f>
        <v>11.25</v>
      </c>
      <c r="W5" s="78">
        <f t="shared" ref="W5:W14" si="10">V5*P5</f>
        <v>100</v>
      </c>
      <c r="X5" s="92">
        <f t="shared" ref="X5:X14" si="11">W5+M5+L5+J5</f>
        <v>398.89535353535354</v>
      </c>
      <c r="Y5" s="78">
        <f>G18</f>
        <v>0.3</v>
      </c>
      <c r="Z5" s="26">
        <f t="shared" ref="Z5:Z14" si="12">X5+X5*Y5</f>
        <v>518.56395959595955</v>
      </c>
      <c r="AA5" s="78">
        <f t="shared" si="3"/>
        <v>0.12964098989898989</v>
      </c>
      <c r="AB5" s="30">
        <v>160</v>
      </c>
      <c r="AC5" s="31">
        <f>U5*2+(U5*2*80/100)</f>
        <v>0.53170756363636373</v>
      </c>
      <c r="AD5" s="31">
        <f>AA5*2+(AA5*2*80/100)</f>
        <v>0.46670756363636362</v>
      </c>
    </row>
    <row r="6" spans="1:30" ht="14.4" x14ac:dyDescent="0.3">
      <c r="A6" s="15">
        <v>100</v>
      </c>
      <c r="B6" s="7" t="s">
        <v>4</v>
      </c>
      <c r="C6" s="22" t="s">
        <v>15</v>
      </c>
      <c r="D6" s="23">
        <v>7500</v>
      </c>
      <c r="E6" s="24">
        <v>7.0000000000000007E-2</v>
      </c>
      <c r="F6" s="25">
        <v>15</v>
      </c>
      <c r="G6" s="26">
        <f t="shared" si="4"/>
        <v>16.05</v>
      </c>
      <c r="H6" s="27">
        <f t="shared" si="5"/>
        <v>120.375</v>
      </c>
      <c r="I6" s="27">
        <f>C26</f>
        <v>2.52</v>
      </c>
      <c r="J6" s="89">
        <f t="shared" si="6"/>
        <v>303.34500000000003</v>
      </c>
      <c r="K6" s="84">
        <f>E36</f>
        <v>1.1438383838383839E-3</v>
      </c>
      <c r="L6" s="28">
        <f t="shared" si="0"/>
        <v>8.57878787878788</v>
      </c>
      <c r="M6" s="29">
        <f>A18*B18</f>
        <v>128</v>
      </c>
      <c r="N6" s="29">
        <f>C18</f>
        <v>450</v>
      </c>
      <c r="O6" s="29">
        <f>E18+F18*D18</f>
        <v>17.5</v>
      </c>
      <c r="P6" s="29">
        <f t="shared" si="1"/>
        <v>16.666666666666668</v>
      </c>
      <c r="Q6" s="28">
        <f t="shared" si="7"/>
        <v>291.66666666666669</v>
      </c>
      <c r="R6" s="26">
        <f t="shared" si="8"/>
        <v>731.59045454545458</v>
      </c>
      <c r="S6" s="26">
        <f>G18</f>
        <v>0.3</v>
      </c>
      <c r="T6" s="26">
        <f t="shared" si="9"/>
        <v>951.067590909091</v>
      </c>
      <c r="U6" s="27">
        <f t="shared" si="2"/>
        <v>0.12680901212121212</v>
      </c>
      <c r="V6" s="78">
        <f>E19+F19*D19</f>
        <v>11.25</v>
      </c>
      <c r="W6" s="78">
        <f t="shared" si="10"/>
        <v>187.5</v>
      </c>
      <c r="X6" s="92">
        <f t="shared" si="11"/>
        <v>627.42378787878783</v>
      </c>
      <c r="Y6" s="78">
        <f>G18</f>
        <v>0.3</v>
      </c>
      <c r="Z6" s="26">
        <f t="shared" si="12"/>
        <v>815.65092424242414</v>
      </c>
      <c r="AA6" s="78">
        <f t="shared" si="3"/>
        <v>0.10875345656565655</v>
      </c>
      <c r="AB6" s="30">
        <v>140</v>
      </c>
      <c r="AC6" s="31">
        <f>U6*2+(U6*2*80/100)</f>
        <v>0.45651244363636362</v>
      </c>
      <c r="AD6" s="31">
        <f>AA6*2+(AA6*2*80/100)</f>
        <v>0.39151244363636356</v>
      </c>
    </row>
    <row r="7" spans="1:30" ht="14.4" x14ac:dyDescent="0.3">
      <c r="A7" s="15">
        <v>100</v>
      </c>
      <c r="B7" s="7" t="s">
        <v>5</v>
      </c>
      <c r="C7" s="22" t="s">
        <v>16</v>
      </c>
      <c r="D7" s="23">
        <v>12500</v>
      </c>
      <c r="E7" s="24">
        <v>7.0000000000000007E-2</v>
      </c>
      <c r="F7" s="25">
        <v>15</v>
      </c>
      <c r="G7" s="26">
        <f t="shared" si="4"/>
        <v>16.05</v>
      </c>
      <c r="H7" s="27">
        <f t="shared" si="5"/>
        <v>200.625</v>
      </c>
      <c r="I7" s="27">
        <f>C26</f>
        <v>2.52</v>
      </c>
      <c r="J7" s="89">
        <f t="shared" si="6"/>
        <v>505.57499999999999</v>
      </c>
      <c r="K7" s="84">
        <f>E36</f>
        <v>1.1438383838383839E-3</v>
      </c>
      <c r="L7" s="28">
        <f t="shared" si="0"/>
        <v>14.297979797979799</v>
      </c>
      <c r="M7" s="29">
        <f>A18*B18</f>
        <v>128</v>
      </c>
      <c r="N7" s="29">
        <f>C18</f>
        <v>450</v>
      </c>
      <c r="O7" s="29">
        <f>E18+F18*D18</f>
        <v>17.5</v>
      </c>
      <c r="P7" s="29">
        <f t="shared" si="1"/>
        <v>27.777777777777779</v>
      </c>
      <c r="Q7" s="28">
        <f t="shared" si="7"/>
        <v>486.11111111111114</v>
      </c>
      <c r="R7" s="26">
        <f t="shared" si="8"/>
        <v>1133.9840909090908</v>
      </c>
      <c r="S7" s="26">
        <f>G18</f>
        <v>0.3</v>
      </c>
      <c r="T7" s="26">
        <f t="shared" si="9"/>
        <v>1474.179318181818</v>
      </c>
      <c r="U7" s="27">
        <f t="shared" si="2"/>
        <v>0.11793434545454544</v>
      </c>
      <c r="V7" s="78">
        <f>E19+F19*D19</f>
        <v>11.25</v>
      </c>
      <c r="W7" s="78">
        <f t="shared" si="10"/>
        <v>312.5</v>
      </c>
      <c r="X7" s="92">
        <f t="shared" si="11"/>
        <v>960.37297979797972</v>
      </c>
      <c r="Y7" s="78">
        <f>G18</f>
        <v>0.3</v>
      </c>
      <c r="Z7" s="26">
        <f t="shared" si="12"/>
        <v>1248.4848737373736</v>
      </c>
      <c r="AA7" s="78">
        <f t="shared" si="3"/>
        <v>9.9878789898989892E-2</v>
      </c>
      <c r="AB7" s="30">
        <v>85</v>
      </c>
      <c r="AC7" s="31">
        <f>U7+U7*AB7/100</f>
        <v>0.21817853909090906</v>
      </c>
      <c r="AD7" s="31">
        <f>AA7+AA7*AB7/100</f>
        <v>0.18477576131313128</v>
      </c>
    </row>
    <row r="8" spans="1:30" ht="14.4" x14ac:dyDescent="0.3">
      <c r="A8" s="15">
        <v>100</v>
      </c>
      <c r="B8" s="7" t="s">
        <v>6</v>
      </c>
      <c r="C8" s="22" t="s">
        <v>17</v>
      </c>
      <c r="D8" s="23">
        <v>17500</v>
      </c>
      <c r="E8" s="24">
        <v>7.0000000000000007E-2</v>
      </c>
      <c r="F8" s="25">
        <v>15</v>
      </c>
      <c r="G8" s="26">
        <f t="shared" si="4"/>
        <v>16.05</v>
      </c>
      <c r="H8" s="27">
        <f t="shared" si="5"/>
        <v>280.875</v>
      </c>
      <c r="I8" s="27">
        <f>C26</f>
        <v>2.52</v>
      </c>
      <c r="J8" s="89">
        <f t="shared" si="6"/>
        <v>707.80499999999995</v>
      </c>
      <c r="K8" s="84">
        <f>E36</f>
        <v>1.1438383838383839E-3</v>
      </c>
      <c r="L8" s="28">
        <f t="shared" si="0"/>
        <v>20.017171717171717</v>
      </c>
      <c r="M8" s="29">
        <f>A18*B18</f>
        <v>128</v>
      </c>
      <c r="N8" s="29">
        <f>C18</f>
        <v>450</v>
      </c>
      <c r="O8" s="29">
        <f>E18+F18*D18</f>
        <v>17.5</v>
      </c>
      <c r="P8" s="29">
        <f t="shared" si="1"/>
        <v>38.888888888888886</v>
      </c>
      <c r="Q8" s="28">
        <f t="shared" si="7"/>
        <v>680.55555555555554</v>
      </c>
      <c r="R8" s="26">
        <f t="shared" si="8"/>
        <v>1536.377727272727</v>
      </c>
      <c r="S8" s="26">
        <f>G18</f>
        <v>0.3</v>
      </c>
      <c r="T8" s="26">
        <f t="shared" si="9"/>
        <v>1997.2910454545452</v>
      </c>
      <c r="U8" s="27">
        <f t="shared" si="2"/>
        <v>0.11413091688311687</v>
      </c>
      <c r="V8" s="78">
        <f>E19+F19*D19</f>
        <v>11.25</v>
      </c>
      <c r="W8" s="78">
        <f t="shared" si="10"/>
        <v>437.49999999999994</v>
      </c>
      <c r="X8" s="92">
        <f t="shared" si="11"/>
        <v>1293.3221717171716</v>
      </c>
      <c r="Y8" s="78">
        <f>G18</f>
        <v>0.3</v>
      </c>
      <c r="Z8" s="26">
        <f t="shared" si="12"/>
        <v>1681.3188232323232</v>
      </c>
      <c r="AA8" s="78">
        <f t="shared" si="3"/>
        <v>9.6075361327561323E-2</v>
      </c>
      <c r="AB8" s="30">
        <v>80</v>
      </c>
      <c r="AC8" s="31">
        <f t="shared" ref="AC8:AC14" si="13">U8+U8*AB8/100</f>
        <v>0.20543565038961037</v>
      </c>
      <c r="AD8" s="31">
        <f t="shared" ref="AD8:AD14" si="14">AA8+AA8*AB8/100</f>
        <v>0.1729356503896104</v>
      </c>
    </row>
    <row r="9" spans="1:30" ht="14.4" x14ac:dyDescent="0.3">
      <c r="A9" s="15">
        <v>100</v>
      </c>
      <c r="B9" s="7" t="s">
        <v>7</v>
      </c>
      <c r="C9" s="22" t="s">
        <v>18</v>
      </c>
      <c r="D9" s="23">
        <v>25000</v>
      </c>
      <c r="E9" s="24">
        <v>0.05</v>
      </c>
      <c r="F9" s="25">
        <v>15</v>
      </c>
      <c r="G9" s="26">
        <f t="shared" si="4"/>
        <v>15.75</v>
      </c>
      <c r="H9" s="27">
        <f t="shared" si="5"/>
        <v>393.75</v>
      </c>
      <c r="I9" s="27">
        <f>C26</f>
        <v>2.52</v>
      </c>
      <c r="J9" s="89">
        <f t="shared" si="6"/>
        <v>992.25</v>
      </c>
      <c r="K9" s="84">
        <f>E36</f>
        <v>1.1438383838383839E-3</v>
      </c>
      <c r="L9" s="28">
        <f t="shared" si="0"/>
        <v>28.595959595959599</v>
      </c>
      <c r="M9" s="29">
        <f>A18*B18</f>
        <v>128</v>
      </c>
      <c r="N9" s="29">
        <f>C18</f>
        <v>450</v>
      </c>
      <c r="O9" s="29">
        <f>E18+F18*D18</f>
        <v>17.5</v>
      </c>
      <c r="P9" s="29">
        <f t="shared" si="1"/>
        <v>55.555555555555557</v>
      </c>
      <c r="Q9" s="28">
        <f t="shared" si="7"/>
        <v>972.22222222222229</v>
      </c>
      <c r="R9" s="26">
        <f t="shared" si="8"/>
        <v>2121.068181818182</v>
      </c>
      <c r="S9" s="26">
        <f>G18</f>
        <v>0.3</v>
      </c>
      <c r="T9" s="26">
        <f t="shared" si="9"/>
        <v>2757.3886363636366</v>
      </c>
      <c r="U9" s="27">
        <f t="shared" si="2"/>
        <v>0.11029554545454547</v>
      </c>
      <c r="V9" s="78">
        <f>E19+F19*D19</f>
        <v>11.25</v>
      </c>
      <c r="W9" s="78">
        <f t="shared" si="10"/>
        <v>625</v>
      </c>
      <c r="X9" s="92">
        <f t="shared" si="11"/>
        <v>1773.8459595959596</v>
      </c>
      <c r="Y9" s="78">
        <f>G18</f>
        <v>0.3</v>
      </c>
      <c r="Z9" s="26">
        <f t="shared" si="12"/>
        <v>2305.9997474747474</v>
      </c>
      <c r="AA9" s="78">
        <f t="shared" si="3"/>
        <v>9.2239989898989891E-2</v>
      </c>
      <c r="AB9" s="30">
        <v>75</v>
      </c>
      <c r="AC9" s="31">
        <f t="shared" si="13"/>
        <v>0.19301720454545457</v>
      </c>
      <c r="AD9" s="31">
        <f t="shared" si="14"/>
        <v>0.16141998232323229</v>
      </c>
    </row>
    <row r="10" spans="1:30" ht="14.4" x14ac:dyDescent="0.3">
      <c r="A10" s="15">
        <v>100</v>
      </c>
      <c r="B10" s="7" t="s">
        <v>8</v>
      </c>
      <c r="C10" s="22" t="s">
        <v>19</v>
      </c>
      <c r="D10" s="23">
        <v>35000</v>
      </c>
      <c r="E10" s="24">
        <v>0.05</v>
      </c>
      <c r="F10" s="25">
        <v>15</v>
      </c>
      <c r="G10" s="26">
        <f t="shared" si="4"/>
        <v>15.75</v>
      </c>
      <c r="H10" s="27">
        <f t="shared" si="5"/>
        <v>551.25</v>
      </c>
      <c r="I10" s="27">
        <f>C26</f>
        <v>2.52</v>
      </c>
      <c r="J10" s="89">
        <f t="shared" si="6"/>
        <v>1389.15</v>
      </c>
      <c r="K10" s="84">
        <f>E36</f>
        <v>1.1438383838383839E-3</v>
      </c>
      <c r="L10" s="28">
        <f t="shared" si="0"/>
        <v>40.034343434343434</v>
      </c>
      <c r="M10" s="29">
        <f>A18*B18</f>
        <v>128</v>
      </c>
      <c r="N10" s="29">
        <f>C18</f>
        <v>450</v>
      </c>
      <c r="O10" s="29">
        <f>E18+F18*D18</f>
        <v>17.5</v>
      </c>
      <c r="P10" s="29">
        <f t="shared" si="1"/>
        <v>77.777777777777771</v>
      </c>
      <c r="Q10" s="28">
        <f t="shared" si="7"/>
        <v>1361.1111111111111</v>
      </c>
      <c r="R10" s="26">
        <f t="shared" si="8"/>
        <v>2918.2954545454545</v>
      </c>
      <c r="S10" s="26">
        <f>G18</f>
        <v>0.3</v>
      </c>
      <c r="T10" s="26">
        <f t="shared" si="9"/>
        <v>3793.784090909091</v>
      </c>
      <c r="U10" s="27">
        <f t="shared" si="2"/>
        <v>0.10839383116883117</v>
      </c>
      <c r="V10" s="78">
        <f>E19+F19*D19</f>
        <v>11.25</v>
      </c>
      <c r="W10" s="78">
        <f t="shared" si="10"/>
        <v>874.99999999999989</v>
      </c>
      <c r="X10" s="92">
        <f t="shared" si="11"/>
        <v>2432.1843434343436</v>
      </c>
      <c r="Y10" s="78">
        <f>G18</f>
        <v>0.3</v>
      </c>
      <c r="Z10" s="26">
        <f t="shared" si="12"/>
        <v>3161.8396464646466</v>
      </c>
      <c r="AA10" s="78">
        <f t="shared" si="3"/>
        <v>9.033827561327562E-2</v>
      </c>
      <c r="AB10" s="30">
        <v>75</v>
      </c>
      <c r="AC10" s="31">
        <f t="shared" si="13"/>
        <v>0.18968920454545454</v>
      </c>
      <c r="AD10" s="31">
        <f t="shared" si="14"/>
        <v>0.15809198232323235</v>
      </c>
    </row>
    <row r="11" spans="1:30" ht="14.4" x14ac:dyDescent="0.3">
      <c r="A11" s="15">
        <v>100</v>
      </c>
      <c r="B11" s="7" t="s">
        <v>9</v>
      </c>
      <c r="C11" s="22" t="s">
        <v>20</v>
      </c>
      <c r="D11" s="23">
        <v>45000</v>
      </c>
      <c r="E11" s="24">
        <v>0.05</v>
      </c>
      <c r="F11" s="25">
        <v>15</v>
      </c>
      <c r="G11" s="26">
        <f t="shared" si="4"/>
        <v>15.75</v>
      </c>
      <c r="H11" s="27">
        <f t="shared" si="5"/>
        <v>708.75</v>
      </c>
      <c r="I11" s="27">
        <f>C26</f>
        <v>2.52</v>
      </c>
      <c r="J11" s="89">
        <f t="shared" si="6"/>
        <v>1786.05</v>
      </c>
      <c r="K11" s="84">
        <f>E36</f>
        <v>1.1438383838383839E-3</v>
      </c>
      <c r="L11" s="28">
        <f t="shared" si="0"/>
        <v>51.472727272727276</v>
      </c>
      <c r="M11" s="29">
        <f>A18*B18</f>
        <v>128</v>
      </c>
      <c r="N11" s="29">
        <f>C18</f>
        <v>450</v>
      </c>
      <c r="O11" s="29">
        <f>E18+F18*D18</f>
        <v>17.5</v>
      </c>
      <c r="P11" s="29">
        <f t="shared" si="1"/>
        <v>100</v>
      </c>
      <c r="Q11" s="28">
        <f t="shared" si="7"/>
        <v>1750</v>
      </c>
      <c r="R11" s="26">
        <f t="shared" si="8"/>
        <v>3715.522727272727</v>
      </c>
      <c r="S11" s="26">
        <f>G18</f>
        <v>0.3</v>
      </c>
      <c r="T11" s="26">
        <f t="shared" si="9"/>
        <v>4830.1795454545454</v>
      </c>
      <c r="U11" s="27">
        <f t="shared" si="2"/>
        <v>0.10733732323232323</v>
      </c>
      <c r="V11" s="78">
        <f>E19+F19*D19</f>
        <v>11.25</v>
      </c>
      <c r="W11" s="78">
        <f t="shared" si="10"/>
        <v>1125</v>
      </c>
      <c r="X11" s="92">
        <f t="shared" si="11"/>
        <v>3090.522727272727</v>
      </c>
      <c r="Y11" s="78">
        <f>G18</f>
        <v>0.3</v>
      </c>
      <c r="Z11" s="26">
        <f t="shared" si="12"/>
        <v>4017.679545454545</v>
      </c>
      <c r="AA11" s="78">
        <f t="shared" si="3"/>
        <v>8.9281767676767668E-2</v>
      </c>
      <c r="AB11" s="30">
        <v>70</v>
      </c>
      <c r="AC11" s="31">
        <f t="shared" si="13"/>
        <v>0.18247344949494948</v>
      </c>
      <c r="AD11" s="31">
        <f t="shared" si="14"/>
        <v>0.15177900505050504</v>
      </c>
    </row>
    <row r="12" spans="1:30" ht="14.4" x14ac:dyDescent="0.3">
      <c r="A12" s="15">
        <v>100</v>
      </c>
      <c r="B12" s="7" t="s">
        <v>10</v>
      </c>
      <c r="C12" s="22" t="s">
        <v>21</v>
      </c>
      <c r="D12" s="23">
        <v>75000</v>
      </c>
      <c r="E12" s="24">
        <v>0.05</v>
      </c>
      <c r="F12" s="25">
        <v>15</v>
      </c>
      <c r="G12" s="26">
        <f t="shared" si="4"/>
        <v>15.75</v>
      </c>
      <c r="H12" s="27">
        <f t="shared" si="5"/>
        <v>1181.25</v>
      </c>
      <c r="I12" s="27">
        <f>C26</f>
        <v>2.52</v>
      </c>
      <c r="J12" s="89">
        <f t="shared" si="6"/>
        <v>2976.75</v>
      </c>
      <c r="K12" s="84">
        <f>E36</f>
        <v>1.1438383838383839E-3</v>
      </c>
      <c r="L12" s="28">
        <f t="shared" si="0"/>
        <v>85.787878787878796</v>
      </c>
      <c r="M12" s="29">
        <f>A18*B18</f>
        <v>128</v>
      </c>
      <c r="N12" s="29">
        <f>C18</f>
        <v>450</v>
      </c>
      <c r="O12" s="29">
        <f>E18+F18*D18</f>
        <v>17.5</v>
      </c>
      <c r="P12" s="29">
        <f t="shared" si="1"/>
        <v>166.66666666666666</v>
      </c>
      <c r="Q12" s="28">
        <f>O12*P12</f>
        <v>2916.6666666666665</v>
      </c>
      <c r="R12" s="26">
        <f t="shared" si="8"/>
        <v>6107.204545454546</v>
      </c>
      <c r="S12" s="26">
        <f>G18</f>
        <v>0.3</v>
      </c>
      <c r="T12" s="26">
        <f t="shared" si="9"/>
        <v>7939.3659090909096</v>
      </c>
      <c r="U12" s="27">
        <f t="shared" si="2"/>
        <v>0.10585821212121213</v>
      </c>
      <c r="V12" s="78">
        <f>E19+F19*D19</f>
        <v>11.25</v>
      </c>
      <c r="W12" s="78">
        <f t="shared" si="10"/>
        <v>1875</v>
      </c>
      <c r="X12" s="92">
        <f t="shared" si="11"/>
        <v>5065.537878787879</v>
      </c>
      <c r="Y12" s="78">
        <f>G18</f>
        <v>0.3</v>
      </c>
      <c r="Z12" s="26">
        <f t="shared" si="12"/>
        <v>6585.1992424242426</v>
      </c>
      <c r="AA12" s="78">
        <f t="shared" si="3"/>
        <v>8.780265656565657E-2</v>
      </c>
      <c r="AB12" s="30">
        <v>70</v>
      </c>
      <c r="AC12" s="31">
        <f t="shared" si="13"/>
        <v>0.17995896060606062</v>
      </c>
      <c r="AD12" s="31">
        <f t="shared" si="14"/>
        <v>0.14926451616161618</v>
      </c>
    </row>
    <row r="13" spans="1:30" ht="14.4" x14ac:dyDescent="0.3">
      <c r="A13" s="15">
        <v>100</v>
      </c>
      <c r="B13" s="7" t="s">
        <v>11</v>
      </c>
      <c r="C13" s="22" t="s">
        <v>22</v>
      </c>
      <c r="D13" s="23">
        <v>125000</v>
      </c>
      <c r="E13" s="24">
        <v>0.03</v>
      </c>
      <c r="F13" s="25">
        <v>15</v>
      </c>
      <c r="G13" s="26">
        <f t="shared" si="4"/>
        <v>15.45</v>
      </c>
      <c r="H13" s="27">
        <f t="shared" si="5"/>
        <v>1931.25</v>
      </c>
      <c r="I13" s="27">
        <f>C26</f>
        <v>2.52</v>
      </c>
      <c r="J13" s="89">
        <f t="shared" si="6"/>
        <v>4866.75</v>
      </c>
      <c r="K13" s="84">
        <f>E36</f>
        <v>1.1438383838383839E-3</v>
      </c>
      <c r="L13" s="28">
        <f t="shared" si="0"/>
        <v>142.97979797979798</v>
      </c>
      <c r="M13" s="29">
        <f>A18*B18</f>
        <v>128</v>
      </c>
      <c r="N13" s="29">
        <f>C18</f>
        <v>450</v>
      </c>
      <c r="O13" s="29">
        <f>E18+F18*D18</f>
        <v>17.5</v>
      </c>
      <c r="P13" s="29">
        <f t="shared" si="1"/>
        <v>277.77777777777777</v>
      </c>
      <c r="Q13" s="28">
        <f t="shared" si="7"/>
        <v>4861.1111111111113</v>
      </c>
      <c r="R13" s="26">
        <f t="shared" si="8"/>
        <v>9998.8409090909081</v>
      </c>
      <c r="S13" s="26">
        <f>G18</f>
        <v>0.3</v>
      </c>
      <c r="T13" s="26">
        <f t="shared" si="9"/>
        <v>12998.493181818179</v>
      </c>
      <c r="U13" s="27">
        <f t="shared" si="2"/>
        <v>0.10398794545454544</v>
      </c>
      <c r="V13" s="78">
        <f>E19+F19*D19</f>
        <v>11.25</v>
      </c>
      <c r="W13" s="78">
        <f t="shared" si="10"/>
        <v>3125</v>
      </c>
      <c r="X13" s="92">
        <f t="shared" si="11"/>
        <v>8262.7297979797986</v>
      </c>
      <c r="Y13" s="78">
        <f>G18</f>
        <v>0.3</v>
      </c>
      <c r="Z13" s="26">
        <f t="shared" si="12"/>
        <v>10741.548737373738</v>
      </c>
      <c r="AA13" s="78">
        <f t="shared" si="3"/>
        <v>8.5932389898989908E-2</v>
      </c>
      <c r="AB13" s="30">
        <v>65</v>
      </c>
      <c r="AC13" s="31">
        <f t="shared" si="13"/>
        <v>0.17158010999999998</v>
      </c>
      <c r="AD13" s="31">
        <f t="shared" si="14"/>
        <v>0.14178844333333335</v>
      </c>
    </row>
    <row r="14" spans="1:30" ht="15" thickBot="1" x14ac:dyDescent="0.35">
      <c r="A14" s="15">
        <v>100</v>
      </c>
      <c r="B14" s="7" t="s">
        <v>12</v>
      </c>
      <c r="C14" s="22" t="s">
        <v>23</v>
      </c>
      <c r="D14" s="23">
        <v>200000</v>
      </c>
      <c r="E14" s="24">
        <v>0.03</v>
      </c>
      <c r="F14" s="25">
        <v>15</v>
      </c>
      <c r="G14" s="26">
        <f t="shared" si="4"/>
        <v>15.45</v>
      </c>
      <c r="H14" s="27">
        <f t="shared" si="5"/>
        <v>3090</v>
      </c>
      <c r="I14" s="27">
        <f>C26</f>
        <v>2.52</v>
      </c>
      <c r="J14" s="89">
        <f t="shared" si="6"/>
        <v>7786.8</v>
      </c>
      <c r="K14" s="84">
        <f>E36</f>
        <v>1.1438383838383839E-3</v>
      </c>
      <c r="L14" s="28">
        <f t="shared" si="0"/>
        <v>228.76767676767679</v>
      </c>
      <c r="M14" s="29">
        <f>A18*B18</f>
        <v>128</v>
      </c>
      <c r="N14" s="29">
        <f>C18</f>
        <v>450</v>
      </c>
      <c r="O14" s="29">
        <f>E18+F18*D18</f>
        <v>17.5</v>
      </c>
      <c r="P14" s="29">
        <f t="shared" si="1"/>
        <v>444.44444444444446</v>
      </c>
      <c r="Q14" s="28">
        <f t="shared" si="7"/>
        <v>7777.7777777777783</v>
      </c>
      <c r="R14" s="26">
        <f t="shared" si="8"/>
        <v>15921.345454545455</v>
      </c>
      <c r="S14" s="26">
        <f>G18</f>
        <v>0.3</v>
      </c>
      <c r="T14" s="26">
        <f t="shared" si="9"/>
        <v>20697.749090909092</v>
      </c>
      <c r="U14" s="27">
        <f t="shared" si="2"/>
        <v>0.10348874545454546</v>
      </c>
      <c r="V14" s="78">
        <f>E19+F19*D19</f>
        <v>11.25</v>
      </c>
      <c r="W14" s="78">
        <f t="shared" si="10"/>
        <v>5000</v>
      </c>
      <c r="X14" s="92">
        <f t="shared" si="11"/>
        <v>13143.567676767678</v>
      </c>
      <c r="Y14" s="78">
        <f>G18</f>
        <v>0.3</v>
      </c>
      <c r="Z14" s="26">
        <f t="shared" si="12"/>
        <v>17086.637979797983</v>
      </c>
      <c r="AA14" s="78">
        <f t="shared" si="3"/>
        <v>8.5433189898989917E-2</v>
      </c>
      <c r="AB14" s="30">
        <v>60</v>
      </c>
      <c r="AC14" s="32">
        <f t="shared" si="13"/>
        <v>0.16558199272727275</v>
      </c>
      <c r="AD14" s="32">
        <f t="shared" si="14"/>
        <v>0.13669310383838387</v>
      </c>
    </row>
    <row r="15" spans="1:30" ht="14.4" thickBot="1" x14ac:dyDescent="0.35"/>
    <row r="16" spans="1:30" x14ac:dyDescent="0.3">
      <c r="A16" s="33" t="s">
        <v>27</v>
      </c>
      <c r="B16" s="34"/>
      <c r="C16" s="34"/>
      <c r="D16" s="34"/>
      <c r="E16" s="34"/>
      <c r="F16" s="34"/>
      <c r="G16" s="35"/>
      <c r="AC16" s="80"/>
    </row>
    <row r="17" spans="1:12" x14ac:dyDescent="0.3">
      <c r="A17" s="36" t="s">
        <v>28</v>
      </c>
      <c r="B17" s="37" t="s">
        <v>29</v>
      </c>
      <c r="C17" s="37" t="s">
        <v>30</v>
      </c>
      <c r="D17" s="37" t="s">
        <v>31</v>
      </c>
      <c r="E17" s="37" t="s">
        <v>32</v>
      </c>
      <c r="F17" s="37" t="s">
        <v>33</v>
      </c>
      <c r="G17" s="38" t="s">
        <v>34</v>
      </c>
      <c r="J17" s="39"/>
      <c r="K17" s="85"/>
      <c r="L17" s="14" t="s">
        <v>59</v>
      </c>
    </row>
    <row r="18" spans="1:12" ht="14.4" thickBot="1" x14ac:dyDescent="0.35">
      <c r="A18" s="40">
        <v>4</v>
      </c>
      <c r="B18" s="41">
        <v>32</v>
      </c>
      <c r="C18" s="41">
        <v>450</v>
      </c>
      <c r="D18" s="41">
        <v>0.5</v>
      </c>
      <c r="E18" s="41">
        <v>5</v>
      </c>
      <c r="F18" s="42">
        <v>25</v>
      </c>
      <c r="G18" s="43">
        <v>0.3</v>
      </c>
    </row>
    <row r="19" spans="1:12" ht="14.4" thickBot="1" x14ac:dyDescent="0.35">
      <c r="A19" s="40">
        <v>4</v>
      </c>
      <c r="B19" s="41">
        <v>32</v>
      </c>
      <c r="C19" s="41">
        <v>450</v>
      </c>
      <c r="D19" s="41">
        <v>0.25</v>
      </c>
      <c r="E19" s="41">
        <v>5</v>
      </c>
      <c r="F19" s="42">
        <v>25</v>
      </c>
      <c r="G19" s="43">
        <v>0.3</v>
      </c>
    </row>
    <row r="20" spans="1:12" ht="14.4" thickBot="1" x14ac:dyDescent="0.35">
      <c r="J20" s="44"/>
      <c r="K20" s="86"/>
      <c r="L20" s="14" t="s">
        <v>60</v>
      </c>
    </row>
    <row r="21" spans="1:12" x14ac:dyDescent="0.3">
      <c r="A21" s="45" t="s">
        <v>35</v>
      </c>
      <c r="B21" s="46"/>
      <c r="C21" s="46" t="s">
        <v>36</v>
      </c>
      <c r="D21" s="47" t="s">
        <v>37</v>
      </c>
    </row>
    <row r="22" spans="1:12" x14ac:dyDescent="0.3">
      <c r="A22" s="48" t="s">
        <v>40</v>
      </c>
      <c r="B22" s="49">
        <v>2</v>
      </c>
      <c r="C22" s="50">
        <v>96</v>
      </c>
      <c r="D22" s="51"/>
    </row>
    <row r="23" spans="1:12" x14ac:dyDescent="0.3">
      <c r="A23" s="48" t="s">
        <v>40</v>
      </c>
      <c r="B23" s="49">
        <v>15</v>
      </c>
      <c r="C23" s="50">
        <v>4</v>
      </c>
      <c r="D23" s="51"/>
    </row>
    <row r="24" spans="1:12" x14ac:dyDescent="0.3">
      <c r="A24" s="48" t="s">
        <v>40</v>
      </c>
      <c r="B24" s="49">
        <v>0</v>
      </c>
      <c r="C24" s="50"/>
      <c r="D24" s="51"/>
    </row>
    <row r="25" spans="1:12" ht="14.4" thickBot="1" x14ac:dyDescent="0.35">
      <c r="A25" s="48" t="s">
        <v>44</v>
      </c>
      <c r="B25" s="49">
        <v>0</v>
      </c>
      <c r="C25" s="50"/>
      <c r="D25" s="51"/>
    </row>
    <row r="26" spans="1:12" ht="14.4" thickBot="1" x14ac:dyDescent="0.35">
      <c r="A26" s="52" t="s">
        <v>45</v>
      </c>
      <c r="B26" s="53">
        <f>SUM(B22:B25)</f>
        <v>17</v>
      </c>
      <c r="C26" s="54">
        <f>(B22*C22/100)+(B23*C23/100)+(B24*C24/100)+(B25*C25/100)</f>
        <v>2.52</v>
      </c>
      <c r="D26" s="55" t="s">
        <v>62</v>
      </c>
    </row>
    <row r="27" spans="1:12" ht="14.4" thickBot="1" x14ac:dyDescent="0.35"/>
    <row r="28" spans="1:12" x14ac:dyDescent="0.3">
      <c r="A28" s="56" t="s">
        <v>38</v>
      </c>
      <c r="B28" s="57"/>
      <c r="C28" s="58"/>
      <c r="D28" s="59" t="s">
        <v>39</v>
      </c>
      <c r="E28" s="60" t="s">
        <v>97</v>
      </c>
    </row>
    <row r="29" spans="1:12" x14ac:dyDescent="0.3">
      <c r="A29" s="61" t="s">
        <v>42</v>
      </c>
      <c r="B29" s="62">
        <v>1100</v>
      </c>
      <c r="C29" s="63"/>
      <c r="D29" s="64"/>
      <c r="E29" s="65"/>
    </row>
    <row r="30" spans="1:12" x14ac:dyDescent="0.3">
      <c r="A30" s="61" t="s">
        <v>86</v>
      </c>
      <c r="B30" s="62">
        <v>9</v>
      </c>
      <c r="C30" s="63" t="s">
        <v>41</v>
      </c>
      <c r="D30" s="66">
        <v>0.68100000000000005</v>
      </c>
      <c r="E30" s="65">
        <f>D30*B30</f>
        <v>6.1290000000000004</v>
      </c>
    </row>
    <row r="31" spans="1:12" x14ac:dyDescent="0.3">
      <c r="A31" s="61" t="s">
        <v>87</v>
      </c>
      <c r="B31" s="62">
        <f>B30*B29</f>
        <v>9900</v>
      </c>
      <c r="C31" s="67"/>
      <c r="D31" s="68"/>
      <c r="E31" s="65"/>
    </row>
    <row r="32" spans="1:12" x14ac:dyDescent="0.3">
      <c r="A32" s="61" t="s">
        <v>88</v>
      </c>
      <c r="B32" s="62">
        <v>9</v>
      </c>
      <c r="C32" s="63" t="s">
        <v>43</v>
      </c>
      <c r="D32" s="69">
        <v>0.13800000000000001</v>
      </c>
      <c r="E32" s="65">
        <f>D32*B32</f>
        <v>1.242</v>
      </c>
    </row>
    <row r="33" spans="1:5" x14ac:dyDescent="0.3">
      <c r="A33" s="61" t="s">
        <v>46</v>
      </c>
      <c r="B33" s="62">
        <f>B32*5</f>
        <v>45</v>
      </c>
      <c r="C33" s="63" t="s">
        <v>47</v>
      </c>
      <c r="D33" s="66">
        <v>4.3400000000000001E-2</v>
      </c>
      <c r="E33" s="65">
        <f>D33*B33</f>
        <v>1.9530000000000001</v>
      </c>
    </row>
    <row r="34" spans="1:5" ht="14.4" thickBot="1" x14ac:dyDescent="0.35">
      <c r="A34" s="70" t="s">
        <v>48</v>
      </c>
      <c r="B34" s="71" t="s">
        <v>49</v>
      </c>
      <c r="C34" s="72" t="s">
        <v>50</v>
      </c>
      <c r="D34" s="73">
        <v>2</v>
      </c>
      <c r="E34" s="74">
        <f>D34</f>
        <v>2</v>
      </c>
    </row>
    <row r="35" spans="1:5" ht="14.4" thickBot="1" x14ac:dyDescent="0.35">
      <c r="E35" s="75">
        <f>SUM(E29:E34)</f>
        <v>11.324</v>
      </c>
    </row>
    <row r="36" spans="1:5" ht="14.4" thickBot="1" x14ac:dyDescent="0.35">
      <c r="D36" s="76" t="s">
        <v>98</v>
      </c>
      <c r="E36" s="77">
        <f>E35/B31</f>
        <v>1.1438383838383839E-3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7F2B7-2C48-49B4-B8A1-FFE7E524DECE}">
  <dimension ref="A2:AD36"/>
  <sheetViews>
    <sheetView topLeftCell="I1" workbookViewId="0">
      <selection activeCell="T4" sqref="T4:T14"/>
    </sheetView>
  </sheetViews>
  <sheetFormatPr defaultColWidth="9.109375" defaultRowHeight="13.8" x14ac:dyDescent="0.3"/>
  <cols>
    <col min="1" max="1" width="28.6640625" style="14" bestFit="1" customWidth="1"/>
    <col min="2" max="2" width="10.109375" style="14" bestFit="1" customWidth="1"/>
    <col min="3" max="3" width="21" style="14" bestFit="1" customWidth="1"/>
    <col min="4" max="4" width="12.44140625" style="14" bestFit="1" customWidth="1"/>
    <col min="5" max="5" width="21" style="14" bestFit="1" customWidth="1"/>
    <col min="6" max="6" width="14.88671875" style="14" bestFit="1" customWidth="1"/>
    <col min="7" max="7" width="23.5546875" style="14" bestFit="1" customWidth="1"/>
    <col min="8" max="8" width="18.6640625" style="14" customWidth="1"/>
    <col min="9" max="9" width="0.109375" style="14" customWidth="1"/>
    <col min="10" max="10" width="9.5546875" style="14" bestFit="1" customWidth="1"/>
    <col min="11" max="11" width="15.33203125" style="82" customWidth="1"/>
    <col min="12" max="12" width="17.5546875" style="14" bestFit="1" customWidth="1"/>
    <col min="13" max="13" width="19.33203125" style="14" customWidth="1"/>
    <col min="14" max="14" width="9.109375" style="14" customWidth="1"/>
    <col min="15" max="15" width="22.88671875" style="14" customWidth="1"/>
    <col min="16" max="16" width="11.88671875" style="14" customWidth="1"/>
    <col min="17" max="17" width="23.5546875" style="14" bestFit="1" customWidth="1"/>
    <col min="18" max="18" width="24.33203125" style="14" customWidth="1"/>
    <col min="19" max="19" width="11" style="14" customWidth="1"/>
    <col min="20" max="20" width="35.5546875" style="14" bestFit="1" customWidth="1"/>
    <col min="21" max="21" width="14.6640625" style="14" bestFit="1" customWidth="1"/>
    <col min="22" max="27" width="14.6640625" style="14" customWidth="1"/>
    <col min="28" max="28" width="16.5546875" style="14" bestFit="1" customWidth="1"/>
    <col min="29" max="29" width="17.44140625" style="14" bestFit="1" customWidth="1"/>
    <col min="30" max="30" width="11.88671875" style="14" bestFit="1" customWidth="1"/>
    <col min="31" max="16384" width="9.109375" style="14"/>
  </cols>
  <sheetData>
    <row r="2" spans="1:30" ht="14.4" thickBot="1" x14ac:dyDescent="0.35"/>
    <row r="3" spans="1:30" ht="74.25" customHeight="1" thickBot="1" x14ac:dyDescent="0.35">
      <c r="A3" s="15" t="s">
        <v>57</v>
      </c>
      <c r="B3" s="15" t="s">
        <v>24</v>
      </c>
      <c r="C3" s="15" t="s">
        <v>25</v>
      </c>
      <c r="D3" s="15" t="s">
        <v>26</v>
      </c>
      <c r="E3" s="15" t="s">
        <v>55</v>
      </c>
      <c r="F3" s="15" t="s">
        <v>58</v>
      </c>
      <c r="G3" s="16" t="s">
        <v>51</v>
      </c>
      <c r="H3" s="17" t="s">
        <v>52</v>
      </c>
      <c r="I3" s="17" t="s">
        <v>61</v>
      </c>
      <c r="J3" s="90" t="s">
        <v>53</v>
      </c>
      <c r="K3" s="83" t="s">
        <v>99</v>
      </c>
      <c r="L3" s="18" t="s">
        <v>96</v>
      </c>
      <c r="M3" s="19" t="s">
        <v>54</v>
      </c>
      <c r="N3" s="19" t="s">
        <v>100</v>
      </c>
      <c r="O3" s="19" t="s">
        <v>108</v>
      </c>
      <c r="P3" s="19" t="s">
        <v>101</v>
      </c>
      <c r="Q3" s="91" t="s">
        <v>116</v>
      </c>
      <c r="R3" s="87" t="s">
        <v>107</v>
      </c>
      <c r="S3" s="88" t="s">
        <v>102</v>
      </c>
      <c r="T3" s="87" t="s">
        <v>104</v>
      </c>
      <c r="U3" s="87" t="s">
        <v>105</v>
      </c>
      <c r="V3" s="19" t="s">
        <v>109</v>
      </c>
      <c r="W3" s="20" t="s">
        <v>110</v>
      </c>
      <c r="X3" s="20"/>
      <c r="Y3" s="20"/>
      <c r="Z3" s="20" t="s">
        <v>111</v>
      </c>
      <c r="AA3" s="20" t="s">
        <v>112</v>
      </c>
      <c r="AB3" s="20" t="s">
        <v>103</v>
      </c>
      <c r="AC3" s="79" t="s">
        <v>106</v>
      </c>
      <c r="AD3" s="21" t="s">
        <v>113</v>
      </c>
    </row>
    <row r="4" spans="1:30" ht="14.4" x14ac:dyDescent="0.3">
      <c r="A4" s="15">
        <v>100</v>
      </c>
      <c r="B4" s="7" t="s">
        <v>2</v>
      </c>
      <c r="C4" s="22" t="s">
        <v>13</v>
      </c>
      <c r="D4" s="23">
        <v>2000</v>
      </c>
      <c r="E4" s="24">
        <v>0.1</v>
      </c>
      <c r="F4" s="25">
        <v>15</v>
      </c>
      <c r="G4" s="26">
        <f>F4+F4*E4</f>
        <v>16.5</v>
      </c>
      <c r="H4" s="27">
        <f>(G4*D4)/1000</f>
        <v>33</v>
      </c>
      <c r="I4" s="27">
        <f>C26</f>
        <v>1.5999999999999999</v>
      </c>
      <c r="J4" s="89">
        <f>H4*I4</f>
        <v>52.8</v>
      </c>
      <c r="K4" s="84">
        <f>E36</f>
        <v>1.1438383838383839E-3</v>
      </c>
      <c r="L4" s="28">
        <f t="shared" ref="L4:L14" si="0">K4*D4</f>
        <v>2.2876767676767678</v>
      </c>
      <c r="M4" s="29">
        <f>A18*B18</f>
        <v>128</v>
      </c>
      <c r="N4" s="29">
        <f>C18</f>
        <v>450</v>
      </c>
      <c r="O4" s="29">
        <f>E18+F18*D18</f>
        <v>17.5</v>
      </c>
      <c r="P4" s="29">
        <f t="shared" ref="P4:P14" si="1">D4/N4</f>
        <v>4.4444444444444446</v>
      </c>
      <c r="Q4" s="28">
        <f>O4*P4</f>
        <v>77.777777777777786</v>
      </c>
      <c r="R4" s="26">
        <f>Q4+L4+J4+M4</f>
        <v>260.86545454545455</v>
      </c>
      <c r="S4" s="26">
        <f>G18</f>
        <v>0.3</v>
      </c>
      <c r="T4" s="26">
        <f>R4+R4*S4</f>
        <v>339.12509090909089</v>
      </c>
      <c r="U4" s="27">
        <f t="shared" ref="U4:U14" si="2">T4/D4</f>
        <v>0.16956254545454544</v>
      </c>
      <c r="V4" s="78">
        <f>E19+F19*D19</f>
        <v>11.25</v>
      </c>
      <c r="W4" s="78">
        <f>V4*P4</f>
        <v>50</v>
      </c>
      <c r="X4" s="92">
        <f>W4+M4+L4+J4</f>
        <v>233.08767676767678</v>
      </c>
      <c r="Y4" s="78">
        <f>G18</f>
        <v>0.3</v>
      </c>
      <c r="Z4" s="26">
        <f>X4+X4*Y4</f>
        <v>303.0139797979798</v>
      </c>
      <c r="AA4" s="78">
        <f t="shared" ref="AA4:AA14" si="3">Z4/D4</f>
        <v>0.15150698989898989</v>
      </c>
      <c r="AB4" s="30">
        <v>180</v>
      </c>
      <c r="AC4" s="81">
        <f>U4*2+(U4*2*80/100)</f>
        <v>0.61042516363636357</v>
      </c>
      <c r="AD4" s="81">
        <f>AA4*2+(AA4*2*80/100)</f>
        <v>0.54542516363636362</v>
      </c>
    </row>
    <row r="5" spans="1:30" ht="14.4" x14ac:dyDescent="0.3">
      <c r="A5" s="15">
        <v>100</v>
      </c>
      <c r="B5" s="7" t="s">
        <v>3</v>
      </c>
      <c r="C5" s="22" t="s">
        <v>14</v>
      </c>
      <c r="D5" s="23">
        <v>4000</v>
      </c>
      <c r="E5" s="24">
        <v>0.1</v>
      </c>
      <c r="F5" s="25">
        <v>15</v>
      </c>
      <c r="G5" s="26">
        <f t="shared" ref="G5:G14" si="4">F5+F5*E5</f>
        <v>16.5</v>
      </c>
      <c r="H5" s="27">
        <f t="shared" ref="H5:H14" si="5">(G5*D5)/1000</f>
        <v>66</v>
      </c>
      <c r="I5" s="27">
        <f>C26</f>
        <v>1.5999999999999999</v>
      </c>
      <c r="J5" s="89">
        <f t="shared" ref="J5:J14" si="6">H5*I5</f>
        <v>105.6</v>
      </c>
      <c r="K5" s="84">
        <f>E36</f>
        <v>1.1438383838383839E-3</v>
      </c>
      <c r="L5" s="28">
        <f t="shared" si="0"/>
        <v>4.5753535353535355</v>
      </c>
      <c r="M5" s="29">
        <f>A18*B18</f>
        <v>128</v>
      </c>
      <c r="N5" s="29">
        <f>C18</f>
        <v>450</v>
      </c>
      <c r="O5" s="29">
        <f>E18+F18*D18</f>
        <v>17.5</v>
      </c>
      <c r="P5" s="29">
        <f t="shared" si="1"/>
        <v>8.8888888888888893</v>
      </c>
      <c r="Q5" s="28">
        <f t="shared" ref="Q5:Q14" si="7">O5*P5</f>
        <v>155.55555555555557</v>
      </c>
      <c r="R5" s="26">
        <f t="shared" ref="R5:R14" si="8">Q5+L5+J5+M5</f>
        <v>393.73090909090911</v>
      </c>
      <c r="S5" s="26">
        <f>G18</f>
        <v>0.3</v>
      </c>
      <c r="T5" s="26">
        <f t="shared" ref="T5:T14" si="9">R5+R5*S5</f>
        <v>511.85018181818185</v>
      </c>
      <c r="U5" s="27">
        <f t="shared" si="2"/>
        <v>0.12796254545454547</v>
      </c>
      <c r="V5" s="78">
        <f>E19+F19*D19</f>
        <v>11.25</v>
      </c>
      <c r="W5" s="78">
        <f t="shared" ref="W5:W14" si="10">V5*P5</f>
        <v>100</v>
      </c>
      <c r="X5" s="92">
        <f t="shared" ref="X5:X14" si="11">W5+M5+L5+J5</f>
        <v>338.17535353535357</v>
      </c>
      <c r="Y5" s="78">
        <f>G18</f>
        <v>0.3</v>
      </c>
      <c r="Z5" s="26">
        <f t="shared" ref="Z5:Z14" si="12">X5+X5*Y5</f>
        <v>439.62795959595962</v>
      </c>
      <c r="AA5" s="78">
        <f t="shared" si="3"/>
        <v>0.10990698989898991</v>
      </c>
      <c r="AB5" s="30">
        <v>160</v>
      </c>
      <c r="AC5" s="31">
        <f>U5*2+(U5*2*80/100)</f>
        <v>0.46066516363636367</v>
      </c>
      <c r="AD5" s="31">
        <f>AA5*2+(AA5*2*80/100)</f>
        <v>0.39566516363636367</v>
      </c>
    </row>
    <row r="6" spans="1:30" ht="14.4" x14ac:dyDescent="0.3">
      <c r="A6" s="15">
        <v>100</v>
      </c>
      <c r="B6" s="7" t="s">
        <v>4</v>
      </c>
      <c r="C6" s="22" t="s">
        <v>15</v>
      </c>
      <c r="D6" s="23">
        <v>7500</v>
      </c>
      <c r="E6" s="24">
        <v>7.0000000000000007E-2</v>
      </c>
      <c r="F6" s="25">
        <v>15</v>
      </c>
      <c r="G6" s="26">
        <f t="shared" si="4"/>
        <v>16.05</v>
      </c>
      <c r="H6" s="27">
        <f t="shared" si="5"/>
        <v>120.375</v>
      </c>
      <c r="I6" s="27">
        <f>C26</f>
        <v>1.5999999999999999</v>
      </c>
      <c r="J6" s="89">
        <f t="shared" si="6"/>
        <v>192.6</v>
      </c>
      <c r="K6" s="84">
        <f>E36</f>
        <v>1.1438383838383839E-3</v>
      </c>
      <c r="L6" s="28">
        <f t="shared" si="0"/>
        <v>8.57878787878788</v>
      </c>
      <c r="M6" s="29">
        <f>A18*B18</f>
        <v>128</v>
      </c>
      <c r="N6" s="29">
        <f>C18</f>
        <v>450</v>
      </c>
      <c r="O6" s="29">
        <f>E18+F18*D18</f>
        <v>17.5</v>
      </c>
      <c r="P6" s="29">
        <f t="shared" si="1"/>
        <v>16.666666666666668</v>
      </c>
      <c r="Q6" s="28">
        <f t="shared" si="7"/>
        <v>291.66666666666669</v>
      </c>
      <c r="R6" s="26">
        <f t="shared" si="8"/>
        <v>620.84545454545457</v>
      </c>
      <c r="S6" s="26">
        <f>G18</f>
        <v>0.3</v>
      </c>
      <c r="T6" s="26">
        <f t="shared" si="9"/>
        <v>807.09909090909093</v>
      </c>
      <c r="U6" s="27">
        <f t="shared" si="2"/>
        <v>0.10761321212121212</v>
      </c>
      <c r="V6" s="78">
        <f>E19+F19*D19</f>
        <v>11.25</v>
      </c>
      <c r="W6" s="78">
        <f t="shared" si="10"/>
        <v>187.5</v>
      </c>
      <c r="X6" s="92">
        <f t="shared" si="11"/>
        <v>516.67878787878783</v>
      </c>
      <c r="Y6" s="78">
        <f>G18</f>
        <v>0.3</v>
      </c>
      <c r="Z6" s="26">
        <f t="shared" si="12"/>
        <v>671.68242424242419</v>
      </c>
      <c r="AA6" s="78">
        <f t="shared" si="3"/>
        <v>8.9557656565656563E-2</v>
      </c>
      <c r="AB6" s="30">
        <v>140</v>
      </c>
      <c r="AC6" s="31">
        <f>U6*2+(U6*2*80/100)</f>
        <v>0.38740756363636364</v>
      </c>
      <c r="AD6" s="31">
        <f>AA6*2+(AA6*2*80/100)</f>
        <v>0.32240756363636364</v>
      </c>
    </row>
    <row r="7" spans="1:30" ht="14.4" x14ac:dyDescent="0.3">
      <c r="A7" s="15">
        <v>100</v>
      </c>
      <c r="B7" s="7" t="s">
        <v>5</v>
      </c>
      <c r="C7" s="22" t="s">
        <v>16</v>
      </c>
      <c r="D7" s="23">
        <v>12500</v>
      </c>
      <c r="E7" s="24">
        <v>7.0000000000000007E-2</v>
      </c>
      <c r="F7" s="25">
        <v>15</v>
      </c>
      <c r="G7" s="26">
        <f t="shared" si="4"/>
        <v>16.05</v>
      </c>
      <c r="H7" s="27">
        <f t="shared" si="5"/>
        <v>200.625</v>
      </c>
      <c r="I7" s="27">
        <f>C26</f>
        <v>1.5999999999999999</v>
      </c>
      <c r="J7" s="89">
        <f t="shared" si="6"/>
        <v>321</v>
      </c>
      <c r="K7" s="84">
        <f>E36</f>
        <v>1.1438383838383839E-3</v>
      </c>
      <c r="L7" s="28">
        <f t="shared" si="0"/>
        <v>14.297979797979799</v>
      </c>
      <c r="M7" s="29">
        <f>A18*B18</f>
        <v>128</v>
      </c>
      <c r="N7" s="29">
        <f>C18</f>
        <v>450</v>
      </c>
      <c r="O7" s="29">
        <f>E18+F18*D18</f>
        <v>17.5</v>
      </c>
      <c r="P7" s="29">
        <f t="shared" si="1"/>
        <v>27.777777777777779</v>
      </c>
      <c r="Q7" s="28">
        <f t="shared" si="7"/>
        <v>486.11111111111114</v>
      </c>
      <c r="R7" s="26">
        <f t="shared" si="8"/>
        <v>949.40909090909099</v>
      </c>
      <c r="S7" s="26">
        <f>G18</f>
        <v>0.3</v>
      </c>
      <c r="T7" s="26">
        <f t="shared" si="9"/>
        <v>1234.2318181818182</v>
      </c>
      <c r="U7" s="27">
        <f t="shared" si="2"/>
        <v>9.8738545454545454E-2</v>
      </c>
      <c r="V7" s="78">
        <f>E19+F19*D19</f>
        <v>11.25</v>
      </c>
      <c r="W7" s="78">
        <f t="shared" si="10"/>
        <v>312.5</v>
      </c>
      <c r="X7" s="92">
        <f t="shared" si="11"/>
        <v>775.79797979797979</v>
      </c>
      <c r="Y7" s="78">
        <f>G18</f>
        <v>0.3</v>
      </c>
      <c r="Z7" s="26">
        <f t="shared" si="12"/>
        <v>1008.5373737373737</v>
      </c>
      <c r="AA7" s="78">
        <f t="shared" si="3"/>
        <v>8.0682989898989893E-2</v>
      </c>
      <c r="AB7" s="30">
        <v>85</v>
      </c>
      <c r="AC7" s="31">
        <f>U7+U7*AB7/100</f>
        <v>0.18266630909090908</v>
      </c>
      <c r="AD7" s="31">
        <f>AA7+AA7*AB7/100</f>
        <v>0.1492635313131313</v>
      </c>
    </row>
    <row r="8" spans="1:30" ht="14.4" x14ac:dyDescent="0.3">
      <c r="A8" s="15">
        <v>100</v>
      </c>
      <c r="B8" s="7" t="s">
        <v>6</v>
      </c>
      <c r="C8" s="22" t="s">
        <v>17</v>
      </c>
      <c r="D8" s="23">
        <v>17500</v>
      </c>
      <c r="E8" s="24">
        <v>7.0000000000000007E-2</v>
      </c>
      <c r="F8" s="25">
        <v>15</v>
      </c>
      <c r="G8" s="26">
        <f t="shared" si="4"/>
        <v>16.05</v>
      </c>
      <c r="H8" s="27">
        <f t="shared" si="5"/>
        <v>280.875</v>
      </c>
      <c r="I8" s="27">
        <f>C26</f>
        <v>1.5999999999999999</v>
      </c>
      <c r="J8" s="89">
        <f t="shared" si="6"/>
        <v>449.4</v>
      </c>
      <c r="K8" s="84">
        <f>E36</f>
        <v>1.1438383838383839E-3</v>
      </c>
      <c r="L8" s="28">
        <f t="shared" si="0"/>
        <v>20.017171717171717</v>
      </c>
      <c r="M8" s="29">
        <f>A18*B18</f>
        <v>128</v>
      </c>
      <c r="N8" s="29">
        <f>C18</f>
        <v>450</v>
      </c>
      <c r="O8" s="29">
        <f>E18+F18*D18</f>
        <v>17.5</v>
      </c>
      <c r="P8" s="29">
        <f t="shared" si="1"/>
        <v>38.888888888888886</v>
      </c>
      <c r="Q8" s="28">
        <f t="shared" si="7"/>
        <v>680.55555555555554</v>
      </c>
      <c r="R8" s="26">
        <f t="shared" si="8"/>
        <v>1277.9727272727273</v>
      </c>
      <c r="S8" s="26">
        <f>G18</f>
        <v>0.3</v>
      </c>
      <c r="T8" s="26">
        <f t="shared" si="9"/>
        <v>1661.3645454545454</v>
      </c>
      <c r="U8" s="27">
        <f t="shared" si="2"/>
        <v>9.4935116883116871E-2</v>
      </c>
      <c r="V8" s="78">
        <f>E19+F19*D19</f>
        <v>11.25</v>
      </c>
      <c r="W8" s="78">
        <f t="shared" si="10"/>
        <v>437.49999999999994</v>
      </c>
      <c r="X8" s="92">
        <f t="shared" si="11"/>
        <v>1034.9171717171716</v>
      </c>
      <c r="Y8" s="78">
        <f>G18</f>
        <v>0.3</v>
      </c>
      <c r="Z8" s="26">
        <f t="shared" si="12"/>
        <v>1345.3923232323232</v>
      </c>
      <c r="AA8" s="78">
        <f t="shared" si="3"/>
        <v>7.6879561327561324E-2</v>
      </c>
      <c r="AB8" s="30">
        <v>80</v>
      </c>
      <c r="AC8" s="31">
        <f t="shared" ref="AC8:AC14" si="13">U8+U8*AB8/100</f>
        <v>0.17088321038961035</v>
      </c>
      <c r="AD8" s="31">
        <f t="shared" ref="AD8:AD14" si="14">AA8+AA8*AB8/100</f>
        <v>0.13838321038961038</v>
      </c>
    </row>
    <row r="9" spans="1:30" ht="14.4" x14ac:dyDescent="0.3">
      <c r="A9" s="15">
        <v>100</v>
      </c>
      <c r="B9" s="7" t="s">
        <v>7</v>
      </c>
      <c r="C9" s="22" t="s">
        <v>18</v>
      </c>
      <c r="D9" s="23">
        <v>25000</v>
      </c>
      <c r="E9" s="24">
        <v>0.05</v>
      </c>
      <c r="F9" s="25">
        <v>15</v>
      </c>
      <c r="G9" s="26">
        <f t="shared" si="4"/>
        <v>15.75</v>
      </c>
      <c r="H9" s="27">
        <f t="shared" si="5"/>
        <v>393.75</v>
      </c>
      <c r="I9" s="27">
        <f>C26</f>
        <v>1.5999999999999999</v>
      </c>
      <c r="J9" s="89">
        <f t="shared" si="6"/>
        <v>630</v>
      </c>
      <c r="K9" s="84">
        <f>E36</f>
        <v>1.1438383838383839E-3</v>
      </c>
      <c r="L9" s="28">
        <f t="shared" si="0"/>
        <v>28.595959595959599</v>
      </c>
      <c r="M9" s="29">
        <f>A18*B18</f>
        <v>128</v>
      </c>
      <c r="N9" s="29">
        <f>C18</f>
        <v>450</v>
      </c>
      <c r="O9" s="29">
        <f>E18+F18*D18</f>
        <v>17.5</v>
      </c>
      <c r="P9" s="29">
        <f t="shared" si="1"/>
        <v>55.555555555555557</v>
      </c>
      <c r="Q9" s="28">
        <f t="shared" si="7"/>
        <v>972.22222222222229</v>
      </c>
      <c r="R9" s="26">
        <f t="shared" si="8"/>
        <v>1758.818181818182</v>
      </c>
      <c r="S9" s="26">
        <f>G18</f>
        <v>0.3</v>
      </c>
      <c r="T9" s="26">
        <f t="shared" si="9"/>
        <v>2286.4636363636364</v>
      </c>
      <c r="U9" s="27">
        <f t="shared" si="2"/>
        <v>9.1458545454545459E-2</v>
      </c>
      <c r="V9" s="78">
        <f>E19+F19*D19</f>
        <v>11.25</v>
      </c>
      <c r="W9" s="78">
        <f t="shared" si="10"/>
        <v>625</v>
      </c>
      <c r="X9" s="92">
        <f t="shared" si="11"/>
        <v>1411.5959595959596</v>
      </c>
      <c r="Y9" s="78">
        <f>G18</f>
        <v>0.3</v>
      </c>
      <c r="Z9" s="26">
        <f t="shared" si="12"/>
        <v>1835.0747474747475</v>
      </c>
      <c r="AA9" s="78">
        <f t="shared" si="3"/>
        <v>7.3402989898989898E-2</v>
      </c>
      <c r="AB9" s="30">
        <v>75</v>
      </c>
      <c r="AC9" s="31">
        <f t="shared" si="13"/>
        <v>0.16005245454545455</v>
      </c>
      <c r="AD9" s="31">
        <f t="shared" si="14"/>
        <v>0.12845523232323233</v>
      </c>
    </row>
    <row r="10" spans="1:30" ht="14.4" x14ac:dyDescent="0.3">
      <c r="A10" s="15">
        <v>100</v>
      </c>
      <c r="B10" s="7" t="s">
        <v>8</v>
      </c>
      <c r="C10" s="22" t="s">
        <v>19</v>
      </c>
      <c r="D10" s="23">
        <v>35000</v>
      </c>
      <c r="E10" s="24">
        <v>0.05</v>
      </c>
      <c r="F10" s="25">
        <v>15</v>
      </c>
      <c r="G10" s="26">
        <f t="shared" si="4"/>
        <v>15.75</v>
      </c>
      <c r="H10" s="27">
        <f t="shared" si="5"/>
        <v>551.25</v>
      </c>
      <c r="I10" s="27">
        <f>C26</f>
        <v>1.5999999999999999</v>
      </c>
      <c r="J10" s="89">
        <f t="shared" si="6"/>
        <v>881.99999999999989</v>
      </c>
      <c r="K10" s="84">
        <f>E36</f>
        <v>1.1438383838383839E-3</v>
      </c>
      <c r="L10" s="28">
        <f t="shared" si="0"/>
        <v>40.034343434343434</v>
      </c>
      <c r="M10" s="29">
        <f>A18*B18</f>
        <v>128</v>
      </c>
      <c r="N10" s="29">
        <f>C18</f>
        <v>450</v>
      </c>
      <c r="O10" s="29">
        <f>E18+F18*D18</f>
        <v>17.5</v>
      </c>
      <c r="P10" s="29">
        <f t="shared" si="1"/>
        <v>77.777777777777771</v>
      </c>
      <c r="Q10" s="28">
        <f t="shared" si="7"/>
        <v>1361.1111111111111</v>
      </c>
      <c r="R10" s="26">
        <f t="shared" si="8"/>
        <v>2411.1454545454544</v>
      </c>
      <c r="S10" s="26">
        <f>G18</f>
        <v>0.3</v>
      </c>
      <c r="T10" s="26">
        <f t="shared" si="9"/>
        <v>3134.4890909090909</v>
      </c>
      <c r="U10" s="27">
        <f t="shared" si="2"/>
        <v>8.9556831168831175E-2</v>
      </c>
      <c r="V10" s="78">
        <f>E19+F19*D19</f>
        <v>11.25</v>
      </c>
      <c r="W10" s="78">
        <f t="shared" si="10"/>
        <v>874.99999999999989</v>
      </c>
      <c r="X10" s="92">
        <f t="shared" si="11"/>
        <v>1925.0343434343431</v>
      </c>
      <c r="Y10" s="78">
        <f>G18</f>
        <v>0.3</v>
      </c>
      <c r="Z10" s="26">
        <f t="shared" si="12"/>
        <v>2502.5446464646461</v>
      </c>
      <c r="AA10" s="78">
        <f t="shared" si="3"/>
        <v>7.15012756132756E-2</v>
      </c>
      <c r="AB10" s="30">
        <v>75</v>
      </c>
      <c r="AC10" s="31">
        <f t="shared" si="13"/>
        <v>0.15672445454545456</v>
      </c>
      <c r="AD10" s="31">
        <f t="shared" si="14"/>
        <v>0.12512723232323231</v>
      </c>
    </row>
    <row r="11" spans="1:30" ht="14.4" x14ac:dyDescent="0.3">
      <c r="A11" s="15">
        <v>100</v>
      </c>
      <c r="B11" s="7" t="s">
        <v>9</v>
      </c>
      <c r="C11" s="22" t="s">
        <v>20</v>
      </c>
      <c r="D11" s="23">
        <v>45000</v>
      </c>
      <c r="E11" s="24">
        <v>0.05</v>
      </c>
      <c r="F11" s="25">
        <v>15</v>
      </c>
      <c r="G11" s="26">
        <f t="shared" si="4"/>
        <v>15.75</v>
      </c>
      <c r="H11" s="27">
        <f t="shared" si="5"/>
        <v>708.75</v>
      </c>
      <c r="I11" s="27">
        <f>C26</f>
        <v>1.5999999999999999</v>
      </c>
      <c r="J11" s="89">
        <f t="shared" si="6"/>
        <v>1134</v>
      </c>
      <c r="K11" s="84">
        <f>E36</f>
        <v>1.1438383838383839E-3</v>
      </c>
      <c r="L11" s="28">
        <f t="shared" si="0"/>
        <v>51.472727272727276</v>
      </c>
      <c r="M11" s="29">
        <f>A18*B18</f>
        <v>128</v>
      </c>
      <c r="N11" s="29">
        <f>C18</f>
        <v>450</v>
      </c>
      <c r="O11" s="29">
        <f>E18+F18*D18</f>
        <v>17.5</v>
      </c>
      <c r="P11" s="29">
        <f t="shared" si="1"/>
        <v>100</v>
      </c>
      <c r="Q11" s="28">
        <f t="shared" si="7"/>
        <v>1750</v>
      </c>
      <c r="R11" s="26">
        <f t="shared" si="8"/>
        <v>3063.4727272727273</v>
      </c>
      <c r="S11" s="26">
        <f>G18</f>
        <v>0.3</v>
      </c>
      <c r="T11" s="26">
        <f t="shared" si="9"/>
        <v>3982.5145454545454</v>
      </c>
      <c r="U11" s="27">
        <f t="shared" si="2"/>
        <v>8.8500323232323236E-2</v>
      </c>
      <c r="V11" s="78">
        <f>E19+F19*D19</f>
        <v>11.25</v>
      </c>
      <c r="W11" s="78">
        <f t="shared" si="10"/>
        <v>1125</v>
      </c>
      <c r="X11" s="92">
        <f t="shared" si="11"/>
        <v>2438.4727272727273</v>
      </c>
      <c r="Y11" s="78">
        <f>G18</f>
        <v>0.3</v>
      </c>
      <c r="Z11" s="26">
        <f t="shared" si="12"/>
        <v>3170.0145454545454</v>
      </c>
      <c r="AA11" s="78">
        <f t="shared" si="3"/>
        <v>7.0444767676767675E-2</v>
      </c>
      <c r="AB11" s="30">
        <v>70</v>
      </c>
      <c r="AC11" s="31">
        <f t="shared" si="13"/>
        <v>0.15045054949494951</v>
      </c>
      <c r="AD11" s="31">
        <f t="shared" si="14"/>
        <v>0.11975610505050505</v>
      </c>
    </row>
    <row r="12" spans="1:30" ht="14.4" x14ac:dyDescent="0.3">
      <c r="A12" s="15">
        <v>100</v>
      </c>
      <c r="B12" s="7" t="s">
        <v>10</v>
      </c>
      <c r="C12" s="22" t="s">
        <v>21</v>
      </c>
      <c r="D12" s="23">
        <v>75000</v>
      </c>
      <c r="E12" s="24">
        <v>0.05</v>
      </c>
      <c r="F12" s="25">
        <v>15</v>
      </c>
      <c r="G12" s="26">
        <f t="shared" si="4"/>
        <v>15.75</v>
      </c>
      <c r="H12" s="27">
        <f t="shared" si="5"/>
        <v>1181.25</v>
      </c>
      <c r="I12" s="27">
        <f>C26</f>
        <v>1.5999999999999999</v>
      </c>
      <c r="J12" s="89">
        <f t="shared" si="6"/>
        <v>1889.9999999999998</v>
      </c>
      <c r="K12" s="84">
        <f>E36</f>
        <v>1.1438383838383839E-3</v>
      </c>
      <c r="L12" s="28">
        <f t="shared" si="0"/>
        <v>85.787878787878796</v>
      </c>
      <c r="M12" s="29">
        <f>A18*B18</f>
        <v>128</v>
      </c>
      <c r="N12" s="29">
        <f>C18</f>
        <v>450</v>
      </c>
      <c r="O12" s="29">
        <f>E18+F18*D18</f>
        <v>17.5</v>
      </c>
      <c r="P12" s="29">
        <f t="shared" si="1"/>
        <v>166.66666666666666</v>
      </c>
      <c r="Q12" s="28">
        <f>O12*P12</f>
        <v>2916.6666666666665</v>
      </c>
      <c r="R12" s="26">
        <f t="shared" si="8"/>
        <v>5020.454545454545</v>
      </c>
      <c r="S12" s="26">
        <f>G18</f>
        <v>0.3</v>
      </c>
      <c r="T12" s="26">
        <f t="shared" si="9"/>
        <v>6526.5909090909081</v>
      </c>
      <c r="U12" s="27">
        <f t="shared" si="2"/>
        <v>8.702121212121211E-2</v>
      </c>
      <c r="V12" s="78">
        <f>E19+F19*D19</f>
        <v>11.25</v>
      </c>
      <c r="W12" s="78">
        <f t="shared" si="10"/>
        <v>1875</v>
      </c>
      <c r="X12" s="92">
        <f t="shared" si="11"/>
        <v>3978.787878787879</v>
      </c>
      <c r="Y12" s="78">
        <f>G18</f>
        <v>0.3</v>
      </c>
      <c r="Z12" s="26">
        <f t="shared" si="12"/>
        <v>5172.4242424242429</v>
      </c>
      <c r="AA12" s="78">
        <f t="shared" si="3"/>
        <v>6.8965656565656577E-2</v>
      </c>
      <c r="AB12" s="30">
        <v>70</v>
      </c>
      <c r="AC12" s="31">
        <f t="shared" si="13"/>
        <v>0.1479360606060606</v>
      </c>
      <c r="AD12" s="31">
        <f t="shared" si="14"/>
        <v>0.11724161616161619</v>
      </c>
    </row>
    <row r="13" spans="1:30" ht="14.4" x14ac:dyDescent="0.3">
      <c r="A13" s="15">
        <v>100</v>
      </c>
      <c r="B13" s="7" t="s">
        <v>11</v>
      </c>
      <c r="C13" s="22" t="s">
        <v>22</v>
      </c>
      <c r="D13" s="23">
        <v>125000</v>
      </c>
      <c r="E13" s="24">
        <v>0.03</v>
      </c>
      <c r="F13" s="25">
        <v>15</v>
      </c>
      <c r="G13" s="26">
        <f t="shared" si="4"/>
        <v>15.45</v>
      </c>
      <c r="H13" s="27">
        <f t="shared" si="5"/>
        <v>1931.25</v>
      </c>
      <c r="I13" s="27">
        <f>C26</f>
        <v>1.5999999999999999</v>
      </c>
      <c r="J13" s="89">
        <f t="shared" si="6"/>
        <v>3089.9999999999995</v>
      </c>
      <c r="K13" s="84">
        <f>E36</f>
        <v>1.1438383838383839E-3</v>
      </c>
      <c r="L13" s="28">
        <f t="shared" si="0"/>
        <v>142.97979797979798</v>
      </c>
      <c r="M13" s="29">
        <f>A18*B18</f>
        <v>128</v>
      </c>
      <c r="N13" s="29">
        <f>C18</f>
        <v>450</v>
      </c>
      <c r="O13" s="29">
        <f>E18+F18*D18</f>
        <v>17.5</v>
      </c>
      <c r="P13" s="29">
        <f t="shared" si="1"/>
        <v>277.77777777777777</v>
      </c>
      <c r="Q13" s="28">
        <f t="shared" si="7"/>
        <v>4861.1111111111113</v>
      </c>
      <c r="R13" s="26">
        <f t="shared" si="8"/>
        <v>8222.0909090909081</v>
      </c>
      <c r="S13" s="26">
        <f>G18</f>
        <v>0.3</v>
      </c>
      <c r="T13" s="26">
        <f t="shared" si="9"/>
        <v>10688.71818181818</v>
      </c>
      <c r="U13" s="27">
        <f t="shared" si="2"/>
        <v>8.5509745454545441E-2</v>
      </c>
      <c r="V13" s="78">
        <f>E19+F19*D19</f>
        <v>11.25</v>
      </c>
      <c r="W13" s="78">
        <f t="shared" si="10"/>
        <v>3125</v>
      </c>
      <c r="X13" s="92">
        <f t="shared" si="11"/>
        <v>6485.9797979797977</v>
      </c>
      <c r="Y13" s="78">
        <f>G18</f>
        <v>0.3</v>
      </c>
      <c r="Z13" s="26">
        <f t="shared" si="12"/>
        <v>8431.7737373737364</v>
      </c>
      <c r="AA13" s="78">
        <f t="shared" si="3"/>
        <v>6.7454189898989894E-2</v>
      </c>
      <c r="AB13" s="30">
        <v>65</v>
      </c>
      <c r="AC13" s="31">
        <f t="shared" si="13"/>
        <v>0.14109107999999998</v>
      </c>
      <c r="AD13" s="31">
        <f t="shared" si="14"/>
        <v>0.11129941333333332</v>
      </c>
    </row>
    <row r="14" spans="1:30" ht="15" thickBot="1" x14ac:dyDescent="0.35">
      <c r="A14" s="15">
        <v>100</v>
      </c>
      <c r="B14" s="7" t="s">
        <v>12</v>
      </c>
      <c r="C14" s="22" t="s">
        <v>23</v>
      </c>
      <c r="D14" s="23">
        <v>200000</v>
      </c>
      <c r="E14" s="24">
        <v>0.03</v>
      </c>
      <c r="F14" s="25">
        <v>15</v>
      </c>
      <c r="G14" s="26">
        <f t="shared" si="4"/>
        <v>15.45</v>
      </c>
      <c r="H14" s="27">
        <f t="shared" si="5"/>
        <v>3090</v>
      </c>
      <c r="I14" s="27">
        <f>C26</f>
        <v>1.5999999999999999</v>
      </c>
      <c r="J14" s="89">
        <f t="shared" si="6"/>
        <v>4944</v>
      </c>
      <c r="K14" s="84">
        <f>E36</f>
        <v>1.1438383838383839E-3</v>
      </c>
      <c r="L14" s="28">
        <f t="shared" si="0"/>
        <v>228.76767676767679</v>
      </c>
      <c r="M14" s="29">
        <f>A18*B18</f>
        <v>128</v>
      </c>
      <c r="N14" s="29">
        <f>C18</f>
        <v>450</v>
      </c>
      <c r="O14" s="29">
        <f>E18+F18*D18</f>
        <v>17.5</v>
      </c>
      <c r="P14" s="29">
        <f t="shared" si="1"/>
        <v>444.44444444444446</v>
      </c>
      <c r="Q14" s="28">
        <f t="shared" si="7"/>
        <v>7777.7777777777783</v>
      </c>
      <c r="R14" s="26">
        <f t="shared" si="8"/>
        <v>13078.545454545456</v>
      </c>
      <c r="S14" s="26">
        <f>G18</f>
        <v>0.3</v>
      </c>
      <c r="T14" s="26">
        <f t="shared" si="9"/>
        <v>17002.109090909093</v>
      </c>
      <c r="U14" s="27">
        <f t="shared" si="2"/>
        <v>8.5010545454545464E-2</v>
      </c>
      <c r="V14" s="78">
        <f>E19+F19*D19</f>
        <v>11.25</v>
      </c>
      <c r="W14" s="78">
        <f t="shared" si="10"/>
        <v>5000</v>
      </c>
      <c r="X14" s="92">
        <f t="shared" si="11"/>
        <v>10300.767676767677</v>
      </c>
      <c r="Y14" s="78">
        <f>G18</f>
        <v>0.3</v>
      </c>
      <c r="Z14" s="26">
        <f t="shared" si="12"/>
        <v>13390.997979797979</v>
      </c>
      <c r="AA14" s="78">
        <f t="shared" si="3"/>
        <v>6.6954989898989903E-2</v>
      </c>
      <c r="AB14" s="30">
        <v>60</v>
      </c>
      <c r="AC14" s="32">
        <f t="shared" si="13"/>
        <v>0.13601687272727275</v>
      </c>
      <c r="AD14" s="32">
        <f t="shared" si="14"/>
        <v>0.10712798383838384</v>
      </c>
    </row>
    <row r="15" spans="1:30" ht="14.4" thickBot="1" x14ac:dyDescent="0.35"/>
    <row r="16" spans="1:30" x14ac:dyDescent="0.3">
      <c r="A16" s="33" t="s">
        <v>27</v>
      </c>
      <c r="B16" s="34"/>
      <c r="C16" s="34"/>
      <c r="D16" s="34"/>
      <c r="E16" s="34"/>
      <c r="F16" s="34"/>
      <c r="G16" s="35"/>
      <c r="AC16" s="80"/>
    </row>
    <row r="17" spans="1:12" x14ac:dyDescent="0.3">
      <c r="A17" s="36" t="s">
        <v>28</v>
      </c>
      <c r="B17" s="37" t="s">
        <v>29</v>
      </c>
      <c r="C17" s="37" t="s">
        <v>30</v>
      </c>
      <c r="D17" s="37" t="s">
        <v>31</v>
      </c>
      <c r="E17" s="37" t="s">
        <v>32</v>
      </c>
      <c r="F17" s="37" t="s">
        <v>33</v>
      </c>
      <c r="G17" s="38" t="s">
        <v>34</v>
      </c>
      <c r="J17" s="39"/>
      <c r="K17" s="85"/>
      <c r="L17" s="14" t="s">
        <v>59</v>
      </c>
    </row>
    <row r="18" spans="1:12" ht="14.4" thickBot="1" x14ac:dyDescent="0.35">
      <c r="A18" s="40">
        <v>4</v>
      </c>
      <c r="B18" s="41">
        <v>32</v>
      </c>
      <c r="C18" s="41">
        <v>450</v>
      </c>
      <c r="D18" s="41">
        <v>0.5</v>
      </c>
      <c r="E18" s="41">
        <v>5</v>
      </c>
      <c r="F18" s="42">
        <v>25</v>
      </c>
      <c r="G18" s="43">
        <v>0.3</v>
      </c>
    </row>
    <row r="19" spans="1:12" ht="14.4" thickBot="1" x14ac:dyDescent="0.35">
      <c r="A19" s="40">
        <v>4</v>
      </c>
      <c r="B19" s="41">
        <v>32</v>
      </c>
      <c r="C19" s="41">
        <v>450</v>
      </c>
      <c r="D19" s="41">
        <v>0.25</v>
      </c>
      <c r="E19" s="41">
        <v>5</v>
      </c>
      <c r="F19" s="42">
        <v>25</v>
      </c>
      <c r="G19" s="43">
        <v>0.3</v>
      </c>
    </row>
    <row r="20" spans="1:12" ht="14.4" thickBot="1" x14ac:dyDescent="0.35">
      <c r="J20" s="44"/>
      <c r="K20" s="86"/>
      <c r="L20" s="14" t="s">
        <v>60</v>
      </c>
    </row>
    <row r="21" spans="1:12" x14ac:dyDescent="0.3">
      <c r="A21" s="45" t="s">
        <v>35</v>
      </c>
      <c r="B21" s="46"/>
      <c r="C21" s="46" t="s">
        <v>36</v>
      </c>
      <c r="D21" s="47" t="s">
        <v>37</v>
      </c>
    </row>
    <row r="22" spans="1:12" x14ac:dyDescent="0.3">
      <c r="A22" s="48" t="s">
        <v>40</v>
      </c>
      <c r="B22" s="49">
        <v>1.5</v>
      </c>
      <c r="C22" s="50">
        <v>96</v>
      </c>
      <c r="D22" s="51"/>
    </row>
    <row r="23" spans="1:12" x14ac:dyDescent="0.3">
      <c r="A23" s="48" t="s">
        <v>40</v>
      </c>
      <c r="B23" s="49">
        <v>4</v>
      </c>
      <c r="C23" s="50">
        <v>4</v>
      </c>
      <c r="D23" s="51"/>
    </row>
    <row r="24" spans="1:12" x14ac:dyDescent="0.3">
      <c r="A24" s="48" t="s">
        <v>40</v>
      </c>
      <c r="B24" s="49">
        <v>0</v>
      </c>
      <c r="C24" s="50"/>
      <c r="D24" s="51"/>
    </row>
    <row r="25" spans="1:12" ht="14.4" thickBot="1" x14ac:dyDescent="0.35">
      <c r="A25" s="48" t="s">
        <v>44</v>
      </c>
      <c r="B25" s="49">
        <v>0</v>
      </c>
      <c r="C25" s="50"/>
      <c r="D25" s="51"/>
    </row>
    <row r="26" spans="1:12" ht="14.4" thickBot="1" x14ac:dyDescent="0.35">
      <c r="A26" s="52" t="s">
        <v>45</v>
      </c>
      <c r="B26" s="53">
        <f>SUM(B22:B25)</f>
        <v>5.5</v>
      </c>
      <c r="C26" s="54">
        <f>(B22*C22/100)+(B23*C23/100)+(B24*C24/100)+(B25*C25/100)</f>
        <v>1.5999999999999999</v>
      </c>
      <c r="D26" s="55" t="s">
        <v>62</v>
      </c>
    </row>
    <row r="27" spans="1:12" ht="14.4" thickBot="1" x14ac:dyDescent="0.35"/>
    <row r="28" spans="1:12" x14ac:dyDescent="0.3">
      <c r="A28" s="56" t="s">
        <v>38</v>
      </c>
      <c r="B28" s="57"/>
      <c r="C28" s="58"/>
      <c r="D28" s="59" t="s">
        <v>39</v>
      </c>
      <c r="E28" s="60" t="s">
        <v>97</v>
      </c>
    </row>
    <row r="29" spans="1:12" x14ac:dyDescent="0.3">
      <c r="A29" s="61" t="s">
        <v>42</v>
      </c>
      <c r="B29" s="62">
        <v>1100</v>
      </c>
      <c r="C29" s="63"/>
      <c r="D29" s="64"/>
      <c r="E29" s="65"/>
    </row>
    <row r="30" spans="1:12" x14ac:dyDescent="0.3">
      <c r="A30" s="61" t="s">
        <v>86</v>
      </c>
      <c r="B30" s="62">
        <v>9</v>
      </c>
      <c r="C30" s="63" t="s">
        <v>41</v>
      </c>
      <c r="D30" s="66">
        <v>0.68100000000000005</v>
      </c>
      <c r="E30" s="65">
        <f>D30*B30</f>
        <v>6.1290000000000004</v>
      </c>
    </row>
    <row r="31" spans="1:12" x14ac:dyDescent="0.3">
      <c r="A31" s="61" t="s">
        <v>87</v>
      </c>
      <c r="B31" s="62">
        <f>B30*B29</f>
        <v>9900</v>
      </c>
      <c r="C31" s="67"/>
      <c r="D31" s="68"/>
      <c r="E31" s="65"/>
    </row>
    <row r="32" spans="1:12" x14ac:dyDescent="0.3">
      <c r="A32" s="61" t="s">
        <v>88</v>
      </c>
      <c r="B32" s="62">
        <v>9</v>
      </c>
      <c r="C32" s="63" t="s">
        <v>43</v>
      </c>
      <c r="D32" s="69">
        <v>0.13800000000000001</v>
      </c>
      <c r="E32" s="65">
        <f>D32*B32</f>
        <v>1.242</v>
      </c>
    </row>
    <row r="33" spans="1:5" x14ac:dyDescent="0.3">
      <c r="A33" s="61" t="s">
        <v>46</v>
      </c>
      <c r="B33" s="62">
        <f>B32*5</f>
        <v>45</v>
      </c>
      <c r="C33" s="63" t="s">
        <v>47</v>
      </c>
      <c r="D33" s="66">
        <v>4.3400000000000001E-2</v>
      </c>
      <c r="E33" s="65">
        <f>D33*B33</f>
        <v>1.9530000000000001</v>
      </c>
    </row>
    <row r="34" spans="1:5" ht="14.4" thickBot="1" x14ac:dyDescent="0.35">
      <c r="A34" s="70" t="s">
        <v>48</v>
      </c>
      <c r="B34" s="71" t="s">
        <v>49</v>
      </c>
      <c r="C34" s="72" t="s">
        <v>50</v>
      </c>
      <c r="D34" s="73">
        <v>2</v>
      </c>
      <c r="E34" s="74">
        <f>D34</f>
        <v>2</v>
      </c>
    </row>
    <row r="35" spans="1:5" ht="14.4" thickBot="1" x14ac:dyDescent="0.35">
      <c r="E35" s="75">
        <f>SUM(E29:E34)</f>
        <v>11.324</v>
      </c>
    </row>
    <row r="36" spans="1:5" ht="14.4" thickBot="1" x14ac:dyDescent="0.35">
      <c r="D36" s="76" t="s">
        <v>98</v>
      </c>
      <c r="E36" s="77">
        <f>E35/B31</f>
        <v>1.1438383838383839E-3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44D92-EBAE-44A9-BB23-A1ADF0D15087}">
  <dimension ref="A2:AD36"/>
  <sheetViews>
    <sheetView topLeftCell="I1" workbookViewId="0">
      <selection activeCell="T4" sqref="T4:T14"/>
    </sheetView>
  </sheetViews>
  <sheetFormatPr defaultColWidth="9.109375" defaultRowHeight="13.8" x14ac:dyDescent="0.3"/>
  <cols>
    <col min="1" max="1" width="28.6640625" style="14" bestFit="1" customWidth="1"/>
    <col min="2" max="2" width="10.109375" style="14" bestFit="1" customWidth="1"/>
    <col min="3" max="3" width="21" style="14" bestFit="1" customWidth="1"/>
    <col min="4" max="4" width="12.44140625" style="14" bestFit="1" customWidth="1"/>
    <col min="5" max="5" width="21" style="14" bestFit="1" customWidth="1"/>
    <col min="6" max="6" width="14.88671875" style="14" bestFit="1" customWidth="1"/>
    <col min="7" max="7" width="23.5546875" style="14" bestFit="1" customWidth="1"/>
    <col min="8" max="8" width="18.6640625" style="14" customWidth="1"/>
    <col min="9" max="9" width="0.109375" style="14" customWidth="1"/>
    <col min="10" max="10" width="9.5546875" style="14" bestFit="1" customWidth="1"/>
    <col min="11" max="11" width="15.33203125" style="82" customWidth="1"/>
    <col min="12" max="12" width="17.5546875" style="14" bestFit="1" customWidth="1"/>
    <col min="13" max="13" width="19.33203125" style="14" customWidth="1"/>
    <col min="14" max="14" width="9.109375" style="14" customWidth="1"/>
    <col min="15" max="15" width="22.88671875" style="14" customWidth="1"/>
    <col min="16" max="16" width="11.88671875" style="14" customWidth="1"/>
    <col min="17" max="17" width="23.5546875" style="14" bestFit="1" customWidth="1"/>
    <col min="18" max="18" width="24.33203125" style="14" customWidth="1"/>
    <col min="19" max="19" width="11" style="14" customWidth="1"/>
    <col min="20" max="20" width="35.5546875" style="14" bestFit="1" customWidth="1"/>
    <col min="21" max="21" width="14.6640625" style="14" bestFit="1" customWidth="1"/>
    <col min="22" max="27" width="14.6640625" style="14" customWidth="1"/>
    <col min="28" max="28" width="16.5546875" style="14" bestFit="1" customWidth="1"/>
    <col min="29" max="29" width="17.44140625" style="14" bestFit="1" customWidth="1"/>
    <col min="30" max="30" width="11.88671875" style="14" bestFit="1" customWidth="1"/>
    <col min="31" max="16384" width="9.109375" style="14"/>
  </cols>
  <sheetData>
    <row r="2" spans="1:30" ht="14.4" thickBot="1" x14ac:dyDescent="0.35"/>
    <row r="3" spans="1:30" ht="74.25" customHeight="1" thickBot="1" x14ac:dyDescent="0.35">
      <c r="A3" s="15" t="s">
        <v>57</v>
      </c>
      <c r="B3" s="15" t="s">
        <v>24</v>
      </c>
      <c r="C3" s="15" t="s">
        <v>25</v>
      </c>
      <c r="D3" s="15" t="s">
        <v>26</v>
      </c>
      <c r="E3" s="15" t="s">
        <v>55</v>
      </c>
      <c r="F3" s="15" t="s">
        <v>58</v>
      </c>
      <c r="G3" s="16" t="s">
        <v>51</v>
      </c>
      <c r="H3" s="17" t="s">
        <v>52</v>
      </c>
      <c r="I3" s="17" t="s">
        <v>61</v>
      </c>
      <c r="J3" s="90" t="s">
        <v>53</v>
      </c>
      <c r="K3" s="83" t="s">
        <v>99</v>
      </c>
      <c r="L3" s="18" t="s">
        <v>96</v>
      </c>
      <c r="M3" s="19" t="s">
        <v>54</v>
      </c>
      <c r="N3" s="19" t="s">
        <v>100</v>
      </c>
      <c r="O3" s="19" t="s">
        <v>108</v>
      </c>
      <c r="P3" s="19" t="s">
        <v>101</v>
      </c>
      <c r="Q3" s="91" t="s">
        <v>116</v>
      </c>
      <c r="R3" s="87" t="s">
        <v>107</v>
      </c>
      <c r="S3" s="88" t="s">
        <v>102</v>
      </c>
      <c r="T3" s="87" t="s">
        <v>104</v>
      </c>
      <c r="U3" s="87" t="s">
        <v>105</v>
      </c>
      <c r="V3" s="19" t="s">
        <v>109</v>
      </c>
      <c r="W3" s="20" t="s">
        <v>110</v>
      </c>
      <c r="X3" s="20"/>
      <c r="Y3" s="20"/>
      <c r="Z3" s="20" t="s">
        <v>111</v>
      </c>
      <c r="AA3" s="20" t="s">
        <v>112</v>
      </c>
      <c r="AB3" s="20" t="s">
        <v>103</v>
      </c>
      <c r="AC3" s="79" t="s">
        <v>106</v>
      </c>
      <c r="AD3" s="21" t="s">
        <v>113</v>
      </c>
    </row>
    <row r="4" spans="1:30" ht="14.4" x14ac:dyDescent="0.3">
      <c r="A4" s="15">
        <v>100</v>
      </c>
      <c r="B4" s="7" t="s">
        <v>2</v>
      </c>
      <c r="C4" s="22" t="s">
        <v>13</v>
      </c>
      <c r="D4" s="23">
        <v>2000</v>
      </c>
      <c r="E4" s="24">
        <v>0.1</v>
      </c>
      <c r="F4" s="25">
        <v>15</v>
      </c>
      <c r="G4" s="26">
        <f>F4+F4*E4</f>
        <v>16.5</v>
      </c>
      <c r="H4" s="27">
        <f>(G4*D4)/1000</f>
        <v>33</v>
      </c>
      <c r="I4" s="27">
        <f>C26</f>
        <v>2.04</v>
      </c>
      <c r="J4" s="89">
        <f>H4*I4</f>
        <v>67.320000000000007</v>
      </c>
      <c r="K4" s="84">
        <f>E36</f>
        <v>1.1438383838383839E-3</v>
      </c>
      <c r="L4" s="28">
        <f t="shared" ref="L4:L14" si="0">K4*D4</f>
        <v>2.2876767676767678</v>
      </c>
      <c r="M4" s="29">
        <f>A18*B18</f>
        <v>128</v>
      </c>
      <c r="N4" s="29">
        <f>C18</f>
        <v>450</v>
      </c>
      <c r="O4" s="29">
        <f>E18+F18*D18</f>
        <v>17.5</v>
      </c>
      <c r="P4" s="29">
        <f t="shared" ref="P4:P14" si="1">D4/N4</f>
        <v>4.4444444444444446</v>
      </c>
      <c r="Q4" s="28">
        <f>O4*P4</f>
        <v>77.777777777777786</v>
      </c>
      <c r="R4" s="26">
        <f>Q4+L4+J4+M4</f>
        <v>275.38545454545454</v>
      </c>
      <c r="S4" s="26">
        <f>G18</f>
        <v>0.3</v>
      </c>
      <c r="T4" s="26">
        <f>R4+R4*S4</f>
        <v>358.00109090909086</v>
      </c>
      <c r="U4" s="27">
        <f t="shared" ref="U4:U14" si="2">T4/D4</f>
        <v>0.17900054545454544</v>
      </c>
      <c r="V4" s="78">
        <f>E19+F19*D19</f>
        <v>11.25</v>
      </c>
      <c r="W4" s="78">
        <f>V4*P4</f>
        <v>50</v>
      </c>
      <c r="X4" s="92">
        <f>W4+M4+L4+J4</f>
        <v>247.60767676767676</v>
      </c>
      <c r="Y4" s="78">
        <f>G18</f>
        <v>0.3</v>
      </c>
      <c r="Z4" s="26">
        <f>X4+X4*Y4</f>
        <v>321.88997979797978</v>
      </c>
      <c r="AA4" s="78">
        <f t="shared" ref="AA4:AA14" si="3">Z4/D4</f>
        <v>0.16094498989898989</v>
      </c>
      <c r="AB4" s="30">
        <v>180</v>
      </c>
      <c r="AC4" s="81">
        <f>U4*2+(U4*2*80/100)</f>
        <v>0.6444019636363636</v>
      </c>
      <c r="AD4" s="81">
        <f>AA4*2+(AA4*2*80/100)</f>
        <v>0.57940196363636365</v>
      </c>
    </row>
    <row r="5" spans="1:30" ht="14.4" x14ac:dyDescent="0.3">
      <c r="A5" s="15">
        <v>100</v>
      </c>
      <c r="B5" s="7" t="s">
        <v>3</v>
      </c>
      <c r="C5" s="22" t="s">
        <v>14</v>
      </c>
      <c r="D5" s="23">
        <v>4000</v>
      </c>
      <c r="E5" s="24">
        <v>0.1</v>
      </c>
      <c r="F5" s="25">
        <v>15</v>
      </c>
      <c r="G5" s="26">
        <f t="shared" ref="G5:G14" si="4">F5+F5*E5</f>
        <v>16.5</v>
      </c>
      <c r="H5" s="27">
        <f t="shared" ref="H5:H14" si="5">(G5*D5)/1000</f>
        <v>66</v>
      </c>
      <c r="I5" s="27">
        <f>C26</f>
        <v>2.04</v>
      </c>
      <c r="J5" s="89">
        <f t="shared" ref="J5:J14" si="6">H5*I5</f>
        <v>134.64000000000001</v>
      </c>
      <c r="K5" s="84">
        <f>E36</f>
        <v>1.1438383838383839E-3</v>
      </c>
      <c r="L5" s="28">
        <f t="shared" si="0"/>
        <v>4.5753535353535355</v>
      </c>
      <c r="M5" s="29">
        <f>A18*B18</f>
        <v>128</v>
      </c>
      <c r="N5" s="29">
        <f>C18</f>
        <v>450</v>
      </c>
      <c r="O5" s="29">
        <f>E18+F18*D18</f>
        <v>17.5</v>
      </c>
      <c r="P5" s="29">
        <f t="shared" si="1"/>
        <v>8.8888888888888893</v>
      </c>
      <c r="Q5" s="28">
        <f t="shared" ref="Q5:Q14" si="7">O5*P5</f>
        <v>155.55555555555557</v>
      </c>
      <c r="R5" s="26">
        <f t="shared" ref="R5:R14" si="8">Q5+L5+J5+M5</f>
        <v>422.77090909090913</v>
      </c>
      <c r="S5" s="26">
        <f>G18</f>
        <v>0.3</v>
      </c>
      <c r="T5" s="26">
        <f t="shared" ref="T5:T14" si="9">R5+R5*S5</f>
        <v>549.60218181818186</v>
      </c>
      <c r="U5" s="27">
        <f t="shared" si="2"/>
        <v>0.13740054545454547</v>
      </c>
      <c r="V5" s="78">
        <f>E19+F19*D19</f>
        <v>11.25</v>
      </c>
      <c r="W5" s="78">
        <f t="shared" ref="W5:W14" si="10">V5*P5</f>
        <v>100</v>
      </c>
      <c r="X5" s="92">
        <f t="shared" ref="X5:X14" si="11">W5+M5+L5+J5</f>
        <v>367.21535353535353</v>
      </c>
      <c r="Y5" s="78">
        <f>G18</f>
        <v>0.3</v>
      </c>
      <c r="Z5" s="26">
        <f t="shared" ref="Z5:Z14" si="12">X5+X5*Y5</f>
        <v>477.37995959595958</v>
      </c>
      <c r="AA5" s="78">
        <f t="shared" si="3"/>
        <v>0.11934498989898989</v>
      </c>
      <c r="AB5" s="30">
        <v>160</v>
      </c>
      <c r="AC5" s="31">
        <f>U5*2+(U5*2*80/100)</f>
        <v>0.4946419636363637</v>
      </c>
      <c r="AD5" s="31">
        <f>AA5*2+(AA5*2*80/100)</f>
        <v>0.42964196363636364</v>
      </c>
    </row>
    <row r="6" spans="1:30" ht="14.4" x14ac:dyDescent="0.3">
      <c r="A6" s="15">
        <v>100</v>
      </c>
      <c r="B6" s="7" t="s">
        <v>4</v>
      </c>
      <c r="C6" s="22" t="s">
        <v>15</v>
      </c>
      <c r="D6" s="23">
        <v>7500</v>
      </c>
      <c r="E6" s="24">
        <v>7.0000000000000007E-2</v>
      </c>
      <c r="F6" s="25">
        <v>15</v>
      </c>
      <c r="G6" s="26">
        <f t="shared" si="4"/>
        <v>16.05</v>
      </c>
      <c r="H6" s="27">
        <f t="shared" si="5"/>
        <v>120.375</v>
      </c>
      <c r="I6" s="27">
        <f>C26</f>
        <v>2.04</v>
      </c>
      <c r="J6" s="89">
        <f t="shared" si="6"/>
        <v>245.565</v>
      </c>
      <c r="K6" s="84">
        <f>E36</f>
        <v>1.1438383838383839E-3</v>
      </c>
      <c r="L6" s="28">
        <f t="shared" si="0"/>
        <v>8.57878787878788</v>
      </c>
      <c r="M6" s="29">
        <f>A18*B18</f>
        <v>128</v>
      </c>
      <c r="N6" s="29">
        <f>C18</f>
        <v>450</v>
      </c>
      <c r="O6" s="29">
        <f>E18+F18*D18</f>
        <v>17.5</v>
      </c>
      <c r="P6" s="29">
        <f t="shared" si="1"/>
        <v>16.666666666666668</v>
      </c>
      <c r="Q6" s="28">
        <f t="shared" si="7"/>
        <v>291.66666666666669</v>
      </c>
      <c r="R6" s="26">
        <f t="shared" si="8"/>
        <v>673.8104545454546</v>
      </c>
      <c r="S6" s="26">
        <f>G18</f>
        <v>0.3</v>
      </c>
      <c r="T6" s="26">
        <f t="shared" si="9"/>
        <v>875.95359090909096</v>
      </c>
      <c r="U6" s="27">
        <f t="shared" si="2"/>
        <v>0.11679381212121213</v>
      </c>
      <c r="V6" s="78">
        <f>E19+F19*D19</f>
        <v>11.25</v>
      </c>
      <c r="W6" s="78">
        <f t="shared" si="10"/>
        <v>187.5</v>
      </c>
      <c r="X6" s="92">
        <f t="shared" si="11"/>
        <v>569.64378787878786</v>
      </c>
      <c r="Y6" s="78">
        <f>G18</f>
        <v>0.3</v>
      </c>
      <c r="Z6" s="26">
        <f t="shared" si="12"/>
        <v>740.53692424242422</v>
      </c>
      <c r="AA6" s="78">
        <f t="shared" si="3"/>
        <v>9.873825656565656E-2</v>
      </c>
      <c r="AB6" s="30">
        <v>140</v>
      </c>
      <c r="AC6" s="31">
        <f>U6*2+(U6*2*80/100)</f>
        <v>0.42045772363636369</v>
      </c>
      <c r="AD6" s="31">
        <f>AA6*2+(AA6*2*80/100)</f>
        <v>0.35545772363636363</v>
      </c>
    </row>
    <row r="7" spans="1:30" ht="14.4" x14ac:dyDescent="0.3">
      <c r="A7" s="15">
        <v>100</v>
      </c>
      <c r="B7" s="7" t="s">
        <v>5</v>
      </c>
      <c r="C7" s="22" t="s">
        <v>16</v>
      </c>
      <c r="D7" s="23">
        <v>12500</v>
      </c>
      <c r="E7" s="24">
        <v>7.0000000000000007E-2</v>
      </c>
      <c r="F7" s="25">
        <v>15</v>
      </c>
      <c r="G7" s="26">
        <f t="shared" si="4"/>
        <v>16.05</v>
      </c>
      <c r="H7" s="27">
        <f t="shared" si="5"/>
        <v>200.625</v>
      </c>
      <c r="I7" s="27">
        <f>C26</f>
        <v>2.04</v>
      </c>
      <c r="J7" s="89">
        <f t="shared" si="6"/>
        <v>409.27500000000003</v>
      </c>
      <c r="K7" s="84">
        <f>E36</f>
        <v>1.1438383838383839E-3</v>
      </c>
      <c r="L7" s="28">
        <f t="shared" si="0"/>
        <v>14.297979797979799</v>
      </c>
      <c r="M7" s="29">
        <f>A18*B18</f>
        <v>128</v>
      </c>
      <c r="N7" s="29">
        <f>C18</f>
        <v>450</v>
      </c>
      <c r="O7" s="29">
        <f>E18+F18*D18</f>
        <v>17.5</v>
      </c>
      <c r="P7" s="29">
        <f t="shared" si="1"/>
        <v>27.777777777777779</v>
      </c>
      <c r="Q7" s="28">
        <f t="shared" si="7"/>
        <v>486.11111111111114</v>
      </c>
      <c r="R7" s="26">
        <f t="shared" si="8"/>
        <v>1037.6840909090911</v>
      </c>
      <c r="S7" s="26">
        <f>G18</f>
        <v>0.3</v>
      </c>
      <c r="T7" s="26">
        <f t="shared" si="9"/>
        <v>1348.9893181818184</v>
      </c>
      <c r="U7" s="27">
        <f t="shared" si="2"/>
        <v>0.10791914545454546</v>
      </c>
      <c r="V7" s="78">
        <f>E19+F19*D19</f>
        <v>11.25</v>
      </c>
      <c r="W7" s="78">
        <f t="shared" si="10"/>
        <v>312.5</v>
      </c>
      <c r="X7" s="92">
        <f t="shared" si="11"/>
        <v>864.07297979797977</v>
      </c>
      <c r="Y7" s="78">
        <f>G18</f>
        <v>0.3</v>
      </c>
      <c r="Z7" s="26">
        <f t="shared" si="12"/>
        <v>1123.2948737373736</v>
      </c>
      <c r="AA7" s="78">
        <f t="shared" si="3"/>
        <v>8.986358989898989E-2</v>
      </c>
      <c r="AB7" s="30">
        <v>85</v>
      </c>
      <c r="AC7" s="31">
        <f>U7+U7*AB7/100</f>
        <v>0.19965041909090911</v>
      </c>
      <c r="AD7" s="31">
        <f>AA7+AA7*AB7/100</f>
        <v>0.1662476413131313</v>
      </c>
    </row>
    <row r="8" spans="1:30" ht="14.4" x14ac:dyDescent="0.3">
      <c r="A8" s="15">
        <v>100</v>
      </c>
      <c r="B8" s="7" t="s">
        <v>6</v>
      </c>
      <c r="C8" s="22" t="s">
        <v>17</v>
      </c>
      <c r="D8" s="23">
        <v>17500</v>
      </c>
      <c r="E8" s="24">
        <v>7.0000000000000007E-2</v>
      </c>
      <c r="F8" s="25">
        <v>15</v>
      </c>
      <c r="G8" s="26">
        <f t="shared" si="4"/>
        <v>16.05</v>
      </c>
      <c r="H8" s="27">
        <f t="shared" si="5"/>
        <v>280.875</v>
      </c>
      <c r="I8" s="27">
        <f>C26</f>
        <v>2.04</v>
      </c>
      <c r="J8" s="89">
        <f t="shared" si="6"/>
        <v>572.98500000000001</v>
      </c>
      <c r="K8" s="84">
        <f>E36</f>
        <v>1.1438383838383839E-3</v>
      </c>
      <c r="L8" s="28">
        <f t="shared" si="0"/>
        <v>20.017171717171717</v>
      </c>
      <c r="M8" s="29">
        <f>A18*B18</f>
        <v>128</v>
      </c>
      <c r="N8" s="29">
        <f>C18</f>
        <v>450</v>
      </c>
      <c r="O8" s="29">
        <f>E18+F18*D18</f>
        <v>17.5</v>
      </c>
      <c r="P8" s="29">
        <f t="shared" si="1"/>
        <v>38.888888888888886</v>
      </c>
      <c r="Q8" s="28">
        <f t="shared" si="7"/>
        <v>680.55555555555554</v>
      </c>
      <c r="R8" s="26">
        <f t="shared" si="8"/>
        <v>1401.5577272727273</v>
      </c>
      <c r="S8" s="26">
        <f>G18</f>
        <v>0.3</v>
      </c>
      <c r="T8" s="26">
        <f t="shared" si="9"/>
        <v>1822.0250454545455</v>
      </c>
      <c r="U8" s="27">
        <f t="shared" si="2"/>
        <v>0.10411571688311688</v>
      </c>
      <c r="V8" s="78">
        <f>E19+F19*D19</f>
        <v>11.25</v>
      </c>
      <c r="W8" s="78">
        <f t="shared" si="10"/>
        <v>437.49999999999994</v>
      </c>
      <c r="X8" s="92">
        <f t="shared" si="11"/>
        <v>1158.5021717171717</v>
      </c>
      <c r="Y8" s="78">
        <f>G18</f>
        <v>0.3</v>
      </c>
      <c r="Z8" s="26">
        <f t="shared" si="12"/>
        <v>1506.0528232323231</v>
      </c>
      <c r="AA8" s="78">
        <f t="shared" si="3"/>
        <v>8.6060161327561321E-2</v>
      </c>
      <c r="AB8" s="30">
        <v>80</v>
      </c>
      <c r="AC8" s="31">
        <f t="shared" ref="AC8:AC14" si="13">U8+U8*AB8/100</f>
        <v>0.18740829038961038</v>
      </c>
      <c r="AD8" s="31">
        <f t="shared" ref="AD8:AD14" si="14">AA8+AA8*AB8/100</f>
        <v>0.15490829038961038</v>
      </c>
    </row>
    <row r="9" spans="1:30" ht="14.4" x14ac:dyDescent="0.3">
      <c r="A9" s="15">
        <v>100</v>
      </c>
      <c r="B9" s="7" t="s">
        <v>7</v>
      </c>
      <c r="C9" s="22" t="s">
        <v>18</v>
      </c>
      <c r="D9" s="23">
        <v>25000</v>
      </c>
      <c r="E9" s="24">
        <v>0.05</v>
      </c>
      <c r="F9" s="25">
        <v>15</v>
      </c>
      <c r="G9" s="26">
        <f t="shared" si="4"/>
        <v>15.75</v>
      </c>
      <c r="H9" s="27">
        <f t="shared" si="5"/>
        <v>393.75</v>
      </c>
      <c r="I9" s="27">
        <f>C26</f>
        <v>2.04</v>
      </c>
      <c r="J9" s="89">
        <f t="shared" si="6"/>
        <v>803.25</v>
      </c>
      <c r="K9" s="84">
        <f>E36</f>
        <v>1.1438383838383839E-3</v>
      </c>
      <c r="L9" s="28">
        <f t="shared" si="0"/>
        <v>28.595959595959599</v>
      </c>
      <c r="M9" s="29">
        <f>A18*B18</f>
        <v>128</v>
      </c>
      <c r="N9" s="29">
        <f>C18</f>
        <v>450</v>
      </c>
      <c r="O9" s="29">
        <f>E18+F18*D18</f>
        <v>17.5</v>
      </c>
      <c r="P9" s="29">
        <f t="shared" si="1"/>
        <v>55.555555555555557</v>
      </c>
      <c r="Q9" s="28">
        <f t="shared" si="7"/>
        <v>972.22222222222229</v>
      </c>
      <c r="R9" s="26">
        <f t="shared" si="8"/>
        <v>1932.068181818182</v>
      </c>
      <c r="S9" s="26">
        <f>G18</f>
        <v>0.3</v>
      </c>
      <c r="T9" s="26">
        <f t="shared" si="9"/>
        <v>2511.6886363636368</v>
      </c>
      <c r="U9" s="27">
        <f t="shared" si="2"/>
        <v>0.10046754545454548</v>
      </c>
      <c r="V9" s="78">
        <f>E19+F19*D19</f>
        <v>11.25</v>
      </c>
      <c r="W9" s="78">
        <f t="shared" si="10"/>
        <v>625</v>
      </c>
      <c r="X9" s="92">
        <f t="shared" si="11"/>
        <v>1584.8459595959596</v>
      </c>
      <c r="Y9" s="78">
        <f>G18</f>
        <v>0.3</v>
      </c>
      <c r="Z9" s="26">
        <f t="shared" si="12"/>
        <v>2060.2997474747476</v>
      </c>
      <c r="AA9" s="78">
        <f t="shared" si="3"/>
        <v>8.2411989898989901E-2</v>
      </c>
      <c r="AB9" s="30">
        <v>75</v>
      </c>
      <c r="AC9" s="31">
        <f t="shared" si="13"/>
        <v>0.17581820454545458</v>
      </c>
      <c r="AD9" s="31">
        <f t="shared" si="14"/>
        <v>0.14422098232323233</v>
      </c>
    </row>
    <row r="10" spans="1:30" ht="14.4" x14ac:dyDescent="0.3">
      <c r="A10" s="15">
        <v>100</v>
      </c>
      <c r="B10" s="7" t="s">
        <v>8</v>
      </c>
      <c r="C10" s="22" t="s">
        <v>19</v>
      </c>
      <c r="D10" s="23">
        <v>35000</v>
      </c>
      <c r="E10" s="24">
        <v>0.05</v>
      </c>
      <c r="F10" s="25">
        <v>15</v>
      </c>
      <c r="G10" s="26">
        <f t="shared" si="4"/>
        <v>15.75</v>
      </c>
      <c r="H10" s="27">
        <f t="shared" si="5"/>
        <v>551.25</v>
      </c>
      <c r="I10" s="27">
        <f>C26</f>
        <v>2.04</v>
      </c>
      <c r="J10" s="89">
        <f t="shared" si="6"/>
        <v>1124.55</v>
      </c>
      <c r="K10" s="84">
        <f>E36</f>
        <v>1.1438383838383839E-3</v>
      </c>
      <c r="L10" s="28">
        <f t="shared" si="0"/>
        <v>40.034343434343434</v>
      </c>
      <c r="M10" s="29">
        <f>A18*B18</f>
        <v>128</v>
      </c>
      <c r="N10" s="29">
        <f>C18</f>
        <v>450</v>
      </c>
      <c r="O10" s="29">
        <f>E18+F18*D18</f>
        <v>17.5</v>
      </c>
      <c r="P10" s="29">
        <f t="shared" si="1"/>
        <v>77.777777777777771</v>
      </c>
      <c r="Q10" s="28">
        <f t="shared" si="7"/>
        <v>1361.1111111111111</v>
      </c>
      <c r="R10" s="26">
        <f t="shared" si="8"/>
        <v>2653.6954545454546</v>
      </c>
      <c r="S10" s="26">
        <f>G18</f>
        <v>0.3</v>
      </c>
      <c r="T10" s="26">
        <f t="shared" si="9"/>
        <v>3449.804090909091</v>
      </c>
      <c r="U10" s="27">
        <f t="shared" si="2"/>
        <v>9.8565831168831164E-2</v>
      </c>
      <c r="V10" s="78">
        <f>E19+F19*D19</f>
        <v>11.25</v>
      </c>
      <c r="W10" s="78">
        <f t="shared" si="10"/>
        <v>874.99999999999989</v>
      </c>
      <c r="X10" s="92">
        <f t="shared" si="11"/>
        <v>2167.5843434343433</v>
      </c>
      <c r="Y10" s="78">
        <f>G18</f>
        <v>0.3</v>
      </c>
      <c r="Z10" s="26">
        <f t="shared" si="12"/>
        <v>2817.8596464646462</v>
      </c>
      <c r="AA10" s="78">
        <f t="shared" si="3"/>
        <v>8.0510275613275603E-2</v>
      </c>
      <c r="AB10" s="30">
        <v>75</v>
      </c>
      <c r="AC10" s="31">
        <f t="shared" si="13"/>
        <v>0.17249020454545455</v>
      </c>
      <c r="AD10" s="31">
        <f t="shared" si="14"/>
        <v>0.1408929823232323</v>
      </c>
    </row>
    <row r="11" spans="1:30" ht="14.4" x14ac:dyDescent="0.3">
      <c r="A11" s="15">
        <v>100</v>
      </c>
      <c r="B11" s="7" t="s">
        <v>9</v>
      </c>
      <c r="C11" s="22" t="s">
        <v>20</v>
      </c>
      <c r="D11" s="23">
        <v>45000</v>
      </c>
      <c r="E11" s="24">
        <v>0.05</v>
      </c>
      <c r="F11" s="25">
        <v>15</v>
      </c>
      <c r="G11" s="26">
        <f t="shared" si="4"/>
        <v>15.75</v>
      </c>
      <c r="H11" s="27">
        <f t="shared" si="5"/>
        <v>708.75</v>
      </c>
      <c r="I11" s="27">
        <f>C26</f>
        <v>2.04</v>
      </c>
      <c r="J11" s="89">
        <f t="shared" si="6"/>
        <v>1445.8500000000001</v>
      </c>
      <c r="K11" s="84">
        <f>E36</f>
        <v>1.1438383838383839E-3</v>
      </c>
      <c r="L11" s="28">
        <f t="shared" si="0"/>
        <v>51.472727272727276</v>
      </c>
      <c r="M11" s="29">
        <f>A18*B18</f>
        <v>128</v>
      </c>
      <c r="N11" s="29">
        <f>C18</f>
        <v>450</v>
      </c>
      <c r="O11" s="29">
        <f>E18+F18*D18</f>
        <v>17.5</v>
      </c>
      <c r="P11" s="29">
        <f t="shared" si="1"/>
        <v>100</v>
      </c>
      <c r="Q11" s="28">
        <f t="shared" si="7"/>
        <v>1750</v>
      </c>
      <c r="R11" s="26">
        <f t="shared" si="8"/>
        <v>3375.3227272727272</v>
      </c>
      <c r="S11" s="26">
        <f>G18</f>
        <v>0.3</v>
      </c>
      <c r="T11" s="26">
        <f t="shared" si="9"/>
        <v>4387.9195454545452</v>
      </c>
      <c r="U11" s="27">
        <f t="shared" si="2"/>
        <v>9.7509323232323225E-2</v>
      </c>
      <c r="V11" s="78">
        <f>E19+F19*D19</f>
        <v>11.25</v>
      </c>
      <c r="W11" s="78">
        <f t="shared" si="10"/>
        <v>1125</v>
      </c>
      <c r="X11" s="92">
        <f t="shared" si="11"/>
        <v>2750.3227272727272</v>
      </c>
      <c r="Y11" s="78">
        <f>G18</f>
        <v>0.3</v>
      </c>
      <c r="Z11" s="26">
        <f t="shared" si="12"/>
        <v>3575.4195454545452</v>
      </c>
      <c r="AA11" s="78">
        <f t="shared" si="3"/>
        <v>7.9453767676767664E-2</v>
      </c>
      <c r="AB11" s="30">
        <v>70</v>
      </c>
      <c r="AC11" s="31">
        <f t="shared" si="13"/>
        <v>0.16576584949494949</v>
      </c>
      <c r="AD11" s="31">
        <f t="shared" si="14"/>
        <v>0.13507140505050502</v>
      </c>
    </row>
    <row r="12" spans="1:30" ht="14.4" x14ac:dyDescent="0.3">
      <c r="A12" s="15">
        <v>100</v>
      </c>
      <c r="B12" s="7" t="s">
        <v>10</v>
      </c>
      <c r="C12" s="22" t="s">
        <v>21</v>
      </c>
      <c r="D12" s="23">
        <v>75000</v>
      </c>
      <c r="E12" s="24">
        <v>0.05</v>
      </c>
      <c r="F12" s="25">
        <v>15</v>
      </c>
      <c r="G12" s="26">
        <f t="shared" si="4"/>
        <v>15.75</v>
      </c>
      <c r="H12" s="27">
        <f t="shared" si="5"/>
        <v>1181.25</v>
      </c>
      <c r="I12" s="27">
        <f>C26</f>
        <v>2.04</v>
      </c>
      <c r="J12" s="89">
        <f t="shared" si="6"/>
        <v>2409.75</v>
      </c>
      <c r="K12" s="84">
        <f>E36</f>
        <v>1.1438383838383839E-3</v>
      </c>
      <c r="L12" s="28">
        <f t="shared" si="0"/>
        <v>85.787878787878796</v>
      </c>
      <c r="M12" s="29">
        <f>A18*B18</f>
        <v>128</v>
      </c>
      <c r="N12" s="29">
        <f>C18</f>
        <v>450</v>
      </c>
      <c r="O12" s="29">
        <f>E18+F18*D18</f>
        <v>17.5</v>
      </c>
      <c r="P12" s="29">
        <f t="shared" si="1"/>
        <v>166.66666666666666</v>
      </c>
      <c r="Q12" s="28">
        <f>O12*P12</f>
        <v>2916.6666666666665</v>
      </c>
      <c r="R12" s="26">
        <f t="shared" si="8"/>
        <v>5540.204545454546</v>
      </c>
      <c r="S12" s="26">
        <f>G18</f>
        <v>0.3</v>
      </c>
      <c r="T12" s="26">
        <f t="shared" si="9"/>
        <v>7202.2659090909092</v>
      </c>
      <c r="U12" s="27">
        <f t="shared" si="2"/>
        <v>9.6030212121212127E-2</v>
      </c>
      <c r="V12" s="78">
        <f>E19+F19*D19</f>
        <v>11.25</v>
      </c>
      <c r="W12" s="78">
        <f t="shared" si="10"/>
        <v>1875</v>
      </c>
      <c r="X12" s="92">
        <f t="shared" si="11"/>
        <v>4498.537878787879</v>
      </c>
      <c r="Y12" s="78">
        <f>G18</f>
        <v>0.3</v>
      </c>
      <c r="Z12" s="26">
        <f t="shared" si="12"/>
        <v>5848.0992424242431</v>
      </c>
      <c r="AA12" s="78">
        <f t="shared" si="3"/>
        <v>7.797465656565658E-2</v>
      </c>
      <c r="AB12" s="30">
        <v>70</v>
      </c>
      <c r="AC12" s="31">
        <f t="shared" si="13"/>
        <v>0.1632513606060606</v>
      </c>
      <c r="AD12" s="31">
        <f t="shared" si="14"/>
        <v>0.13255691616161619</v>
      </c>
    </row>
    <row r="13" spans="1:30" ht="14.4" x14ac:dyDescent="0.3">
      <c r="A13" s="15">
        <v>100</v>
      </c>
      <c r="B13" s="7" t="s">
        <v>11</v>
      </c>
      <c r="C13" s="22" t="s">
        <v>22</v>
      </c>
      <c r="D13" s="23">
        <v>125000</v>
      </c>
      <c r="E13" s="24">
        <v>0.03</v>
      </c>
      <c r="F13" s="25">
        <v>15</v>
      </c>
      <c r="G13" s="26">
        <f t="shared" si="4"/>
        <v>15.45</v>
      </c>
      <c r="H13" s="27">
        <f t="shared" si="5"/>
        <v>1931.25</v>
      </c>
      <c r="I13" s="27">
        <f>C26</f>
        <v>2.04</v>
      </c>
      <c r="J13" s="89">
        <f t="shared" si="6"/>
        <v>3939.75</v>
      </c>
      <c r="K13" s="84">
        <f>E36</f>
        <v>1.1438383838383839E-3</v>
      </c>
      <c r="L13" s="28">
        <f t="shared" si="0"/>
        <v>142.97979797979798</v>
      </c>
      <c r="M13" s="29">
        <f>A18*B18</f>
        <v>128</v>
      </c>
      <c r="N13" s="29">
        <f>C18</f>
        <v>450</v>
      </c>
      <c r="O13" s="29">
        <f>E18+F18*D18</f>
        <v>17.5</v>
      </c>
      <c r="P13" s="29">
        <f t="shared" si="1"/>
        <v>277.77777777777777</v>
      </c>
      <c r="Q13" s="28">
        <f t="shared" si="7"/>
        <v>4861.1111111111113</v>
      </c>
      <c r="R13" s="26">
        <f t="shared" si="8"/>
        <v>9071.8409090909081</v>
      </c>
      <c r="S13" s="26">
        <f>G18</f>
        <v>0.3</v>
      </c>
      <c r="T13" s="26">
        <f t="shared" si="9"/>
        <v>11793.393181818181</v>
      </c>
      <c r="U13" s="27">
        <f t="shared" si="2"/>
        <v>9.434714545454545E-2</v>
      </c>
      <c r="V13" s="78">
        <f>E19+F19*D19</f>
        <v>11.25</v>
      </c>
      <c r="W13" s="78">
        <f t="shared" si="10"/>
        <v>3125</v>
      </c>
      <c r="X13" s="92">
        <f t="shared" si="11"/>
        <v>7335.7297979797986</v>
      </c>
      <c r="Y13" s="78">
        <f>G18</f>
        <v>0.3</v>
      </c>
      <c r="Z13" s="26">
        <f t="shared" si="12"/>
        <v>9536.4487373737375</v>
      </c>
      <c r="AA13" s="78">
        <f t="shared" si="3"/>
        <v>7.6291589898989903E-2</v>
      </c>
      <c r="AB13" s="30">
        <v>65</v>
      </c>
      <c r="AC13" s="31">
        <f t="shared" si="13"/>
        <v>0.15567279000000001</v>
      </c>
      <c r="AD13" s="31">
        <f t="shared" si="14"/>
        <v>0.12588112333333334</v>
      </c>
    </row>
    <row r="14" spans="1:30" ht="15" thickBot="1" x14ac:dyDescent="0.35">
      <c r="A14" s="15">
        <v>100</v>
      </c>
      <c r="B14" s="7" t="s">
        <v>12</v>
      </c>
      <c r="C14" s="22" t="s">
        <v>23</v>
      </c>
      <c r="D14" s="23">
        <v>200000</v>
      </c>
      <c r="E14" s="24">
        <v>0.03</v>
      </c>
      <c r="F14" s="25">
        <v>15</v>
      </c>
      <c r="G14" s="26">
        <f t="shared" si="4"/>
        <v>15.45</v>
      </c>
      <c r="H14" s="27">
        <f t="shared" si="5"/>
        <v>3090</v>
      </c>
      <c r="I14" s="27">
        <f>C26</f>
        <v>2.04</v>
      </c>
      <c r="J14" s="89">
        <f t="shared" si="6"/>
        <v>6303.6</v>
      </c>
      <c r="K14" s="84">
        <f>E36</f>
        <v>1.1438383838383839E-3</v>
      </c>
      <c r="L14" s="28">
        <f t="shared" si="0"/>
        <v>228.76767676767679</v>
      </c>
      <c r="M14" s="29">
        <f>A18*B18</f>
        <v>128</v>
      </c>
      <c r="N14" s="29">
        <f>C18</f>
        <v>450</v>
      </c>
      <c r="O14" s="29">
        <f>E18+F18*D18</f>
        <v>17.5</v>
      </c>
      <c r="P14" s="29">
        <f t="shared" si="1"/>
        <v>444.44444444444446</v>
      </c>
      <c r="Q14" s="28">
        <f t="shared" si="7"/>
        <v>7777.7777777777783</v>
      </c>
      <c r="R14" s="26">
        <f t="shared" si="8"/>
        <v>14438.145454545454</v>
      </c>
      <c r="S14" s="26">
        <f>G18</f>
        <v>0.3</v>
      </c>
      <c r="T14" s="26">
        <f t="shared" si="9"/>
        <v>18769.589090909089</v>
      </c>
      <c r="U14" s="27">
        <f t="shared" si="2"/>
        <v>9.3847945454545445E-2</v>
      </c>
      <c r="V14" s="78">
        <f>E19+F19*D19</f>
        <v>11.25</v>
      </c>
      <c r="W14" s="78">
        <f t="shared" si="10"/>
        <v>5000</v>
      </c>
      <c r="X14" s="92">
        <f t="shared" si="11"/>
        <v>11660.367676767677</v>
      </c>
      <c r="Y14" s="78">
        <f>G18</f>
        <v>0.3</v>
      </c>
      <c r="Z14" s="26">
        <f t="shared" si="12"/>
        <v>15158.477979797979</v>
      </c>
      <c r="AA14" s="78">
        <f t="shared" si="3"/>
        <v>7.5792389898989898E-2</v>
      </c>
      <c r="AB14" s="30">
        <v>60</v>
      </c>
      <c r="AC14" s="32">
        <f t="shared" si="13"/>
        <v>0.15015671272727271</v>
      </c>
      <c r="AD14" s="32">
        <f t="shared" si="14"/>
        <v>0.12126782383838383</v>
      </c>
    </row>
    <row r="15" spans="1:30" ht="14.4" thickBot="1" x14ac:dyDescent="0.35"/>
    <row r="16" spans="1:30" x14ac:dyDescent="0.3">
      <c r="A16" s="33" t="s">
        <v>27</v>
      </c>
      <c r="B16" s="34"/>
      <c r="C16" s="34"/>
      <c r="D16" s="34"/>
      <c r="E16" s="34"/>
      <c r="F16" s="34"/>
      <c r="G16" s="35"/>
      <c r="AC16" s="80"/>
    </row>
    <row r="17" spans="1:12" x14ac:dyDescent="0.3">
      <c r="A17" s="36" t="s">
        <v>28</v>
      </c>
      <c r="B17" s="37" t="s">
        <v>29</v>
      </c>
      <c r="C17" s="37" t="s">
        <v>30</v>
      </c>
      <c r="D17" s="37" t="s">
        <v>31</v>
      </c>
      <c r="E17" s="37" t="s">
        <v>32</v>
      </c>
      <c r="F17" s="37" t="s">
        <v>33</v>
      </c>
      <c r="G17" s="38" t="s">
        <v>34</v>
      </c>
      <c r="J17" s="39"/>
      <c r="K17" s="85"/>
      <c r="L17" s="14" t="s">
        <v>59</v>
      </c>
    </row>
    <row r="18" spans="1:12" ht="14.4" thickBot="1" x14ac:dyDescent="0.35">
      <c r="A18" s="40">
        <v>4</v>
      </c>
      <c r="B18" s="41">
        <v>32</v>
      </c>
      <c r="C18" s="41">
        <v>450</v>
      </c>
      <c r="D18" s="41">
        <v>0.5</v>
      </c>
      <c r="E18" s="41">
        <v>5</v>
      </c>
      <c r="F18" s="42">
        <v>25</v>
      </c>
      <c r="G18" s="43">
        <v>0.3</v>
      </c>
    </row>
    <row r="19" spans="1:12" ht="14.4" thickBot="1" x14ac:dyDescent="0.35">
      <c r="A19" s="40">
        <v>4</v>
      </c>
      <c r="B19" s="41">
        <v>32</v>
      </c>
      <c r="C19" s="41">
        <v>450</v>
      </c>
      <c r="D19" s="41">
        <v>0.25</v>
      </c>
      <c r="E19" s="41">
        <v>5</v>
      </c>
      <c r="F19" s="42">
        <v>25</v>
      </c>
      <c r="G19" s="43">
        <v>0.3</v>
      </c>
    </row>
    <row r="20" spans="1:12" ht="14.4" thickBot="1" x14ac:dyDescent="0.35">
      <c r="J20" s="44"/>
      <c r="K20" s="86"/>
      <c r="L20" s="14" t="s">
        <v>60</v>
      </c>
    </row>
    <row r="21" spans="1:12" x14ac:dyDescent="0.3">
      <c r="A21" s="45" t="s">
        <v>35</v>
      </c>
      <c r="B21" s="46"/>
      <c r="C21" s="46" t="s">
        <v>36</v>
      </c>
      <c r="D21" s="47" t="s">
        <v>37</v>
      </c>
    </row>
    <row r="22" spans="1:12" x14ac:dyDescent="0.3">
      <c r="A22" s="48" t="s">
        <v>40</v>
      </c>
      <c r="B22" s="49">
        <v>1.5</v>
      </c>
      <c r="C22" s="50">
        <v>96</v>
      </c>
      <c r="D22" s="51"/>
    </row>
    <row r="23" spans="1:12" x14ac:dyDescent="0.3">
      <c r="A23" s="48" t="s">
        <v>40</v>
      </c>
      <c r="B23" s="49">
        <v>15</v>
      </c>
      <c r="C23" s="50">
        <v>4</v>
      </c>
      <c r="D23" s="51"/>
    </row>
    <row r="24" spans="1:12" x14ac:dyDescent="0.3">
      <c r="A24" s="48" t="s">
        <v>40</v>
      </c>
      <c r="B24" s="49">
        <v>0</v>
      </c>
      <c r="C24" s="50"/>
      <c r="D24" s="51"/>
    </row>
    <row r="25" spans="1:12" ht="14.4" thickBot="1" x14ac:dyDescent="0.35">
      <c r="A25" s="48" t="s">
        <v>44</v>
      </c>
      <c r="B25" s="49">
        <v>0</v>
      </c>
      <c r="C25" s="50"/>
      <c r="D25" s="51"/>
    </row>
    <row r="26" spans="1:12" ht="14.4" thickBot="1" x14ac:dyDescent="0.35">
      <c r="A26" s="52" t="s">
        <v>45</v>
      </c>
      <c r="B26" s="53">
        <f>SUM(B22:B25)</f>
        <v>16.5</v>
      </c>
      <c r="C26" s="54">
        <f>(B22*C22/100)+(B23*C23/100)+(B24*C24/100)+(B25*C25/100)</f>
        <v>2.04</v>
      </c>
      <c r="D26" s="55" t="s">
        <v>62</v>
      </c>
    </row>
    <row r="27" spans="1:12" ht="14.4" thickBot="1" x14ac:dyDescent="0.35"/>
    <row r="28" spans="1:12" x14ac:dyDescent="0.3">
      <c r="A28" s="56" t="s">
        <v>38</v>
      </c>
      <c r="B28" s="57"/>
      <c r="C28" s="58"/>
      <c r="D28" s="59" t="s">
        <v>39</v>
      </c>
      <c r="E28" s="60" t="s">
        <v>97</v>
      </c>
    </row>
    <row r="29" spans="1:12" x14ac:dyDescent="0.3">
      <c r="A29" s="61" t="s">
        <v>42</v>
      </c>
      <c r="B29" s="62">
        <v>1100</v>
      </c>
      <c r="C29" s="63"/>
      <c r="D29" s="64"/>
      <c r="E29" s="65"/>
    </row>
    <row r="30" spans="1:12" x14ac:dyDescent="0.3">
      <c r="A30" s="61" t="s">
        <v>86</v>
      </c>
      <c r="B30" s="62">
        <v>9</v>
      </c>
      <c r="C30" s="63" t="s">
        <v>41</v>
      </c>
      <c r="D30" s="66">
        <v>0.68100000000000005</v>
      </c>
      <c r="E30" s="65">
        <f>D30*B30</f>
        <v>6.1290000000000004</v>
      </c>
    </row>
    <row r="31" spans="1:12" x14ac:dyDescent="0.3">
      <c r="A31" s="61" t="s">
        <v>87</v>
      </c>
      <c r="B31" s="62">
        <f>B30*B29</f>
        <v>9900</v>
      </c>
      <c r="C31" s="67"/>
      <c r="D31" s="68"/>
      <c r="E31" s="65"/>
    </row>
    <row r="32" spans="1:12" x14ac:dyDescent="0.3">
      <c r="A32" s="61" t="s">
        <v>88</v>
      </c>
      <c r="B32" s="62">
        <v>9</v>
      </c>
      <c r="C32" s="63" t="s">
        <v>43</v>
      </c>
      <c r="D32" s="69">
        <v>0.13800000000000001</v>
      </c>
      <c r="E32" s="65">
        <f>D32*B32</f>
        <v>1.242</v>
      </c>
    </row>
    <row r="33" spans="1:5" x14ac:dyDescent="0.3">
      <c r="A33" s="61" t="s">
        <v>46</v>
      </c>
      <c r="B33" s="62">
        <f>B32*5</f>
        <v>45</v>
      </c>
      <c r="C33" s="63" t="s">
        <v>47</v>
      </c>
      <c r="D33" s="66">
        <v>4.3400000000000001E-2</v>
      </c>
      <c r="E33" s="65">
        <f>D33*B33</f>
        <v>1.9530000000000001</v>
      </c>
    </row>
    <row r="34" spans="1:5" ht="14.4" thickBot="1" x14ac:dyDescent="0.35">
      <c r="A34" s="70" t="s">
        <v>48</v>
      </c>
      <c r="B34" s="71" t="s">
        <v>49</v>
      </c>
      <c r="C34" s="72" t="s">
        <v>50</v>
      </c>
      <c r="D34" s="73">
        <v>2</v>
      </c>
      <c r="E34" s="74">
        <f>D34</f>
        <v>2</v>
      </c>
    </row>
    <row r="35" spans="1:5" ht="14.4" thickBot="1" x14ac:dyDescent="0.35">
      <c r="E35" s="75">
        <f>SUM(E29:E34)</f>
        <v>11.324</v>
      </c>
    </row>
    <row r="36" spans="1:5" ht="14.4" thickBot="1" x14ac:dyDescent="0.35">
      <c r="D36" s="76" t="s">
        <v>98</v>
      </c>
      <c r="E36" s="77">
        <f>E35/B31</f>
        <v>1.1438383838383839E-3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166D1-0205-4CF4-9615-717F6B581A4D}">
  <dimension ref="A2:AD36"/>
  <sheetViews>
    <sheetView topLeftCell="N1" workbookViewId="0">
      <selection activeCell="Z12" sqref="Z12"/>
    </sheetView>
  </sheetViews>
  <sheetFormatPr defaultColWidth="9.109375" defaultRowHeight="13.8" x14ac:dyDescent="0.3"/>
  <cols>
    <col min="1" max="1" width="28.6640625" style="14" bestFit="1" customWidth="1"/>
    <col min="2" max="2" width="10.109375" style="14" bestFit="1" customWidth="1"/>
    <col min="3" max="3" width="21" style="14" bestFit="1" customWidth="1"/>
    <col min="4" max="4" width="12.44140625" style="14" bestFit="1" customWidth="1"/>
    <col min="5" max="5" width="21" style="14" bestFit="1" customWidth="1"/>
    <col min="6" max="6" width="14.88671875" style="14" bestFit="1" customWidth="1"/>
    <col min="7" max="7" width="23.5546875" style="14" bestFit="1" customWidth="1"/>
    <col min="8" max="8" width="18.6640625" style="14" customWidth="1"/>
    <col min="9" max="9" width="0.109375" style="14" customWidth="1"/>
    <col min="10" max="10" width="9.5546875" style="14" bestFit="1" customWidth="1"/>
    <col min="11" max="11" width="15.33203125" style="82" customWidth="1"/>
    <col min="12" max="12" width="17.5546875" style="14" bestFit="1" customWidth="1"/>
    <col min="13" max="13" width="19.33203125" style="14" customWidth="1"/>
    <col min="14" max="14" width="9.109375" style="14" customWidth="1"/>
    <col min="15" max="15" width="22.88671875" style="14" customWidth="1"/>
    <col min="16" max="16" width="11.88671875" style="14" customWidth="1"/>
    <col min="17" max="17" width="23.5546875" style="14" bestFit="1" customWidth="1"/>
    <col min="18" max="18" width="24.33203125" style="14" customWidth="1"/>
    <col min="19" max="19" width="11" style="14" customWidth="1"/>
    <col min="20" max="20" width="35.5546875" style="14" bestFit="1" customWidth="1"/>
    <col min="21" max="21" width="14.6640625" style="14" bestFit="1" customWidth="1"/>
    <col min="22" max="27" width="14.6640625" style="14" customWidth="1"/>
    <col min="28" max="28" width="16.5546875" style="14" bestFit="1" customWidth="1"/>
    <col min="29" max="29" width="17.44140625" style="14" bestFit="1" customWidth="1"/>
    <col min="30" max="30" width="11.88671875" style="14" bestFit="1" customWidth="1"/>
    <col min="31" max="16384" width="9.109375" style="14"/>
  </cols>
  <sheetData>
    <row r="2" spans="1:30" ht="14.4" thickBot="1" x14ac:dyDescent="0.35"/>
    <row r="3" spans="1:30" ht="74.25" customHeight="1" thickBot="1" x14ac:dyDescent="0.35">
      <c r="A3" s="15" t="s">
        <v>57</v>
      </c>
      <c r="B3" s="15" t="s">
        <v>24</v>
      </c>
      <c r="C3" s="15" t="s">
        <v>25</v>
      </c>
      <c r="D3" s="15" t="s">
        <v>26</v>
      </c>
      <c r="E3" s="15" t="s">
        <v>55</v>
      </c>
      <c r="F3" s="15" t="s">
        <v>58</v>
      </c>
      <c r="G3" s="16" t="s">
        <v>51</v>
      </c>
      <c r="H3" s="17" t="s">
        <v>52</v>
      </c>
      <c r="I3" s="17" t="s">
        <v>61</v>
      </c>
      <c r="J3" s="90" t="s">
        <v>53</v>
      </c>
      <c r="K3" s="83" t="s">
        <v>99</v>
      </c>
      <c r="L3" s="18" t="s">
        <v>96</v>
      </c>
      <c r="M3" s="19" t="s">
        <v>54</v>
      </c>
      <c r="N3" s="19" t="s">
        <v>100</v>
      </c>
      <c r="O3" s="19" t="s">
        <v>108</v>
      </c>
      <c r="P3" s="19" t="s">
        <v>101</v>
      </c>
      <c r="Q3" s="91" t="s">
        <v>116</v>
      </c>
      <c r="R3" s="87" t="s">
        <v>107</v>
      </c>
      <c r="S3" s="88" t="s">
        <v>102</v>
      </c>
      <c r="T3" s="87" t="s">
        <v>104</v>
      </c>
      <c r="U3" s="87" t="s">
        <v>105</v>
      </c>
      <c r="V3" s="19" t="s">
        <v>109</v>
      </c>
      <c r="W3" s="20" t="s">
        <v>110</v>
      </c>
      <c r="X3" s="20"/>
      <c r="Y3" s="20"/>
      <c r="Z3" s="20" t="s">
        <v>111</v>
      </c>
      <c r="AA3" s="20" t="s">
        <v>112</v>
      </c>
      <c r="AB3" s="20" t="s">
        <v>103</v>
      </c>
      <c r="AC3" s="79" t="s">
        <v>106</v>
      </c>
      <c r="AD3" s="21" t="s">
        <v>113</v>
      </c>
    </row>
    <row r="4" spans="1:30" ht="14.4" x14ac:dyDescent="0.3">
      <c r="A4" s="15">
        <v>125</v>
      </c>
      <c r="B4" s="7" t="s">
        <v>2</v>
      </c>
      <c r="C4" s="22" t="s">
        <v>13</v>
      </c>
      <c r="D4" s="23">
        <v>2000</v>
      </c>
      <c r="E4" s="24">
        <v>0.1</v>
      </c>
      <c r="F4" s="25">
        <v>18</v>
      </c>
      <c r="G4" s="26">
        <f>F4+F4*E4</f>
        <v>19.8</v>
      </c>
      <c r="H4" s="27">
        <f>(G4*D4)/1000</f>
        <v>39.6</v>
      </c>
      <c r="I4" s="27">
        <f>C26</f>
        <v>2.08</v>
      </c>
      <c r="J4" s="89">
        <f>H4*I4</f>
        <v>82.368000000000009</v>
      </c>
      <c r="K4" s="84">
        <f>E36</f>
        <v>1.1438383838383839E-3</v>
      </c>
      <c r="L4" s="28">
        <f t="shared" ref="L4:L14" si="0">K4*D4</f>
        <v>2.2876767676767678</v>
      </c>
      <c r="M4" s="29">
        <f>A18*B18</f>
        <v>128</v>
      </c>
      <c r="N4" s="29">
        <f>C18</f>
        <v>450</v>
      </c>
      <c r="O4" s="29">
        <f>E18+F18*D18</f>
        <v>17.5</v>
      </c>
      <c r="P4" s="29">
        <f t="shared" ref="P4:P14" si="1">D4/N4</f>
        <v>4.4444444444444446</v>
      </c>
      <c r="Q4" s="28">
        <f>O4*P4</f>
        <v>77.777777777777786</v>
      </c>
      <c r="R4" s="26">
        <f>Q4+L4+J4+M4</f>
        <v>290.43345454545454</v>
      </c>
      <c r="S4" s="26">
        <f>G18</f>
        <v>0.3</v>
      </c>
      <c r="T4" s="26">
        <f>R4+R4*S4</f>
        <v>377.56349090909089</v>
      </c>
      <c r="U4" s="27">
        <f t="shared" ref="U4:U14" si="2">T4/D4</f>
        <v>0.18878174545454546</v>
      </c>
      <c r="V4" s="78">
        <f>E19+F19*D19</f>
        <v>11.25</v>
      </c>
      <c r="W4" s="78">
        <f>V4*P4</f>
        <v>50</v>
      </c>
      <c r="X4" s="92">
        <f>W4+M4+L4+J4</f>
        <v>262.65567676767677</v>
      </c>
      <c r="Y4" s="78">
        <f>G18</f>
        <v>0.3</v>
      </c>
      <c r="Z4" s="26">
        <f>X4+X4*Y4</f>
        <v>341.4523797979798</v>
      </c>
      <c r="AA4" s="78">
        <f t="shared" ref="AA4:AA14" si="3">Z4/D4</f>
        <v>0.17072618989898991</v>
      </c>
      <c r="AB4" s="30">
        <v>180</v>
      </c>
      <c r="AC4" s="81">
        <f>U4*2+(U4*2*80/100)</f>
        <v>0.67961428363636367</v>
      </c>
      <c r="AD4" s="81">
        <f>AA4*2+(AA4*2*80/100)</f>
        <v>0.61461428363636372</v>
      </c>
    </row>
    <row r="5" spans="1:30" ht="14.4" x14ac:dyDescent="0.3">
      <c r="A5" s="15">
        <v>125</v>
      </c>
      <c r="B5" s="7" t="s">
        <v>3</v>
      </c>
      <c r="C5" s="22" t="s">
        <v>14</v>
      </c>
      <c r="D5" s="23">
        <v>4000</v>
      </c>
      <c r="E5" s="24">
        <v>0.1</v>
      </c>
      <c r="F5" s="25">
        <v>18</v>
      </c>
      <c r="G5" s="26">
        <f t="shared" ref="G5:G14" si="4">F5+F5*E5</f>
        <v>19.8</v>
      </c>
      <c r="H5" s="27">
        <f t="shared" ref="H5:H14" si="5">(G5*D5)/1000</f>
        <v>79.2</v>
      </c>
      <c r="I5" s="27">
        <f>C26</f>
        <v>2.08</v>
      </c>
      <c r="J5" s="89">
        <f t="shared" ref="J5:J14" si="6">H5*I5</f>
        <v>164.73600000000002</v>
      </c>
      <c r="K5" s="84">
        <f>E36</f>
        <v>1.1438383838383839E-3</v>
      </c>
      <c r="L5" s="28">
        <f t="shared" si="0"/>
        <v>4.5753535353535355</v>
      </c>
      <c r="M5" s="29">
        <f>A18*B18</f>
        <v>128</v>
      </c>
      <c r="N5" s="29">
        <f>C18</f>
        <v>450</v>
      </c>
      <c r="O5" s="29">
        <f>E18+F18*D18</f>
        <v>17.5</v>
      </c>
      <c r="P5" s="29">
        <f t="shared" si="1"/>
        <v>8.8888888888888893</v>
      </c>
      <c r="Q5" s="28">
        <f t="shared" ref="Q5:Q14" si="7">O5*P5</f>
        <v>155.55555555555557</v>
      </c>
      <c r="R5" s="26">
        <f t="shared" ref="R5:R14" si="8">Q5+L5+J5+M5</f>
        <v>452.86690909090913</v>
      </c>
      <c r="S5" s="26">
        <f>G18</f>
        <v>0.3</v>
      </c>
      <c r="T5" s="26">
        <f t="shared" ref="T5:T14" si="9">R5+R5*S5</f>
        <v>588.72698181818191</v>
      </c>
      <c r="U5" s="27">
        <f t="shared" si="2"/>
        <v>0.14718174545454549</v>
      </c>
      <c r="V5" s="78">
        <f>E19+F19*D19</f>
        <v>11.25</v>
      </c>
      <c r="W5" s="78">
        <f t="shared" ref="W5:W14" si="10">V5*P5</f>
        <v>100</v>
      </c>
      <c r="X5" s="92">
        <f t="shared" ref="X5:X14" si="11">W5+M5+L5+J5</f>
        <v>397.31135353535353</v>
      </c>
      <c r="Y5" s="78">
        <f>G18</f>
        <v>0.3</v>
      </c>
      <c r="Z5" s="26">
        <f t="shared" ref="Z5:Z14" si="12">X5+X5*Y5</f>
        <v>516.50475959595963</v>
      </c>
      <c r="AA5" s="78">
        <f t="shared" si="3"/>
        <v>0.12912618989898991</v>
      </c>
      <c r="AB5" s="30">
        <v>160</v>
      </c>
      <c r="AC5" s="31">
        <f>U5*2+(U5*2*80/100)</f>
        <v>0.52985428363636378</v>
      </c>
      <c r="AD5" s="31">
        <f>AA5*2+(AA5*2*80/100)</f>
        <v>0.46485428363636372</v>
      </c>
    </row>
    <row r="6" spans="1:30" ht="14.4" x14ac:dyDescent="0.3">
      <c r="A6" s="15">
        <v>125</v>
      </c>
      <c r="B6" s="7" t="s">
        <v>4</v>
      </c>
      <c r="C6" s="22" t="s">
        <v>15</v>
      </c>
      <c r="D6" s="23">
        <v>7500</v>
      </c>
      <c r="E6" s="24">
        <v>7.0000000000000007E-2</v>
      </c>
      <c r="F6" s="25">
        <v>18</v>
      </c>
      <c r="G6" s="26">
        <f t="shared" si="4"/>
        <v>19.260000000000002</v>
      </c>
      <c r="H6" s="27">
        <f t="shared" si="5"/>
        <v>144.44999999999999</v>
      </c>
      <c r="I6" s="27">
        <f>C26</f>
        <v>2.08</v>
      </c>
      <c r="J6" s="89">
        <f t="shared" si="6"/>
        <v>300.45599999999996</v>
      </c>
      <c r="K6" s="84">
        <f>E36</f>
        <v>1.1438383838383839E-3</v>
      </c>
      <c r="L6" s="28">
        <f t="shared" si="0"/>
        <v>8.57878787878788</v>
      </c>
      <c r="M6" s="29">
        <f>A18*B18</f>
        <v>128</v>
      </c>
      <c r="N6" s="29">
        <f>C18</f>
        <v>450</v>
      </c>
      <c r="O6" s="29">
        <f>E18+F18*D18</f>
        <v>17.5</v>
      </c>
      <c r="P6" s="29">
        <f t="shared" si="1"/>
        <v>16.666666666666668</v>
      </c>
      <c r="Q6" s="28">
        <f t="shared" si="7"/>
        <v>291.66666666666669</v>
      </c>
      <c r="R6" s="26">
        <f t="shared" si="8"/>
        <v>728.70145454545445</v>
      </c>
      <c r="S6" s="26">
        <f>G18</f>
        <v>0.3</v>
      </c>
      <c r="T6" s="26">
        <f t="shared" si="9"/>
        <v>947.31189090909083</v>
      </c>
      <c r="U6" s="27">
        <f t="shared" si="2"/>
        <v>0.12630825212121211</v>
      </c>
      <c r="V6" s="78">
        <f>E19+F19*D19</f>
        <v>11.25</v>
      </c>
      <c r="W6" s="78">
        <f t="shared" si="10"/>
        <v>187.5</v>
      </c>
      <c r="X6" s="92">
        <f t="shared" si="11"/>
        <v>624.53478787878782</v>
      </c>
      <c r="Y6" s="78">
        <f>G18</f>
        <v>0.3</v>
      </c>
      <c r="Z6" s="26">
        <f t="shared" si="12"/>
        <v>811.89522424242421</v>
      </c>
      <c r="AA6" s="78">
        <f t="shared" si="3"/>
        <v>0.10825269656565656</v>
      </c>
      <c r="AB6" s="30">
        <v>140</v>
      </c>
      <c r="AC6" s="31">
        <f>U6*2+(U6*2*80/100)</f>
        <v>0.45470970763636359</v>
      </c>
      <c r="AD6" s="31">
        <f>AA6*2+(AA6*2*80/100)</f>
        <v>0.38970970763636359</v>
      </c>
    </row>
    <row r="7" spans="1:30" ht="14.4" x14ac:dyDescent="0.3">
      <c r="A7" s="15">
        <v>125</v>
      </c>
      <c r="B7" s="7" t="s">
        <v>5</v>
      </c>
      <c r="C7" s="22" t="s">
        <v>16</v>
      </c>
      <c r="D7" s="23">
        <v>12500</v>
      </c>
      <c r="E7" s="24">
        <v>7.0000000000000007E-2</v>
      </c>
      <c r="F7" s="25">
        <v>18</v>
      </c>
      <c r="G7" s="26">
        <f t="shared" si="4"/>
        <v>19.260000000000002</v>
      </c>
      <c r="H7" s="27">
        <f t="shared" si="5"/>
        <v>240.75000000000003</v>
      </c>
      <c r="I7" s="27">
        <f>C26</f>
        <v>2.08</v>
      </c>
      <c r="J7" s="89">
        <f t="shared" si="6"/>
        <v>500.7600000000001</v>
      </c>
      <c r="K7" s="84">
        <f>E36</f>
        <v>1.1438383838383839E-3</v>
      </c>
      <c r="L7" s="28">
        <f t="shared" si="0"/>
        <v>14.297979797979799</v>
      </c>
      <c r="M7" s="29">
        <f>A18*B18</f>
        <v>128</v>
      </c>
      <c r="N7" s="29">
        <f>C18</f>
        <v>450</v>
      </c>
      <c r="O7" s="29">
        <f>E18+F18*D18</f>
        <v>17.5</v>
      </c>
      <c r="P7" s="29">
        <f t="shared" si="1"/>
        <v>27.777777777777779</v>
      </c>
      <c r="Q7" s="28">
        <f t="shared" si="7"/>
        <v>486.11111111111114</v>
      </c>
      <c r="R7" s="26">
        <f t="shared" si="8"/>
        <v>1129.169090909091</v>
      </c>
      <c r="S7" s="26">
        <f>G18</f>
        <v>0.3</v>
      </c>
      <c r="T7" s="26">
        <f t="shared" si="9"/>
        <v>1467.9198181818183</v>
      </c>
      <c r="U7" s="27">
        <f t="shared" si="2"/>
        <v>0.11743358545454546</v>
      </c>
      <c r="V7" s="78">
        <f>E19+F19*D19</f>
        <v>11.25</v>
      </c>
      <c r="W7" s="78">
        <f t="shared" si="10"/>
        <v>312.5</v>
      </c>
      <c r="X7" s="92">
        <f t="shared" si="11"/>
        <v>955.5579797979799</v>
      </c>
      <c r="Y7" s="78">
        <f>G18</f>
        <v>0.3</v>
      </c>
      <c r="Z7" s="26">
        <f t="shared" si="12"/>
        <v>1242.225373737374</v>
      </c>
      <c r="AA7" s="78">
        <f t="shared" si="3"/>
        <v>9.9378029898989917E-2</v>
      </c>
      <c r="AB7" s="30">
        <v>85</v>
      </c>
      <c r="AC7" s="31">
        <f>U7+U7*AB7/100</f>
        <v>0.21725213309090913</v>
      </c>
      <c r="AD7" s="31">
        <f>AA7+AA7*AB7/100</f>
        <v>0.18384935531313135</v>
      </c>
    </row>
    <row r="8" spans="1:30" ht="14.4" x14ac:dyDescent="0.3">
      <c r="A8" s="15">
        <v>125</v>
      </c>
      <c r="B8" s="7" t="s">
        <v>6</v>
      </c>
      <c r="C8" s="22" t="s">
        <v>17</v>
      </c>
      <c r="D8" s="23">
        <v>17500</v>
      </c>
      <c r="E8" s="24">
        <v>7.0000000000000007E-2</v>
      </c>
      <c r="F8" s="25">
        <v>18</v>
      </c>
      <c r="G8" s="26">
        <f t="shared" si="4"/>
        <v>19.260000000000002</v>
      </c>
      <c r="H8" s="27">
        <f t="shared" si="5"/>
        <v>337.05</v>
      </c>
      <c r="I8" s="27">
        <f>C26</f>
        <v>2.08</v>
      </c>
      <c r="J8" s="89">
        <f t="shared" si="6"/>
        <v>701.06400000000008</v>
      </c>
      <c r="K8" s="84">
        <f>E36</f>
        <v>1.1438383838383839E-3</v>
      </c>
      <c r="L8" s="28">
        <f t="shared" si="0"/>
        <v>20.017171717171717</v>
      </c>
      <c r="M8" s="29">
        <f>A18*B18</f>
        <v>128</v>
      </c>
      <c r="N8" s="29">
        <f>C18</f>
        <v>450</v>
      </c>
      <c r="O8" s="29">
        <f>E18+F18*D18</f>
        <v>17.5</v>
      </c>
      <c r="P8" s="29">
        <f t="shared" si="1"/>
        <v>38.888888888888886</v>
      </c>
      <c r="Q8" s="28">
        <f t="shared" si="7"/>
        <v>680.55555555555554</v>
      </c>
      <c r="R8" s="26">
        <f t="shared" si="8"/>
        <v>1529.6367272727273</v>
      </c>
      <c r="S8" s="26">
        <f>G18</f>
        <v>0.3</v>
      </c>
      <c r="T8" s="26">
        <f t="shared" si="9"/>
        <v>1988.5277454545455</v>
      </c>
      <c r="U8" s="27">
        <f t="shared" si="2"/>
        <v>0.11363015688311688</v>
      </c>
      <c r="V8" s="78">
        <f>E19+F19*D19</f>
        <v>11.25</v>
      </c>
      <c r="W8" s="78">
        <f t="shared" si="10"/>
        <v>437.49999999999994</v>
      </c>
      <c r="X8" s="92">
        <f t="shared" si="11"/>
        <v>1286.5811717171719</v>
      </c>
      <c r="Y8" s="78">
        <f>G18</f>
        <v>0.3</v>
      </c>
      <c r="Z8" s="26">
        <f t="shared" si="12"/>
        <v>1672.5555232323234</v>
      </c>
      <c r="AA8" s="78">
        <f t="shared" si="3"/>
        <v>9.5574601327561334E-2</v>
      </c>
      <c r="AB8" s="30">
        <v>80</v>
      </c>
      <c r="AC8" s="31">
        <f t="shared" ref="AC8:AC14" si="13">U8+U8*AB8/100</f>
        <v>0.20453428238961038</v>
      </c>
      <c r="AD8" s="31">
        <f t="shared" ref="AD8:AD14" si="14">AA8+AA8*AB8/100</f>
        <v>0.17203428238961041</v>
      </c>
    </row>
    <row r="9" spans="1:30" ht="14.4" x14ac:dyDescent="0.3">
      <c r="A9" s="15">
        <v>125</v>
      </c>
      <c r="B9" s="7" t="s">
        <v>7</v>
      </c>
      <c r="C9" s="22" t="s">
        <v>18</v>
      </c>
      <c r="D9" s="23">
        <v>25000</v>
      </c>
      <c r="E9" s="24">
        <v>0.05</v>
      </c>
      <c r="F9" s="25">
        <v>18</v>
      </c>
      <c r="G9" s="26">
        <f t="shared" si="4"/>
        <v>18.899999999999999</v>
      </c>
      <c r="H9" s="27">
        <f t="shared" si="5"/>
        <v>472.49999999999994</v>
      </c>
      <c r="I9" s="27">
        <f>C26</f>
        <v>2.08</v>
      </c>
      <c r="J9" s="89">
        <f t="shared" si="6"/>
        <v>982.8</v>
      </c>
      <c r="K9" s="84">
        <f>E36</f>
        <v>1.1438383838383839E-3</v>
      </c>
      <c r="L9" s="28">
        <f t="shared" si="0"/>
        <v>28.595959595959599</v>
      </c>
      <c r="M9" s="29">
        <f>A18*B18</f>
        <v>128</v>
      </c>
      <c r="N9" s="29">
        <f>C18</f>
        <v>450</v>
      </c>
      <c r="O9" s="29">
        <f>E18+F18*D18</f>
        <v>17.5</v>
      </c>
      <c r="P9" s="29">
        <f t="shared" si="1"/>
        <v>55.555555555555557</v>
      </c>
      <c r="Q9" s="28">
        <f t="shared" si="7"/>
        <v>972.22222222222229</v>
      </c>
      <c r="R9" s="26">
        <f t="shared" si="8"/>
        <v>2111.6181818181817</v>
      </c>
      <c r="S9" s="26">
        <f>G18</f>
        <v>0.3</v>
      </c>
      <c r="T9" s="26">
        <f t="shared" si="9"/>
        <v>2745.1036363636363</v>
      </c>
      <c r="U9" s="27">
        <f t="shared" si="2"/>
        <v>0.10980414545454545</v>
      </c>
      <c r="V9" s="78">
        <f>E19+F19*D19</f>
        <v>11.25</v>
      </c>
      <c r="W9" s="78">
        <f t="shared" si="10"/>
        <v>625</v>
      </c>
      <c r="X9" s="92">
        <f t="shared" si="11"/>
        <v>1764.3959595959595</v>
      </c>
      <c r="Y9" s="78">
        <f>G18</f>
        <v>0.3</v>
      </c>
      <c r="Z9" s="26">
        <f t="shared" si="12"/>
        <v>2293.7147474747471</v>
      </c>
      <c r="AA9" s="78">
        <f t="shared" si="3"/>
        <v>9.1748589898989888E-2</v>
      </c>
      <c r="AB9" s="30">
        <v>75</v>
      </c>
      <c r="AC9" s="31">
        <f t="shared" si="13"/>
        <v>0.19215725454545454</v>
      </c>
      <c r="AD9" s="31">
        <f t="shared" si="14"/>
        <v>0.16056003232323229</v>
      </c>
    </row>
    <row r="10" spans="1:30" ht="14.4" x14ac:dyDescent="0.3">
      <c r="A10" s="15">
        <v>125</v>
      </c>
      <c r="B10" s="7" t="s">
        <v>8</v>
      </c>
      <c r="C10" s="22" t="s">
        <v>19</v>
      </c>
      <c r="D10" s="23">
        <v>35000</v>
      </c>
      <c r="E10" s="24">
        <v>0.05</v>
      </c>
      <c r="F10" s="25">
        <v>18</v>
      </c>
      <c r="G10" s="26">
        <f t="shared" si="4"/>
        <v>18.899999999999999</v>
      </c>
      <c r="H10" s="27">
        <f t="shared" si="5"/>
        <v>661.5</v>
      </c>
      <c r="I10" s="27">
        <f>C26</f>
        <v>2.08</v>
      </c>
      <c r="J10" s="89">
        <f t="shared" si="6"/>
        <v>1375.92</v>
      </c>
      <c r="K10" s="84">
        <f>E36</f>
        <v>1.1438383838383839E-3</v>
      </c>
      <c r="L10" s="28">
        <f t="shared" si="0"/>
        <v>40.034343434343434</v>
      </c>
      <c r="M10" s="29">
        <f>A18*B18</f>
        <v>128</v>
      </c>
      <c r="N10" s="29">
        <f>C18</f>
        <v>450</v>
      </c>
      <c r="O10" s="29">
        <f>E18+F18*D18</f>
        <v>17.5</v>
      </c>
      <c r="P10" s="29">
        <f t="shared" si="1"/>
        <v>77.777777777777771</v>
      </c>
      <c r="Q10" s="28">
        <f t="shared" si="7"/>
        <v>1361.1111111111111</v>
      </c>
      <c r="R10" s="26">
        <f t="shared" si="8"/>
        <v>2905.0654545454545</v>
      </c>
      <c r="S10" s="26">
        <f>G18</f>
        <v>0.3</v>
      </c>
      <c r="T10" s="26">
        <f t="shared" si="9"/>
        <v>3776.5850909090909</v>
      </c>
      <c r="U10" s="27">
        <f t="shared" si="2"/>
        <v>0.10790243116883116</v>
      </c>
      <c r="V10" s="78">
        <f>E19+F19*D19</f>
        <v>11.25</v>
      </c>
      <c r="W10" s="78">
        <f t="shared" si="10"/>
        <v>874.99999999999989</v>
      </c>
      <c r="X10" s="92">
        <f t="shared" si="11"/>
        <v>2418.9543434343432</v>
      </c>
      <c r="Y10" s="78">
        <f>G18</f>
        <v>0.3</v>
      </c>
      <c r="Z10" s="26">
        <f t="shared" si="12"/>
        <v>3144.6406464646461</v>
      </c>
      <c r="AA10" s="78">
        <f t="shared" si="3"/>
        <v>8.9846875613275604E-2</v>
      </c>
      <c r="AB10" s="30">
        <v>75</v>
      </c>
      <c r="AC10" s="31">
        <f t="shared" si="13"/>
        <v>0.18882925454545452</v>
      </c>
      <c r="AD10" s="31">
        <f t="shared" si="14"/>
        <v>0.1572320323232323</v>
      </c>
    </row>
    <row r="11" spans="1:30" ht="14.4" x14ac:dyDescent="0.3">
      <c r="A11" s="15">
        <v>125</v>
      </c>
      <c r="B11" s="7" t="s">
        <v>9</v>
      </c>
      <c r="C11" s="22" t="s">
        <v>20</v>
      </c>
      <c r="D11" s="23">
        <v>45000</v>
      </c>
      <c r="E11" s="24">
        <v>0.05</v>
      </c>
      <c r="F11" s="25">
        <v>18</v>
      </c>
      <c r="G11" s="26">
        <f t="shared" si="4"/>
        <v>18.899999999999999</v>
      </c>
      <c r="H11" s="27">
        <f t="shared" si="5"/>
        <v>850.49999999999989</v>
      </c>
      <c r="I11" s="27">
        <f>C26</f>
        <v>2.08</v>
      </c>
      <c r="J11" s="89">
        <f t="shared" si="6"/>
        <v>1769.0399999999997</v>
      </c>
      <c r="K11" s="84">
        <f>E36</f>
        <v>1.1438383838383839E-3</v>
      </c>
      <c r="L11" s="28">
        <f t="shared" si="0"/>
        <v>51.472727272727276</v>
      </c>
      <c r="M11" s="29">
        <f>A18*B18</f>
        <v>128</v>
      </c>
      <c r="N11" s="29">
        <f>C18</f>
        <v>450</v>
      </c>
      <c r="O11" s="29">
        <f>E18+F18*D18</f>
        <v>17.5</v>
      </c>
      <c r="P11" s="29">
        <f t="shared" si="1"/>
        <v>100</v>
      </c>
      <c r="Q11" s="28">
        <f t="shared" si="7"/>
        <v>1750</v>
      </c>
      <c r="R11" s="26">
        <f t="shared" si="8"/>
        <v>3698.5127272727268</v>
      </c>
      <c r="S11" s="26">
        <f>G18</f>
        <v>0.3</v>
      </c>
      <c r="T11" s="26">
        <f t="shared" si="9"/>
        <v>4808.0665454545451</v>
      </c>
      <c r="U11" s="27">
        <f t="shared" si="2"/>
        <v>0.10684592323232323</v>
      </c>
      <c r="V11" s="78">
        <f>E19+F19*D19</f>
        <v>11.25</v>
      </c>
      <c r="W11" s="78">
        <f t="shared" si="10"/>
        <v>1125</v>
      </c>
      <c r="X11" s="92">
        <f t="shared" si="11"/>
        <v>3073.5127272727268</v>
      </c>
      <c r="Y11" s="78">
        <f>G18</f>
        <v>0.3</v>
      </c>
      <c r="Z11" s="26">
        <f t="shared" si="12"/>
        <v>3995.5665454545447</v>
      </c>
      <c r="AA11" s="78">
        <f t="shared" si="3"/>
        <v>8.8790367676767665E-2</v>
      </c>
      <c r="AB11" s="30">
        <v>70</v>
      </c>
      <c r="AC11" s="31">
        <f t="shared" si="13"/>
        <v>0.18163806949494948</v>
      </c>
      <c r="AD11" s="31">
        <f t="shared" si="14"/>
        <v>0.15094362505050501</v>
      </c>
    </row>
    <row r="12" spans="1:30" ht="14.4" x14ac:dyDescent="0.3">
      <c r="A12" s="15">
        <v>125</v>
      </c>
      <c r="B12" s="7" t="s">
        <v>10</v>
      </c>
      <c r="C12" s="22" t="s">
        <v>21</v>
      </c>
      <c r="D12" s="23">
        <v>75000</v>
      </c>
      <c r="E12" s="24">
        <v>0.05</v>
      </c>
      <c r="F12" s="25">
        <v>18</v>
      </c>
      <c r="G12" s="26">
        <f t="shared" si="4"/>
        <v>18.899999999999999</v>
      </c>
      <c r="H12" s="27">
        <f t="shared" si="5"/>
        <v>1417.5</v>
      </c>
      <c r="I12" s="27">
        <f>C26</f>
        <v>2.08</v>
      </c>
      <c r="J12" s="89">
        <f t="shared" si="6"/>
        <v>2948.4</v>
      </c>
      <c r="K12" s="84">
        <f>E36</f>
        <v>1.1438383838383839E-3</v>
      </c>
      <c r="L12" s="28">
        <f t="shared" si="0"/>
        <v>85.787878787878796</v>
      </c>
      <c r="M12" s="29">
        <f>A18*B18</f>
        <v>128</v>
      </c>
      <c r="N12" s="29">
        <f>C18</f>
        <v>450</v>
      </c>
      <c r="O12" s="29">
        <f>E18+F18*D18</f>
        <v>17.5</v>
      </c>
      <c r="P12" s="29">
        <f t="shared" si="1"/>
        <v>166.66666666666666</v>
      </c>
      <c r="Q12" s="28">
        <f>O12*P12</f>
        <v>2916.6666666666665</v>
      </c>
      <c r="R12" s="26">
        <f t="shared" si="8"/>
        <v>6078.8545454545456</v>
      </c>
      <c r="S12" s="26">
        <f>G18</f>
        <v>0.3</v>
      </c>
      <c r="T12" s="26">
        <f t="shared" si="9"/>
        <v>7902.5109090909091</v>
      </c>
      <c r="U12" s="27">
        <f t="shared" si="2"/>
        <v>0.10536681212121213</v>
      </c>
      <c r="V12" s="78">
        <f>E19+F19*D19</f>
        <v>11.25</v>
      </c>
      <c r="W12" s="78">
        <f t="shared" si="10"/>
        <v>1875</v>
      </c>
      <c r="X12" s="92">
        <f t="shared" si="11"/>
        <v>5037.1878787878795</v>
      </c>
      <c r="Y12" s="78">
        <f>G18</f>
        <v>0.3</v>
      </c>
      <c r="Z12" s="26">
        <f t="shared" si="12"/>
        <v>6548.344242424243</v>
      </c>
      <c r="AA12" s="78">
        <f t="shared" si="3"/>
        <v>8.7311256565656567E-2</v>
      </c>
      <c r="AB12" s="30">
        <v>70</v>
      </c>
      <c r="AC12" s="31">
        <f t="shared" si="13"/>
        <v>0.17912358060606062</v>
      </c>
      <c r="AD12" s="31">
        <f t="shared" si="14"/>
        <v>0.14842913616161615</v>
      </c>
    </row>
    <row r="13" spans="1:30" ht="14.4" x14ac:dyDescent="0.3">
      <c r="A13" s="15">
        <v>125</v>
      </c>
      <c r="B13" s="7" t="s">
        <v>11</v>
      </c>
      <c r="C13" s="22" t="s">
        <v>22</v>
      </c>
      <c r="D13" s="23">
        <v>125000</v>
      </c>
      <c r="E13" s="24">
        <v>0.03</v>
      </c>
      <c r="F13" s="25">
        <v>18</v>
      </c>
      <c r="G13" s="26">
        <f t="shared" si="4"/>
        <v>18.54</v>
      </c>
      <c r="H13" s="27">
        <f t="shared" si="5"/>
        <v>2317.5</v>
      </c>
      <c r="I13" s="27">
        <f>C26</f>
        <v>2.08</v>
      </c>
      <c r="J13" s="89">
        <f t="shared" si="6"/>
        <v>4820.4000000000005</v>
      </c>
      <c r="K13" s="84">
        <f>E36</f>
        <v>1.1438383838383839E-3</v>
      </c>
      <c r="L13" s="28">
        <f t="shared" si="0"/>
        <v>142.97979797979798</v>
      </c>
      <c r="M13" s="29">
        <f>A18*B18</f>
        <v>128</v>
      </c>
      <c r="N13" s="29">
        <f>C18</f>
        <v>450</v>
      </c>
      <c r="O13" s="29">
        <f>E18+F18*D18</f>
        <v>17.5</v>
      </c>
      <c r="P13" s="29">
        <f t="shared" si="1"/>
        <v>277.77777777777777</v>
      </c>
      <c r="Q13" s="28">
        <f t="shared" si="7"/>
        <v>4861.1111111111113</v>
      </c>
      <c r="R13" s="26">
        <f t="shared" si="8"/>
        <v>9952.4909090909096</v>
      </c>
      <c r="S13" s="26">
        <f>G18</f>
        <v>0.3</v>
      </c>
      <c r="T13" s="26">
        <f t="shared" si="9"/>
        <v>12938.238181818182</v>
      </c>
      <c r="U13" s="27">
        <f t="shared" si="2"/>
        <v>0.10350590545454545</v>
      </c>
      <c r="V13" s="78">
        <f>E19+F19*D19</f>
        <v>11.25</v>
      </c>
      <c r="W13" s="78">
        <f t="shared" si="10"/>
        <v>3125</v>
      </c>
      <c r="X13" s="92">
        <f t="shared" si="11"/>
        <v>8216.3797979797982</v>
      </c>
      <c r="Y13" s="78">
        <f>G18</f>
        <v>0.3</v>
      </c>
      <c r="Z13" s="26">
        <f t="shared" si="12"/>
        <v>10681.293737373737</v>
      </c>
      <c r="AA13" s="78">
        <f t="shared" si="3"/>
        <v>8.5450349898989891E-2</v>
      </c>
      <c r="AB13" s="30">
        <v>65</v>
      </c>
      <c r="AC13" s="31">
        <f t="shared" si="13"/>
        <v>0.17078474399999999</v>
      </c>
      <c r="AD13" s="31">
        <f t="shared" si="14"/>
        <v>0.14099307733333333</v>
      </c>
    </row>
    <row r="14" spans="1:30" ht="15" thickBot="1" x14ac:dyDescent="0.35">
      <c r="A14" s="15">
        <v>125</v>
      </c>
      <c r="B14" s="7" t="s">
        <v>12</v>
      </c>
      <c r="C14" s="22" t="s">
        <v>23</v>
      </c>
      <c r="D14" s="23">
        <v>200000</v>
      </c>
      <c r="E14" s="24">
        <v>0.03</v>
      </c>
      <c r="F14" s="25">
        <v>18</v>
      </c>
      <c r="G14" s="26">
        <f t="shared" si="4"/>
        <v>18.54</v>
      </c>
      <c r="H14" s="27">
        <f t="shared" si="5"/>
        <v>3708</v>
      </c>
      <c r="I14" s="27">
        <f>C26</f>
        <v>2.08</v>
      </c>
      <c r="J14" s="89">
        <f t="shared" si="6"/>
        <v>7712.64</v>
      </c>
      <c r="K14" s="84">
        <f>E36</f>
        <v>1.1438383838383839E-3</v>
      </c>
      <c r="L14" s="28">
        <f t="shared" si="0"/>
        <v>228.76767676767679</v>
      </c>
      <c r="M14" s="29">
        <f>A18*B18</f>
        <v>128</v>
      </c>
      <c r="N14" s="29">
        <f>C18</f>
        <v>450</v>
      </c>
      <c r="O14" s="29">
        <f>E18+F18*D18</f>
        <v>17.5</v>
      </c>
      <c r="P14" s="29">
        <f t="shared" si="1"/>
        <v>444.44444444444446</v>
      </c>
      <c r="Q14" s="28">
        <f t="shared" si="7"/>
        <v>7777.7777777777783</v>
      </c>
      <c r="R14" s="26">
        <f t="shared" si="8"/>
        <v>15847.185454545455</v>
      </c>
      <c r="S14" s="26">
        <f>G18</f>
        <v>0.3</v>
      </c>
      <c r="T14" s="26">
        <f t="shared" si="9"/>
        <v>20601.341090909093</v>
      </c>
      <c r="U14" s="27">
        <f t="shared" si="2"/>
        <v>0.10300670545454546</v>
      </c>
      <c r="V14" s="78">
        <f>E19+F19*D19</f>
        <v>11.25</v>
      </c>
      <c r="W14" s="78">
        <f t="shared" si="10"/>
        <v>5000</v>
      </c>
      <c r="X14" s="92">
        <f t="shared" si="11"/>
        <v>13069.407676767678</v>
      </c>
      <c r="Y14" s="78">
        <f>G18</f>
        <v>0.3</v>
      </c>
      <c r="Z14" s="26">
        <f t="shared" si="12"/>
        <v>16990.229979797979</v>
      </c>
      <c r="AA14" s="78">
        <f t="shared" si="3"/>
        <v>8.49511498989899E-2</v>
      </c>
      <c r="AB14" s="30">
        <v>60</v>
      </c>
      <c r="AC14" s="32">
        <f t="shared" si="13"/>
        <v>0.16481072872727273</v>
      </c>
      <c r="AD14" s="32">
        <f t="shared" si="14"/>
        <v>0.13592183983838385</v>
      </c>
    </row>
    <row r="15" spans="1:30" ht="14.4" thickBot="1" x14ac:dyDescent="0.35"/>
    <row r="16" spans="1:30" x14ac:dyDescent="0.3">
      <c r="A16" s="33" t="s">
        <v>27</v>
      </c>
      <c r="B16" s="34"/>
      <c r="C16" s="34"/>
      <c r="D16" s="34"/>
      <c r="E16" s="34"/>
      <c r="F16" s="34"/>
      <c r="G16" s="35"/>
      <c r="AC16" s="80"/>
    </row>
    <row r="17" spans="1:12" x14ac:dyDescent="0.3">
      <c r="A17" s="36" t="s">
        <v>28</v>
      </c>
      <c r="B17" s="37" t="s">
        <v>29</v>
      </c>
      <c r="C17" s="37" t="s">
        <v>30</v>
      </c>
      <c r="D17" s="37" t="s">
        <v>31</v>
      </c>
      <c r="E17" s="37" t="s">
        <v>32</v>
      </c>
      <c r="F17" s="37" t="s">
        <v>33</v>
      </c>
      <c r="G17" s="38" t="s">
        <v>34</v>
      </c>
      <c r="J17" s="39"/>
      <c r="K17" s="85"/>
      <c r="L17" s="14" t="s">
        <v>59</v>
      </c>
    </row>
    <row r="18" spans="1:12" ht="14.4" thickBot="1" x14ac:dyDescent="0.35">
      <c r="A18" s="40">
        <v>4</v>
      </c>
      <c r="B18" s="41">
        <v>32</v>
      </c>
      <c r="C18" s="41">
        <v>450</v>
      </c>
      <c r="D18" s="41">
        <v>0.5</v>
      </c>
      <c r="E18" s="41">
        <v>5</v>
      </c>
      <c r="F18" s="42">
        <v>25</v>
      </c>
      <c r="G18" s="43">
        <v>0.3</v>
      </c>
    </row>
    <row r="19" spans="1:12" ht="14.4" thickBot="1" x14ac:dyDescent="0.35">
      <c r="A19" s="40">
        <v>4</v>
      </c>
      <c r="B19" s="41">
        <v>32</v>
      </c>
      <c r="C19" s="41">
        <v>450</v>
      </c>
      <c r="D19" s="41">
        <v>0.25</v>
      </c>
      <c r="E19" s="41">
        <v>5</v>
      </c>
      <c r="F19" s="42">
        <v>25</v>
      </c>
      <c r="G19" s="43">
        <v>0.3</v>
      </c>
    </row>
    <row r="20" spans="1:12" ht="14.4" thickBot="1" x14ac:dyDescent="0.35">
      <c r="J20" s="44"/>
      <c r="K20" s="86"/>
      <c r="L20" s="14" t="s">
        <v>60</v>
      </c>
    </row>
    <row r="21" spans="1:12" x14ac:dyDescent="0.3">
      <c r="A21" s="45" t="s">
        <v>35</v>
      </c>
      <c r="B21" s="46"/>
      <c r="C21" s="46" t="s">
        <v>36</v>
      </c>
      <c r="D21" s="47" t="s">
        <v>37</v>
      </c>
    </row>
    <row r="22" spans="1:12" x14ac:dyDescent="0.3">
      <c r="A22" s="48" t="s">
        <v>40</v>
      </c>
      <c r="B22" s="49">
        <v>2</v>
      </c>
      <c r="C22" s="50">
        <v>96</v>
      </c>
      <c r="D22" s="51"/>
    </row>
    <row r="23" spans="1:12" x14ac:dyDescent="0.3">
      <c r="A23" s="48" t="s">
        <v>40</v>
      </c>
      <c r="B23" s="49">
        <v>4</v>
      </c>
      <c r="C23" s="50">
        <v>4</v>
      </c>
      <c r="D23" s="51"/>
    </row>
    <row r="24" spans="1:12" x14ac:dyDescent="0.3">
      <c r="A24" s="48" t="s">
        <v>40</v>
      </c>
      <c r="B24" s="49">
        <v>0</v>
      </c>
      <c r="C24" s="50"/>
      <c r="D24" s="51"/>
    </row>
    <row r="25" spans="1:12" ht="14.4" thickBot="1" x14ac:dyDescent="0.35">
      <c r="A25" s="48" t="s">
        <v>44</v>
      </c>
      <c r="B25" s="49">
        <v>0</v>
      </c>
      <c r="C25" s="50"/>
      <c r="D25" s="51"/>
    </row>
    <row r="26" spans="1:12" ht="14.4" thickBot="1" x14ac:dyDescent="0.35">
      <c r="A26" s="52" t="s">
        <v>45</v>
      </c>
      <c r="B26" s="53">
        <f>SUM(B22:B25)</f>
        <v>6</v>
      </c>
      <c r="C26" s="54">
        <f>(B22*C22/100)+(B23*C23/100)+(B24*C24/100)+(B25*C25/100)</f>
        <v>2.08</v>
      </c>
      <c r="D26" s="55" t="s">
        <v>62</v>
      </c>
    </row>
    <row r="27" spans="1:12" ht="14.4" thickBot="1" x14ac:dyDescent="0.35"/>
    <row r="28" spans="1:12" x14ac:dyDescent="0.3">
      <c r="A28" s="56" t="s">
        <v>38</v>
      </c>
      <c r="B28" s="57"/>
      <c r="C28" s="58"/>
      <c r="D28" s="59" t="s">
        <v>39</v>
      </c>
      <c r="E28" s="60" t="s">
        <v>97</v>
      </c>
    </row>
    <row r="29" spans="1:12" x14ac:dyDescent="0.3">
      <c r="A29" s="61" t="s">
        <v>42</v>
      </c>
      <c r="B29" s="62">
        <v>1100</v>
      </c>
      <c r="C29" s="63"/>
      <c r="D29" s="64"/>
      <c r="E29" s="65"/>
    </row>
    <row r="30" spans="1:12" x14ac:dyDescent="0.3">
      <c r="A30" s="61" t="s">
        <v>86</v>
      </c>
      <c r="B30" s="62">
        <v>9</v>
      </c>
      <c r="C30" s="63" t="s">
        <v>41</v>
      </c>
      <c r="D30" s="66">
        <v>0.68100000000000005</v>
      </c>
      <c r="E30" s="65">
        <f>D30*B30</f>
        <v>6.1290000000000004</v>
      </c>
    </row>
    <row r="31" spans="1:12" x14ac:dyDescent="0.3">
      <c r="A31" s="61" t="s">
        <v>87</v>
      </c>
      <c r="B31" s="62">
        <f>B30*B29</f>
        <v>9900</v>
      </c>
      <c r="C31" s="67"/>
      <c r="D31" s="68"/>
      <c r="E31" s="65"/>
    </row>
    <row r="32" spans="1:12" x14ac:dyDescent="0.3">
      <c r="A32" s="61" t="s">
        <v>88</v>
      </c>
      <c r="B32" s="62">
        <v>9</v>
      </c>
      <c r="C32" s="63" t="s">
        <v>43</v>
      </c>
      <c r="D32" s="69">
        <v>0.13800000000000001</v>
      </c>
      <c r="E32" s="65">
        <f>D32*B32</f>
        <v>1.242</v>
      </c>
    </row>
    <row r="33" spans="1:5" x14ac:dyDescent="0.3">
      <c r="A33" s="61" t="s">
        <v>46</v>
      </c>
      <c r="B33" s="62">
        <f>B32*5</f>
        <v>45</v>
      </c>
      <c r="C33" s="63" t="s">
        <v>47</v>
      </c>
      <c r="D33" s="66">
        <v>4.3400000000000001E-2</v>
      </c>
      <c r="E33" s="65">
        <f>D33*B33</f>
        <v>1.9530000000000001</v>
      </c>
    </row>
    <row r="34" spans="1:5" ht="14.4" thickBot="1" x14ac:dyDescent="0.35">
      <c r="A34" s="70" t="s">
        <v>48</v>
      </c>
      <c r="B34" s="71" t="s">
        <v>49</v>
      </c>
      <c r="C34" s="72" t="s">
        <v>50</v>
      </c>
      <c r="D34" s="73">
        <v>2</v>
      </c>
      <c r="E34" s="74">
        <f>D34</f>
        <v>2</v>
      </c>
    </row>
    <row r="35" spans="1:5" ht="14.4" thickBot="1" x14ac:dyDescent="0.35">
      <c r="E35" s="75">
        <f>SUM(E29:E34)</f>
        <v>11.324</v>
      </c>
    </row>
    <row r="36" spans="1:5" ht="14.4" thickBot="1" x14ac:dyDescent="0.35">
      <c r="D36" s="76" t="s">
        <v>98</v>
      </c>
      <c r="E36" s="77">
        <f>E35/B31</f>
        <v>1.1438383838383839E-3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3A619-8E21-486A-8157-69533C72E022}">
  <dimension ref="A2:AD36"/>
  <sheetViews>
    <sheetView topLeftCell="M1" workbookViewId="0">
      <selection activeCell="Z4" sqref="Z4:Z14"/>
    </sheetView>
  </sheetViews>
  <sheetFormatPr defaultColWidth="9.109375" defaultRowHeight="13.8" x14ac:dyDescent="0.3"/>
  <cols>
    <col min="1" max="1" width="28.6640625" style="14" bestFit="1" customWidth="1"/>
    <col min="2" max="2" width="10.109375" style="14" bestFit="1" customWidth="1"/>
    <col min="3" max="3" width="21" style="14" bestFit="1" customWidth="1"/>
    <col min="4" max="4" width="12.44140625" style="14" bestFit="1" customWidth="1"/>
    <col min="5" max="5" width="21" style="14" bestFit="1" customWidth="1"/>
    <col min="6" max="6" width="14.88671875" style="14" bestFit="1" customWidth="1"/>
    <col min="7" max="7" width="23.5546875" style="14" bestFit="1" customWidth="1"/>
    <col min="8" max="8" width="18.6640625" style="14" customWidth="1"/>
    <col min="9" max="9" width="0.109375" style="14" customWidth="1"/>
    <col min="10" max="10" width="9.5546875" style="14" bestFit="1" customWidth="1"/>
    <col min="11" max="11" width="15.33203125" style="82" customWidth="1"/>
    <col min="12" max="12" width="17.5546875" style="14" bestFit="1" customWidth="1"/>
    <col min="13" max="13" width="19.33203125" style="14" customWidth="1"/>
    <col min="14" max="14" width="9.109375" style="14" customWidth="1"/>
    <col min="15" max="15" width="22.88671875" style="14" customWidth="1"/>
    <col min="16" max="16" width="11.88671875" style="14" customWidth="1"/>
    <col min="17" max="17" width="23.5546875" style="14" bestFit="1" customWidth="1"/>
    <col min="18" max="18" width="24.33203125" style="14" customWidth="1"/>
    <col min="19" max="19" width="11" style="14" customWidth="1"/>
    <col min="20" max="20" width="35.5546875" style="14" bestFit="1" customWidth="1"/>
    <col min="21" max="21" width="14.6640625" style="14" bestFit="1" customWidth="1"/>
    <col min="22" max="27" width="14.6640625" style="14" customWidth="1"/>
    <col min="28" max="28" width="16.5546875" style="14" bestFit="1" customWidth="1"/>
    <col min="29" max="29" width="17.44140625" style="14" bestFit="1" customWidth="1"/>
    <col min="30" max="30" width="11.88671875" style="14" bestFit="1" customWidth="1"/>
    <col min="31" max="16384" width="9.109375" style="14"/>
  </cols>
  <sheetData>
    <row r="2" spans="1:30" ht="14.4" thickBot="1" x14ac:dyDescent="0.35"/>
    <row r="3" spans="1:30" ht="74.25" customHeight="1" thickBot="1" x14ac:dyDescent="0.35">
      <c r="A3" s="15" t="s">
        <v>57</v>
      </c>
      <c r="B3" s="15" t="s">
        <v>24</v>
      </c>
      <c r="C3" s="15" t="s">
        <v>25</v>
      </c>
      <c r="D3" s="15" t="s">
        <v>26</v>
      </c>
      <c r="E3" s="15" t="s">
        <v>55</v>
      </c>
      <c r="F3" s="15" t="s">
        <v>58</v>
      </c>
      <c r="G3" s="16" t="s">
        <v>51</v>
      </c>
      <c r="H3" s="17" t="s">
        <v>52</v>
      </c>
      <c r="I3" s="17" t="s">
        <v>61</v>
      </c>
      <c r="J3" s="90" t="s">
        <v>53</v>
      </c>
      <c r="K3" s="83" t="s">
        <v>99</v>
      </c>
      <c r="L3" s="18" t="s">
        <v>96</v>
      </c>
      <c r="M3" s="19" t="s">
        <v>54</v>
      </c>
      <c r="N3" s="19" t="s">
        <v>100</v>
      </c>
      <c r="O3" s="19" t="s">
        <v>108</v>
      </c>
      <c r="P3" s="19" t="s">
        <v>101</v>
      </c>
      <c r="Q3" s="91" t="s">
        <v>116</v>
      </c>
      <c r="R3" s="87" t="s">
        <v>107</v>
      </c>
      <c r="S3" s="88" t="s">
        <v>102</v>
      </c>
      <c r="T3" s="87" t="s">
        <v>104</v>
      </c>
      <c r="U3" s="87" t="s">
        <v>105</v>
      </c>
      <c r="V3" s="19" t="s">
        <v>109</v>
      </c>
      <c r="W3" s="20" t="s">
        <v>110</v>
      </c>
      <c r="X3" s="20"/>
      <c r="Y3" s="20"/>
      <c r="Z3" s="20" t="s">
        <v>111</v>
      </c>
      <c r="AA3" s="20" t="s">
        <v>112</v>
      </c>
      <c r="AB3" s="20" t="s">
        <v>103</v>
      </c>
      <c r="AC3" s="79" t="s">
        <v>106</v>
      </c>
      <c r="AD3" s="21" t="s">
        <v>113</v>
      </c>
    </row>
    <row r="4" spans="1:30" ht="14.4" x14ac:dyDescent="0.3">
      <c r="A4" s="15">
        <v>125</v>
      </c>
      <c r="B4" s="7" t="s">
        <v>2</v>
      </c>
      <c r="C4" s="22" t="s">
        <v>13</v>
      </c>
      <c r="D4" s="23">
        <v>2000</v>
      </c>
      <c r="E4" s="24">
        <v>0.1</v>
      </c>
      <c r="F4" s="25">
        <v>18</v>
      </c>
      <c r="G4" s="26">
        <f>F4+F4*E4</f>
        <v>19.8</v>
      </c>
      <c r="H4" s="27">
        <f>(G4*D4)/1000</f>
        <v>39.6</v>
      </c>
      <c r="I4" s="27">
        <f>C26</f>
        <v>2.52</v>
      </c>
      <c r="J4" s="89">
        <f>H4*I4</f>
        <v>99.792000000000002</v>
      </c>
      <c r="K4" s="84">
        <f>E36</f>
        <v>1.1438383838383839E-3</v>
      </c>
      <c r="L4" s="28">
        <f t="shared" ref="L4:L14" si="0">K4*D4</f>
        <v>2.2876767676767678</v>
      </c>
      <c r="M4" s="29">
        <f>A18*B18</f>
        <v>128</v>
      </c>
      <c r="N4" s="29">
        <f>C18</f>
        <v>450</v>
      </c>
      <c r="O4" s="29">
        <f>E18+F18*D18</f>
        <v>17.5</v>
      </c>
      <c r="P4" s="29">
        <f t="shared" ref="P4:P14" si="1">D4/N4</f>
        <v>4.4444444444444446</v>
      </c>
      <c r="Q4" s="28">
        <f>O4*P4</f>
        <v>77.777777777777786</v>
      </c>
      <c r="R4" s="26">
        <f>Q4+L4+J4+M4</f>
        <v>307.85745454545457</v>
      </c>
      <c r="S4" s="26">
        <f>G18</f>
        <v>0.3</v>
      </c>
      <c r="T4" s="26">
        <f>R4+R4*S4</f>
        <v>400.21469090909096</v>
      </c>
      <c r="U4" s="27">
        <f t="shared" ref="U4:U14" si="2">T4/D4</f>
        <v>0.20010734545454548</v>
      </c>
      <c r="V4" s="78">
        <f>E19+F19*D19</f>
        <v>11.25</v>
      </c>
      <c r="W4" s="78">
        <f>V4*P4</f>
        <v>50</v>
      </c>
      <c r="X4" s="92">
        <f>W4+M4+L4+J4</f>
        <v>280.0796767676768</v>
      </c>
      <c r="Y4" s="78">
        <f>G18</f>
        <v>0.3</v>
      </c>
      <c r="Z4" s="26">
        <f>X4+X4*Y4</f>
        <v>364.10357979797982</v>
      </c>
      <c r="AA4" s="78">
        <f t="shared" ref="AA4:AA14" si="3">Z4/D4</f>
        <v>0.1820517898989899</v>
      </c>
      <c r="AB4" s="30">
        <v>180</v>
      </c>
      <c r="AC4" s="81">
        <f>U4*2+(U4*2*80/100)</f>
        <v>0.72038644363636373</v>
      </c>
      <c r="AD4" s="81">
        <f>AA4*2+(AA4*2*80/100)</f>
        <v>0.65538644363636367</v>
      </c>
    </row>
    <row r="5" spans="1:30" ht="14.4" x14ac:dyDescent="0.3">
      <c r="A5" s="15">
        <v>125</v>
      </c>
      <c r="B5" s="7" t="s">
        <v>3</v>
      </c>
      <c r="C5" s="22" t="s">
        <v>14</v>
      </c>
      <c r="D5" s="23">
        <v>4000</v>
      </c>
      <c r="E5" s="24">
        <v>0.1</v>
      </c>
      <c r="F5" s="25">
        <v>18</v>
      </c>
      <c r="G5" s="26">
        <f t="shared" ref="G5:G14" si="4">F5+F5*E5</f>
        <v>19.8</v>
      </c>
      <c r="H5" s="27">
        <f t="shared" ref="H5:H14" si="5">(G5*D5)/1000</f>
        <v>79.2</v>
      </c>
      <c r="I5" s="27">
        <f>C26</f>
        <v>2.52</v>
      </c>
      <c r="J5" s="89">
        <f t="shared" ref="J5:J14" si="6">H5*I5</f>
        <v>199.584</v>
      </c>
      <c r="K5" s="84">
        <f>E36</f>
        <v>1.1438383838383839E-3</v>
      </c>
      <c r="L5" s="28">
        <f t="shared" si="0"/>
        <v>4.5753535353535355</v>
      </c>
      <c r="M5" s="29">
        <f>A18*B18</f>
        <v>128</v>
      </c>
      <c r="N5" s="29">
        <f>C18</f>
        <v>450</v>
      </c>
      <c r="O5" s="29">
        <f>E18+F18*D18</f>
        <v>17.5</v>
      </c>
      <c r="P5" s="29">
        <f t="shared" si="1"/>
        <v>8.8888888888888893</v>
      </c>
      <c r="Q5" s="28">
        <f t="shared" ref="Q5:Q14" si="7">O5*P5</f>
        <v>155.55555555555557</v>
      </c>
      <c r="R5" s="26">
        <f t="shared" ref="R5:R14" si="8">Q5+L5+J5+M5</f>
        <v>487.71490909090915</v>
      </c>
      <c r="S5" s="26">
        <f>G18</f>
        <v>0.3</v>
      </c>
      <c r="T5" s="26">
        <f t="shared" ref="T5:T14" si="9">R5+R5*S5</f>
        <v>634.02938181818195</v>
      </c>
      <c r="U5" s="27">
        <f t="shared" si="2"/>
        <v>0.15850734545454548</v>
      </c>
      <c r="V5" s="78">
        <f>E19+F19*D19</f>
        <v>11.25</v>
      </c>
      <c r="W5" s="78">
        <f t="shared" ref="W5:W14" si="10">V5*P5</f>
        <v>100</v>
      </c>
      <c r="X5" s="92">
        <f t="shared" ref="X5:X14" si="11">W5+M5+L5+J5</f>
        <v>432.15935353535355</v>
      </c>
      <c r="Y5" s="78">
        <f>G18</f>
        <v>0.3</v>
      </c>
      <c r="Z5" s="26">
        <f t="shared" ref="Z5:Z14" si="12">X5+X5*Y5</f>
        <v>561.80715959595955</v>
      </c>
      <c r="AA5" s="78">
        <f t="shared" si="3"/>
        <v>0.14045178989898988</v>
      </c>
      <c r="AB5" s="30">
        <v>160</v>
      </c>
      <c r="AC5" s="31">
        <f>U5*2+(U5*2*80/100)</f>
        <v>0.57062644363636372</v>
      </c>
      <c r="AD5" s="31">
        <f>AA5*2+(AA5*2*80/100)</f>
        <v>0.50562644363636355</v>
      </c>
    </row>
    <row r="6" spans="1:30" ht="14.4" x14ac:dyDescent="0.3">
      <c r="A6" s="15">
        <v>125</v>
      </c>
      <c r="B6" s="7" t="s">
        <v>4</v>
      </c>
      <c r="C6" s="22" t="s">
        <v>15</v>
      </c>
      <c r="D6" s="23">
        <v>7500</v>
      </c>
      <c r="E6" s="24">
        <v>7.0000000000000007E-2</v>
      </c>
      <c r="F6" s="25">
        <v>18</v>
      </c>
      <c r="G6" s="26">
        <f t="shared" si="4"/>
        <v>19.260000000000002</v>
      </c>
      <c r="H6" s="27">
        <f t="shared" si="5"/>
        <v>144.44999999999999</v>
      </c>
      <c r="I6" s="27">
        <f>C26</f>
        <v>2.52</v>
      </c>
      <c r="J6" s="89">
        <f t="shared" si="6"/>
        <v>364.01399999999995</v>
      </c>
      <c r="K6" s="84">
        <f>E36</f>
        <v>1.1438383838383839E-3</v>
      </c>
      <c r="L6" s="28">
        <f t="shared" si="0"/>
        <v>8.57878787878788</v>
      </c>
      <c r="M6" s="29">
        <f>A18*B18</f>
        <v>128</v>
      </c>
      <c r="N6" s="29">
        <f>C18</f>
        <v>450</v>
      </c>
      <c r="O6" s="29">
        <f>E18+F18*D18</f>
        <v>17.5</v>
      </c>
      <c r="P6" s="29">
        <f t="shared" si="1"/>
        <v>16.666666666666668</v>
      </c>
      <c r="Q6" s="28">
        <f t="shared" si="7"/>
        <v>291.66666666666669</v>
      </c>
      <c r="R6" s="26">
        <f t="shared" si="8"/>
        <v>792.25945454545445</v>
      </c>
      <c r="S6" s="26">
        <f>G18</f>
        <v>0.3</v>
      </c>
      <c r="T6" s="26">
        <f t="shared" si="9"/>
        <v>1029.9372909090907</v>
      </c>
      <c r="U6" s="27">
        <f t="shared" si="2"/>
        <v>0.13732497212121209</v>
      </c>
      <c r="V6" s="78">
        <f>E19+F19*D19</f>
        <v>11.25</v>
      </c>
      <c r="W6" s="78">
        <f t="shared" si="10"/>
        <v>187.5</v>
      </c>
      <c r="X6" s="92">
        <f t="shared" si="11"/>
        <v>688.09278787878782</v>
      </c>
      <c r="Y6" s="78">
        <f>G18</f>
        <v>0.3</v>
      </c>
      <c r="Z6" s="26">
        <f t="shared" si="12"/>
        <v>894.52062424242422</v>
      </c>
      <c r="AA6" s="78">
        <f t="shared" si="3"/>
        <v>0.11926941656565657</v>
      </c>
      <c r="AB6" s="30">
        <v>140</v>
      </c>
      <c r="AC6" s="31">
        <f>U6*2+(U6*2*80/100)</f>
        <v>0.49436989963636352</v>
      </c>
      <c r="AD6" s="31">
        <f>AA6*2+(AA6*2*80/100)</f>
        <v>0.42936989963636363</v>
      </c>
    </row>
    <row r="7" spans="1:30" ht="14.4" x14ac:dyDescent="0.3">
      <c r="A7" s="15">
        <v>125</v>
      </c>
      <c r="B7" s="7" t="s">
        <v>5</v>
      </c>
      <c r="C7" s="22" t="s">
        <v>16</v>
      </c>
      <c r="D7" s="23">
        <v>12500</v>
      </c>
      <c r="E7" s="24">
        <v>7.0000000000000007E-2</v>
      </c>
      <c r="F7" s="25">
        <v>18</v>
      </c>
      <c r="G7" s="26">
        <f t="shared" si="4"/>
        <v>19.260000000000002</v>
      </c>
      <c r="H7" s="27">
        <f t="shared" si="5"/>
        <v>240.75000000000003</v>
      </c>
      <c r="I7" s="27">
        <f>C26</f>
        <v>2.52</v>
      </c>
      <c r="J7" s="89">
        <f t="shared" si="6"/>
        <v>606.69000000000005</v>
      </c>
      <c r="K7" s="84">
        <f>E36</f>
        <v>1.1438383838383839E-3</v>
      </c>
      <c r="L7" s="28">
        <f t="shared" si="0"/>
        <v>14.297979797979799</v>
      </c>
      <c r="M7" s="29">
        <f>A18*B18</f>
        <v>128</v>
      </c>
      <c r="N7" s="29">
        <f>C18</f>
        <v>450</v>
      </c>
      <c r="O7" s="29">
        <f>E18+F18*D18</f>
        <v>17.5</v>
      </c>
      <c r="P7" s="29">
        <f t="shared" si="1"/>
        <v>27.777777777777779</v>
      </c>
      <c r="Q7" s="28">
        <f t="shared" si="7"/>
        <v>486.11111111111114</v>
      </c>
      <c r="R7" s="26">
        <f t="shared" si="8"/>
        <v>1235.099090909091</v>
      </c>
      <c r="S7" s="26">
        <f>G18</f>
        <v>0.3</v>
      </c>
      <c r="T7" s="26">
        <f t="shared" si="9"/>
        <v>1605.6288181818184</v>
      </c>
      <c r="U7" s="27">
        <f t="shared" si="2"/>
        <v>0.12845030545454547</v>
      </c>
      <c r="V7" s="78">
        <f>E19+F19*D19</f>
        <v>11.25</v>
      </c>
      <c r="W7" s="78">
        <f t="shared" si="10"/>
        <v>312.5</v>
      </c>
      <c r="X7" s="92">
        <f t="shared" si="11"/>
        <v>1061.4879797979797</v>
      </c>
      <c r="Y7" s="78">
        <f>G18</f>
        <v>0.3</v>
      </c>
      <c r="Z7" s="26">
        <f t="shared" si="12"/>
        <v>1379.9343737373736</v>
      </c>
      <c r="AA7" s="78">
        <f t="shared" si="3"/>
        <v>0.11039474989898988</v>
      </c>
      <c r="AB7" s="30">
        <v>85</v>
      </c>
      <c r="AC7" s="31">
        <f>U7+U7*AB7/100</f>
        <v>0.23763306509090912</v>
      </c>
      <c r="AD7" s="31">
        <f>AA7+AA7*AB7/100</f>
        <v>0.20423028731313128</v>
      </c>
    </row>
    <row r="8" spans="1:30" ht="14.4" x14ac:dyDescent="0.3">
      <c r="A8" s="15">
        <v>125</v>
      </c>
      <c r="B8" s="7" t="s">
        <v>6</v>
      </c>
      <c r="C8" s="22" t="s">
        <v>17</v>
      </c>
      <c r="D8" s="23">
        <v>17500</v>
      </c>
      <c r="E8" s="24">
        <v>7.0000000000000007E-2</v>
      </c>
      <c r="F8" s="25">
        <v>18</v>
      </c>
      <c r="G8" s="26">
        <f t="shared" si="4"/>
        <v>19.260000000000002</v>
      </c>
      <c r="H8" s="27">
        <f t="shared" si="5"/>
        <v>337.05</v>
      </c>
      <c r="I8" s="27">
        <f>C26</f>
        <v>2.52</v>
      </c>
      <c r="J8" s="89">
        <f t="shared" si="6"/>
        <v>849.36599999999999</v>
      </c>
      <c r="K8" s="84">
        <f>E36</f>
        <v>1.1438383838383839E-3</v>
      </c>
      <c r="L8" s="28">
        <f t="shared" si="0"/>
        <v>20.017171717171717</v>
      </c>
      <c r="M8" s="29">
        <f>A18*B18</f>
        <v>128</v>
      </c>
      <c r="N8" s="29">
        <f>C18</f>
        <v>450</v>
      </c>
      <c r="O8" s="29">
        <f>E18+F18*D18</f>
        <v>17.5</v>
      </c>
      <c r="P8" s="29">
        <f t="shared" si="1"/>
        <v>38.888888888888886</v>
      </c>
      <c r="Q8" s="28">
        <f t="shared" si="7"/>
        <v>680.55555555555554</v>
      </c>
      <c r="R8" s="26">
        <f t="shared" si="8"/>
        <v>1677.9387272727272</v>
      </c>
      <c r="S8" s="26">
        <f>G18</f>
        <v>0.3</v>
      </c>
      <c r="T8" s="26">
        <f t="shared" si="9"/>
        <v>2181.3203454545455</v>
      </c>
      <c r="U8" s="27">
        <f t="shared" si="2"/>
        <v>0.12464687688311689</v>
      </c>
      <c r="V8" s="78">
        <f>E19+F19*D19</f>
        <v>11.25</v>
      </c>
      <c r="W8" s="78">
        <f t="shared" si="10"/>
        <v>437.49999999999994</v>
      </c>
      <c r="X8" s="92">
        <f t="shared" si="11"/>
        <v>1434.8831717171715</v>
      </c>
      <c r="Y8" s="78">
        <f>G18</f>
        <v>0.3</v>
      </c>
      <c r="Z8" s="26">
        <f t="shared" si="12"/>
        <v>1865.3481232323229</v>
      </c>
      <c r="AA8" s="78">
        <f t="shared" si="3"/>
        <v>0.10659132132756131</v>
      </c>
      <c r="AB8" s="30">
        <v>80</v>
      </c>
      <c r="AC8" s="31">
        <f t="shared" ref="AC8:AC14" si="13">U8+U8*AB8/100</f>
        <v>0.2243643783896104</v>
      </c>
      <c r="AD8" s="31">
        <f t="shared" ref="AD8:AD14" si="14">AA8+AA8*AB8/100</f>
        <v>0.19186437838961035</v>
      </c>
    </row>
    <row r="9" spans="1:30" ht="14.4" x14ac:dyDescent="0.3">
      <c r="A9" s="15">
        <v>125</v>
      </c>
      <c r="B9" s="7" t="s">
        <v>7</v>
      </c>
      <c r="C9" s="22" t="s">
        <v>18</v>
      </c>
      <c r="D9" s="23">
        <v>25000</v>
      </c>
      <c r="E9" s="24">
        <v>0.05</v>
      </c>
      <c r="F9" s="25">
        <v>18</v>
      </c>
      <c r="G9" s="26">
        <f t="shared" si="4"/>
        <v>18.899999999999999</v>
      </c>
      <c r="H9" s="27">
        <f t="shared" si="5"/>
        <v>472.49999999999994</v>
      </c>
      <c r="I9" s="27">
        <f>C26</f>
        <v>2.52</v>
      </c>
      <c r="J9" s="89">
        <f t="shared" si="6"/>
        <v>1190.6999999999998</v>
      </c>
      <c r="K9" s="84">
        <f>E36</f>
        <v>1.1438383838383839E-3</v>
      </c>
      <c r="L9" s="28">
        <f t="shared" si="0"/>
        <v>28.595959595959599</v>
      </c>
      <c r="M9" s="29">
        <f>A18*B18</f>
        <v>128</v>
      </c>
      <c r="N9" s="29">
        <f>C18</f>
        <v>450</v>
      </c>
      <c r="O9" s="29">
        <f>E18+F18*D18</f>
        <v>17.5</v>
      </c>
      <c r="P9" s="29">
        <f t="shared" si="1"/>
        <v>55.555555555555557</v>
      </c>
      <c r="Q9" s="28">
        <f t="shared" si="7"/>
        <v>972.22222222222229</v>
      </c>
      <c r="R9" s="26">
        <f t="shared" si="8"/>
        <v>2319.5181818181818</v>
      </c>
      <c r="S9" s="26">
        <f>G18</f>
        <v>0.3</v>
      </c>
      <c r="T9" s="26">
        <f t="shared" si="9"/>
        <v>3015.3736363636363</v>
      </c>
      <c r="U9" s="27">
        <f t="shared" si="2"/>
        <v>0.12061494545454544</v>
      </c>
      <c r="V9" s="78">
        <f>E19+F19*D19</f>
        <v>11.25</v>
      </c>
      <c r="W9" s="78">
        <f t="shared" si="10"/>
        <v>625</v>
      </c>
      <c r="X9" s="92">
        <f t="shared" si="11"/>
        <v>1972.2959595959594</v>
      </c>
      <c r="Y9" s="78">
        <f>G18</f>
        <v>0.3</v>
      </c>
      <c r="Z9" s="26">
        <f t="shared" si="12"/>
        <v>2563.9847474747471</v>
      </c>
      <c r="AA9" s="78">
        <f t="shared" si="3"/>
        <v>0.10255938989898988</v>
      </c>
      <c r="AB9" s="30">
        <v>75</v>
      </c>
      <c r="AC9" s="31">
        <f t="shared" si="13"/>
        <v>0.21107615454545453</v>
      </c>
      <c r="AD9" s="31">
        <f t="shared" si="14"/>
        <v>0.17947893232323231</v>
      </c>
    </row>
    <row r="10" spans="1:30" ht="14.4" x14ac:dyDescent="0.3">
      <c r="A10" s="15">
        <v>125</v>
      </c>
      <c r="B10" s="7" t="s">
        <v>8</v>
      </c>
      <c r="C10" s="22" t="s">
        <v>19</v>
      </c>
      <c r="D10" s="23">
        <v>35000</v>
      </c>
      <c r="E10" s="24">
        <v>0.05</v>
      </c>
      <c r="F10" s="25">
        <v>18</v>
      </c>
      <c r="G10" s="26">
        <f t="shared" si="4"/>
        <v>18.899999999999999</v>
      </c>
      <c r="H10" s="27">
        <f t="shared" si="5"/>
        <v>661.5</v>
      </c>
      <c r="I10" s="27">
        <f>C26</f>
        <v>2.52</v>
      </c>
      <c r="J10" s="89">
        <f t="shared" si="6"/>
        <v>1666.98</v>
      </c>
      <c r="K10" s="84">
        <f>E36</f>
        <v>1.1438383838383839E-3</v>
      </c>
      <c r="L10" s="28">
        <f t="shared" si="0"/>
        <v>40.034343434343434</v>
      </c>
      <c r="M10" s="29">
        <f>A18*B18</f>
        <v>128</v>
      </c>
      <c r="N10" s="29">
        <f>C18</f>
        <v>450</v>
      </c>
      <c r="O10" s="29">
        <f>E18+F18*D18</f>
        <v>17.5</v>
      </c>
      <c r="P10" s="29">
        <f t="shared" si="1"/>
        <v>77.777777777777771</v>
      </c>
      <c r="Q10" s="28">
        <f t="shared" si="7"/>
        <v>1361.1111111111111</v>
      </c>
      <c r="R10" s="26">
        <f t="shared" si="8"/>
        <v>3196.1254545454544</v>
      </c>
      <c r="S10" s="26">
        <f>G18</f>
        <v>0.3</v>
      </c>
      <c r="T10" s="26">
        <f t="shared" si="9"/>
        <v>4154.9630909090911</v>
      </c>
      <c r="U10" s="27">
        <f t="shared" si="2"/>
        <v>0.11871323116883117</v>
      </c>
      <c r="V10" s="78">
        <f>E19+F19*D19</f>
        <v>11.25</v>
      </c>
      <c r="W10" s="78">
        <f t="shared" si="10"/>
        <v>874.99999999999989</v>
      </c>
      <c r="X10" s="92">
        <f t="shared" si="11"/>
        <v>2710.0143434343436</v>
      </c>
      <c r="Y10" s="78">
        <f>G18</f>
        <v>0.3</v>
      </c>
      <c r="Z10" s="26">
        <f t="shared" si="12"/>
        <v>3523.0186464646467</v>
      </c>
      <c r="AA10" s="78">
        <f t="shared" si="3"/>
        <v>0.10065767561327563</v>
      </c>
      <c r="AB10" s="30">
        <v>75</v>
      </c>
      <c r="AC10" s="31">
        <f t="shared" si="13"/>
        <v>0.20774815454545453</v>
      </c>
      <c r="AD10" s="31">
        <f t="shared" si="14"/>
        <v>0.17615093232323234</v>
      </c>
    </row>
    <row r="11" spans="1:30" ht="14.4" x14ac:dyDescent="0.3">
      <c r="A11" s="15">
        <v>125</v>
      </c>
      <c r="B11" s="7" t="s">
        <v>9</v>
      </c>
      <c r="C11" s="22" t="s">
        <v>20</v>
      </c>
      <c r="D11" s="23">
        <v>45000</v>
      </c>
      <c r="E11" s="24">
        <v>0.05</v>
      </c>
      <c r="F11" s="25">
        <v>18</v>
      </c>
      <c r="G11" s="26">
        <f t="shared" si="4"/>
        <v>18.899999999999999</v>
      </c>
      <c r="H11" s="27">
        <f t="shared" si="5"/>
        <v>850.49999999999989</v>
      </c>
      <c r="I11" s="27">
        <f>C26</f>
        <v>2.52</v>
      </c>
      <c r="J11" s="89">
        <f t="shared" si="6"/>
        <v>2143.2599999999998</v>
      </c>
      <c r="K11" s="84">
        <f>E36</f>
        <v>1.1438383838383839E-3</v>
      </c>
      <c r="L11" s="28">
        <f t="shared" si="0"/>
        <v>51.472727272727276</v>
      </c>
      <c r="M11" s="29">
        <f>A18*B18</f>
        <v>128</v>
      </c>
      <c r="N11" s="29">
        <f>C18</f>
        <v>450</v>
      </c>
      <c r="O11" s="29">
        <f>E18+F18*D18</f>
        <v>17.5</v>
      </c>
      <c r="P11" s="29">
        <f t="shared" si="1"/>
        <v>100</v>
      </c>
      <c r="Q11" s="28">
        <f t="shared" si="7"/>
        <v>1750</v>
      </c>
      <c r="R11" s="26">
        <f t="shared" si="8"/>
        <v>4072.7327272727271</v>
      </c>
      <c r="S11" s="26">
        <f>G18</f>
        <v>0.3</v>
      </c>
      <c r="T11" s="26">
        <f t="shared" si="9"/>
        <v>5294.552545454545</v>
      </c>
      <c r="U11" s="27">
        <f t="shared" si="2"/>
        <v>0.11765672323232322</v>
      </c>
      <c r="V11" s="78">
        <f>E19+F19*D19</f>
        <v>11.25</v>
      </c>
      <c r="W11" s="78">
        <f t="shared" si="10"/>
        <v>1125</v>
      </c>
      <c r="X11" s="92">
        <f t="shared" si="11"/>
        <v>3447.7327272727271</v>
      </c>
      <c r="Y11" s="78">
        <f>G18</f>
        <v>0.3</v>
      </c>
      <c r="Z11" s="26">
        <f t="shared" si="12"/>
        <v>4482.052545454545</v>
      </c>
      <c r="AA11" s="78">
        <f t="shared" si="3"/>
        <v>9.960116767676766E-2</v>
      </c>
      <c r="AB11" s="30">
        <v>70</v>
      </c>
      <c r="AC11" s="31">
        <f t="shared" si="13"/>
        <v>0.20001642949494947</v>
      </c>
      <c r="AD11" s="31">
        <f t="shared" si="14"/>
        <v>0.16932198505050503</v>
      </c>
    </row>
    <row r="12" spans="1:30" ht="14.4" x14ac:dyDescent="0.3">
      <c r="A12" s="15">
        <v>125</v>
      </c>
      <c r="B12" s="7" t="s">
        <v>10</v>
      </c>
      <c r="C12" s="22" t="s">
        <v>21</v>
      </c>
      <c r="D12" s="23">
        <v>75000</v>
      </c>
      <c r="E12" s="24">
        <v>0.05</v>
      </c>
      <c r="F12" s="25">
        <v>18</v>
      </c>
      <c r="G12" s="26">
        <f t="shared" si="4"/>
        <v>18.899999999999999</v>
      </c>
      <c r="H12" s="27">
        <f t="shared" si="5"/>
        <v>1417.5</v>
      </c>
      <c r="I12" s="27">
        <f>C26</f>
        <v>2.52</v>
      </c>
      <c r="J12" s="89">
        <f t="shared" si="6"/>
        <v>3572.1</v>
      </c>
      <c r="K12" s="84">
        <f>E36</f>
        <v>1.1438383838383839E-3</v>
      </c>
      <c r="L12" s="28">
        <f t="shared" si="0"/>
        <v>85.787878787878796</v>
      </c>
      <c r="M12" s="29">
        <f>A18*B18</f>
        <v>128</v>
      </c>
      <c r="N12" s="29">
        <f>C18</f>
        <v>450</v>
      </c>
      <c r="O12" s="29">
        <f>E18+F18*D18</f>
        <v>17.5</v>
      </c>
      <c r="P12" s="29">
        <f t="shared" si="1"/>
        <v>166.66666666666666</v>
      </c>
      <c r="Q12" s="28">
        <f>O12*P12</f>
        <v>2916.6666666666665</v>
      </c>
      <c r="R12" s="26">
        <f t="shared" si="8"/>
        <v>6702.5545454545454</v>
      </c>
      <c r="S12" s="26">
        <f>G18</f>
        <v>0.3</v>
      </c>
      <c r="T12" s="26">
        <f t="shared" si="9"/>
        <v>8713.3209090909095</v>
      </c>
      <c r="U12" s="27">
        <f t="shared" si="2"/>
        <v>0.11617761212121212</v>
      </c>
      <c r="V12" s="78">
        <f>E19+F19*D19</f>
        <v>11.25</v>
      </c>
      <c r="W12" s="78">
        <f t="shared" si="10"/>
        <v>1875</v>
      </c>
      <c r="X12" s="92">
        <f t="shared" si="11"/>
        <v>5660.8878787878784</v>
      </c>
      <c r="Y12" s="78">
        <f>G18</f>
        <v>0.3</v>
      </c>
      <c r="Z12" s="26">
        <f t="shared" si="12"/>
        <v>7359.1542424242416</v>
      </c>
      <c r="AA12" s="78">
        <f t="shared" si="3"/>
        <v>9.8122056565656549E-2</v>
      </c>
      <c r="AB12" s="30">
        <v>70</v>
      </c>
      <c r="AC12" s="31">
        <f t="shared" si="13"/>
        <v>0.19750194060606061</v>
      </c>
      <c r="AD12" s="31">
        <f t="shared" si="14"/>
        <v>0.16680749616161611</v>
      </c>
    </row>
    <row r="13" spans="1:30" ht="14.4" x14ac:dyDescent="0.3">
      <c r="A13" s="15">
        <v>125</v>
      </c>
      <c r="B13" s="7" t="s">
        <v>11</v>
      </c>
      <c r="C13" s="22" t="s">
        <v>22</v>
      </c>
      <c r="D13" s="23">
        <v>125000</v>
      </c>
      <c r="E13" s="24">
        <v>0.03</v>
      </c>
      <c r="F13" s="25">
        <v>18</v>
      </c>
      <c r="G13" s="26">
        <f t="shared" si="4"/>
        <v>18.54</v>
      </c>
      <c r="H13" s="27">
        <f t="shared" si="5"/>
        <v>2317.5</v>
      </c>
      <c r="I13" s="27">
        <f>C26</f>
        <v>2.52</v>
      </c>
      <c r="J13" s="89">
        <f t="shared" si="6"/>
        <v>5840.1</v>
      </c>
      <c r="K13" s="84">
        <f>E36</f>
        <v>1.1438383838383839E-3</v>
      </c>
      <c r="L13" s="28">
        <f t="shared" si="0"/>
        <v>142.97979797979798</v>
      </c>
      <c r="M13" s="29">
        <f>A18*B18</f>
        <v>128</v>
      </c>
      <c r="N13" s="29">
        <f>C18</f>
        <v>450</v>
      </c>
      <c r="O13" s="29">
        <f>E18+F18*D18</f>
        <v>17.5</v>
      </c>
      <c r="P13" s="29">
        <f t="shared" si="1"/>
        <v>277.77777777777777</v>
      </c>
      <c r="Q13" s="28">
        <f t="shared" si="7"/>
        <v>4861.1111111111113</v>
      </c>
      <c r="R13" s="26">
        <f t="shared" si="8"/>
        <v>10972.19090909091</v>
      </c>
      <c r="S13" s="26">
        <f>G18</f>
        <v>0.3</v>
      </c>
      <c r="T13" s="26">
        <f t="shared" si="9"/>
        <v>14263.848181818183</v>
      </c>
      <c r="U13" s="27">
        <f t="shared" si="2"/>
        <v>0.11411078545454546</v>
      </c>
      <c r="V13" s="78">
        <f>E19+F19*D19</f>
        <v>11.25</v>
      </c>
      <c r="W13" s="78">
        <f t="shared" si="10"/>
        <v>3125</v>
      </c>
      <c r="X13" s="92">
        <f t="shared" si="11"/>
        <v>9236.079797979799</v>
      </c>
      <c r="Y13" s="78">
        <f>G18</f>
        <v>0.3</v>
      </c>
      <c r="Z13" s="26">
        <f t="shared" si="12"/>
        <v>12006.903737373739</v>
      </c>
      <c r="AA13" s="78">
        <f t="shared" si="3"/>
        <v>9.6055229898989916E-2</v>
      </c>
      <c r="AB13" s="30">
        <v>65</v>
      </c>
      <c r="AC13" s="31">
        <f t="shared" si="13"/>
        <v>0.18828279600000003</v>
      </c>
      <c r="AD13" s="31">
        <f t="shared" si="14"/>
        <v>0.15849112933333337</v>
      </c>
    </row>
    <row r="14" spans="1:30" ht="15" thickBot="1" x14ac:dyDescent="0.35">
      <c r="A14" s="15">
        <v>125</v>
      </c>
      <c r="B14" s="7" t="s">
        <v>12</v>
      </c>
      <c r="C14" s="22" t="s">
        <v>23</v>
      </c>
      <c r="D14" s="23">
        <v>200000</v>
      </c>
      <c r="E14" s="24">
        <v>0.03</v>
      </c>
      <c r="F14" s="25">
        <v>18</v>
      </c>
      <c r="G14" s="26">
        <f t="shared" si="4"/>
        <v>18.54</v>
      </c>
      <c r="H14" s="27">
        <f t="shared" si="5"/>
        <v>3708</v>
      </c>
      <c r="I14" s="27">
        <f>C26</f>
        <v>2.52</v>
      </c>
      <c r="J14" s="89">
        <f t="shared" si="6"/>
        <v>9344.16</v>
      </c>
      <c r="K14" s="84">
        <f>E36</f>
        <v>1.1438383838383839E-3</v>
      </c>
      <c r="L14" s="28">
        <f t="shared" si="0"/>
        <v>228.76767676767679</v>
      </c>
      <c r="M14" s="29">
        <f>A18*B18</f>
        <v>128</v>
      </c>
      <c r="N14" s="29">
        <f>C18</f>
        <v>450</v>
      </c>
      <c r="O14" s="29">
        <f>E18+F18*D18</f>
        <v>17.5</v>
      </c>
      <c r="P14" s="29">
        <f t="shared" si="1"/>
        <v>444.44444444444446</v>
      </c>
      <c r="Q14" s="28">
        <f t="shared" si="7"/>
        <v>7777.7777777777783</v>
      </c>
      <c r="R14" s="26">
        <f t="shared" si="8"/>
        <v>17478.705454545456</v>
      </c>
      <c r="S14" s="26">
        <f>G18</f>
        <v>0.3</v>
      </c>
      <c r="T14" s="26">
        <f t="shared" si="9"/>
        <v>22722.317090909091</v>
      </c>
      <c r="U14" s="27">
        <f t="shared" si="2"/>
        <v>0.11361158545454546</v>
      </c>
      <c r="V14" s="78">
        <f>E19+F19*D19</f>
        <v>11.25</v>
      </c>
      <c r="W14" s="78">
        <f t="shared" si="10"/>
        <v>5000</v>
      </c>
      <c r="X14" s="92">
        <f t="shared" si="11"/>
        <v>14700.927676767677</v>
      </c>
      <c r="Y14" s="78">
        <f>G18</f>
        <v>0.3</v>
      </c>
      <c r="Z14" s="26">
        <f t="shared" si="12"/>
        <v>19111.205979797978</v>
      </c>
      <c r="AA14" s="78">
        <f t="shared" si="3"/>
        <v>9.5556029898989897E-2</v>
      </c>
      <c r="AB14" s="30">
        <v>60</v>
      </c>
      <c r="AC14" s="32">
        <f t="shared" si="13"/>
        <v>0.18177853672727273</v>
      </c>
      <c r="AD14" s="32">
        <f t="shared" si="14"/>
        <v>0.15288964783838382</v>
      </c>
    </row>
    <row r="15" spans="1:30" ht="14.4" thickBot="1" x14ac:dyDescent="0.35"/>
    <row r="16" spans="1:30" x14ac:dyDescent="0.3">
      <c r="A16" s="33" t="s">
        <v>27</v>
      </c>
      <c r="B16" s="34"/>
      <c r="C16" s="34"/>
      <c r="D16" s="34"/>
      <c r="E16" s="34"/>
      <c r="F16" s="34"/>
      <c r="G16" s="35"/>
      <c r="AC16" s="80"/>
    </row>
    <row r="17" spans="1:12" x14ac:dyDescent="0.3">
      <c r="A17" s="36" t="s">
        <v>28</v>
      </c>
      <c r="B17" s="37" t="s">
        <v>29</v>
      </c>
      <c r="C17" s="37" t="s">
        <v>30</v>
      </c>
      <c r="D17" s="37" t="s">
        <v>31</v>
      </c>
      <c r="E17" s="37" t="s">
        <v>32</v>
      </c>
      <c r="F17" s="37" t="s">
        <v>33</v>
      </c>
      <c r="G17" s="38" t="s">
        <v>34</v>
      </c>
      <c r="J17" s="39"/>
      <c r="K17" s="85"/>
      <c r="L17" s="14" t="s">
        <v>59</v>
      </c>
    </row>
    <row r="18" spans="1:12" ht="14.4" thickBot="1" x14ac:dyDescent="0.35">
      <c r="A18" s="40">
        <v>4</v>
      </c>
      <c r="B18" s="41">
        <v>32</v>
      </c>
      <c r="C18" s="41">
        <v>450</v>
      </c>
      <c r="D18" s="41">
        <v>0.5</v>
      </c>
      <c r="E18" s="41">
        <v>5</v>
      </c>
      <c r="F18" s="42">
        <v>25</v>
      </c>
      <c r="G18" s="43">
        <v>0.3</v>
      </c>
    </row>
    <row r="19" spans="1:12" ht="14.4" thickBot="1" x14ac:dyDescent="0.35">
      <c r="A19" s="40">
        <v>4</v>
      </c>
      <c r="B19" s="41">
        <v>32</v>
      </c>
      <c r="C19" s="41">
        <v>450</v>
      </c>
      <c r="D19" s="41">
        <v>0.25</v>
      </c>
      <c r="E19" s="41">
        <v>5</v>
      </c>
      <c r="F19" s="42">
        <v>25</v>
      </c>
      <c r="G19" s="43">
        <v>0.3</v>
      </c>
    </row>
    <row r="20" spans="1:12" ht="14.4" thickBot="1" x14ac:dyDescent="0.35">
      <c r="J20" s="44"/>
      <c r="K20" s="86"/>
      <c r="L20" s="14" t="s">
        <v>60</v>
      </c>
    </row>
    <row r="21" spans="1:12" x14ac:dyDescent="0.3">
      <c r="A21" s="45" t="s">
        <v>35</v>
      </c>
      <c r="B21" s="46"/>
      <c r="C21" s="46" t="s">
        <v>36</v>
      </c>
      <c r="D21" s="47" t="s">
        <v>37</v>
      </c>
    </row>
    <row r="22" spans="1:12" x14ac:dyDescent="0.3">
      <c r="A22" s="48" t="s">
        <v>40</v>
      </c>
      <c r="B22" s="49">
        <v>2</v>
      </c>
      <c r="C22" s="50">
        <v>96</v>
      </c>
      <c r="D22" s="51"/>
    </row>
    <row r="23" spans="1:12" x14ac:dyDescent="0.3">
      <c r="A23" s="48" t="s">
        <v>40</v>
      </c>
      <c r="B23" s="49">
        <v>15</v>
      </c>
      <c r="C23" s="50">
        <v>4</v>
      </c>
      <c r="D23" s="51"/>
    </row>
    <row r="24" spans="1:12" x14ac:dyDescent="0.3">
      <c r="A24" s="48" t="s">
        <v>40</v>
      </c>
      <c r="B24" s="49">
        <v>0</v>
      </c>
      <c r="C24" s="50"/>
      <c r="D24" s="51"/>
    </row>
    <row r="25" spans="1:12" ht="14.4" thickBot="1" x14ac:dyDescent="0.35">
      <c r="A25" s="48" t="s">
        <v>44</v>
      </c>
      <c r="B25" s="49">
        <v>0</v>
      </c>
      <c r="C25" s="50"/>
      <c r="D25" s="51"/>
    </row>
    <row r="26" spans="1:12" ht="14.4" thickBot="1" x14ac:dyDescent="0.35">
      <c r="A26" s="52" t="s">
        <v>45</v>
      </c>
      <c r="B26" s="53">
        <f>SUM(B22:B25)</f>
        <v>17</v>
      </c>
      <c r="C26" s="54">
        <f>(B22*C22/100)+(B23*C23/100)+(B24*C24/100)+(B25*C25/100)</f>
        <v>2.52</v>
      </c>
      <c r="D26" s="55" t="s">
        <v>62</v>
      </c>
    </row>
    <row r="27" spans="1:12" ht="14.4" thickBot="1" x14ac:dyDescent="0.35"/>
    <row r="28" spans="1:12" x14ac:dyDescent="0.3">
      <c r="A28" s="56" t="s">
        <v>38</v>
      </c>
      <c r="B28" s="57"/>
      <c r="C28" s="58"/>
      <c r="D28" s="59" t="s">
        <v>39</v>
      </c>
      <c r="E28" s="60" t="s">
        <v>97</v>
      </c>
    </row>
    <row r="29" spans="1:12" x14ac:dyDescent="0.3">
      <c r="A29" s="61" t="s">
        <v>42</v>
      </c>
      <c r="B29" s="62">
        <v>1100</v>
      </c>
      <c r="C29" s="63"/>
      <c r="D29" s="64"/>
      <c r="E29" s="65"/>
    </row>
    <row r="30" spans="1:12" x14ac:dyDescent="0.3">
      <c r="A30" s="61" t="s">
        <v>86</v>
      </c>
      <c r="B30" s="62">
        <v>9</v>
      </c>
      <c r="C30" s="63" t="s">
        <v>41</v>
      </c>
      <c r="D30" s="66">
        <v>0.68100000000000005</v>
      </c>
      <c r="E30" s="65">
        <f>D30*B30</f>
        <v>6.1290000000000004</v>
      </c>
    </row>
    <row r="31" spans="1:12" x14ac:dyDescent="0.3">
      <c r="A31" s="61" t="s">
        <v>87</v>
      </c>
      <c r="B31" s="62">
        <f>B30*B29</f>
        <v>9900</v>
      </c>
      <c r="C31" s="67"/>
      <c r="D31" s="68"/>
      <c r="E31" s="65"/>
    </row>
    <row r="32" spans="1:12" x14ac:dyDescent="0.3">
      <c r="A32" s="61" t="s">
        <v>88</v>
      </c>
      <c r="B32" s="62">
        <v>9</v>
      </c>
      <c r="C32" s="63" t="s">
        <v>43</v>
      </c>
      <c r="D32" s="69">
        <v>0.13800000000000001</v>
      </c>
      <c r="E32" s="65">
        <f>D32*B32</f>
        <v>1.242</v>
      </c>
    </row>
    <row r="33" spans="1:5" x14ac:dyDescent="0.3">
      <c r="A33" s="61" t="s">
        <v>46</v>
      </c>
      <c r="B33" s="62">
        <f>B32*5</f>
        <v>45</v>
      </c>
      <c r="C33" s="63" t="s">
        <v>47</v>
      </c>
      <c r="D33" s="66">
        <v>4.3400000000000001E-2</v>
      </c>
      <c r="E33" s="65">
        <f>D33*B33</f>
        <v>1.9530000000000001</v>
      </c>
    </row>
    <row r="34" spans="1:5" ht="14.4" thickBot="1" x14ac:dyDescent="0.35">
      <c r="A34" s="70" t="s">
        <v>48</v>
      </c>
      <c r="B34" s="71" t="s">
        <v>49</v>
      </c>
      <c r="C34" s="72" t="s">
        <v>50</v>
      </c>
      <c r="D34" s="73">
        <v>2</v>
      </c>
      <c r="E34" s="74">
        <f>D34</f>
        <v>2</v>
      </c>
    </row>
    <row r="35" spans="1:5" ht="14.4" thickBot="1" x14ac:dyDescent="0.35">
      <c r="E35" s="75">
        <f>SUM(E29:E34)</f>
        <v>11.324</v>
      </c>
    </row>
    <row r="36" spans="1:5" ht="14.4" thickBot="1" x14ac:dyDescent="0.35">
      <c r="D36" s="76" t="s">
        <v>98</v>
      </c>
      <c r="E36" s="77">
        <f>E35/B31</f>
        <v>1.1438383838383839E-3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534D9-EE7A-4F01-954D-B4E0FDC375DF}">
  <dimension ref="A2:AD36"/>
  <sheetViews>
    <sheetView topLeftCell="P1" workbookViewId="0">
      <selection activeCell="Z4" sqref="Z4:Z14"/>
    </sheetView>
  </sheetViews>
  <sheetFormatPr defaultColWidth="9.109375" defaultRowHeight="13.8" x14ac:dyDescent="0.3"/>
  <cols>
    <col min="1" max="1" width="28.6640625" style="14" bestFit="1" customWidth="1"/>
    <col min="2" max="2" width="10.109375" style="14" bestFit="1" customWidth="1"/>
    <col min="3" max="3" width="21" style="14" bestFit="1" customWidth="1"/>
    <col min="4" max="4" width="12.44140625" style="14" bestFit="1" customWidth="1"/>
    <col min="5" max="5" width="21" style="14" bestFit="1" customWidth="1"/>
    <col min="6" max="6" width="14.88671875" style="14" bestFit="1" customWidth="1"/>
    <col min="7" max="7" width="23.5546875" style="14" bestFit="1" customWidth="1"/>
    <col min="8" max="8" width="18.6640625" style="14" customWidth="1"/>
    <col min="9" max="9" width="0.109375" style="14" customWidth="1"/>
    <col min="10" max="10" width="9.5546875" style="14" bestFit="1" customWidth="1"/>
    <col min="11" max="11" width="15.33203125" style="82" customWidth="1"/>
    <col min="12" max="12" width="17.5546875" style="14" bestFit="1" customWidth="1"/>
    <col min="13" max="13" width="19.33203125" style="14" customWidth="1"/>
    <col min="14" max="14" width="9.109375" style="14" customWidth="1"/>
    <col min="15" max="15" width="22.88671875" style="14" customWidth="1"/>
    <col min="16" max="16" width="11.88671875" style="14" customWidth="1"/>
    <col min="17" max="17" width="23.5546875" style="14" bestFit="1" customWidth="1"/>
    <col min="18" max="18" width="24.33203125" style="14" customWidth="1"/>
    <col min="19" max="19" width="11" style="14" customWidth="1"/>
    <col min="20" max="20" width="35.5546875" style="14" bestFit="1" customWidth="1"/>
    <col min="21" max="21" width="14.6640625" style="14" bestFit="1" customWidth="1"/>
    <col min="22" max="27" width="14.6640625" style="14" customWidth="1"/>
    <col min="28" max="28" width="16.5546875" style="14" bestFit="1" customWidth="1"/>
    <col min="29" max="29" width="17.44140625" style="14" bestFit="1" customWidth="1"/>
    <col min="30" max="30" width="11.88671875" style="14" bestFit="1" customWidth="1"/>
    <col min="31" max="16384" width="9.109375" style="14"/>
  </cols>
  <sheetData>
    <row r="2" spans="1:30" ht="14.4" thickBot="1" x14ac:dyDescent="0.35"/>
    <row r="3" spans="1:30" ht="74.25" customHeight="1" thickBot="1" x14ac:dyDescent="0.35">
      <c r="A3" s="15" t="s">
        <v>57</v>
      </c>
      <c r="B3" s="15" t="s">
        <v>24</v>
      </c>
      <c r="C3" s="15" t="s">
        <v>25</v>
      </c>
      <c r="D3" s="15" t="s">
        <v>26</v>
      </c>
      <c r="E3" s="15" t="s">
        <v>55</v>
      </c>
      <c r="F3" s="15" t="s">
        <v>58</v>
      </c>
      <c r="G3" s="16" t="s">
        <v>51</v>
      </c>
      <c r="H3" s="17" t="s">
        <v>52</v>
      </c>
      <c r="I3" s="17" t="s">
        <v>61</v>
      </c>
      <c r="J3" s="90" t="s">
        <v>53</v>
      </c>
      <c r="K3" s="83" t="s">
        <v>99</v>
      </c>
      <c r="L3" s="18" t="s">
        <v>96</v>
      </c>
      <c r="M3" s="19" t="s">
        <v>54</v>
      </c>
      <c r="N3" s="19" t="s">
        <v>100</v>
      </c>
      <c r="O3" s="19" t="s">
        <v>108</v>
      </c>
      <c r="P3" s="19" t="s">
        <v>101</v>
      </c>
      <c r="Q3" s="91" t="s">
        <v>116</v>
      </c>
      <c r="R3" s="87" t="s">
        <v>107</v>
      </c>
      <c r="S3" s="88" t="s">
        <v>102</v>
      </c>
      <c r="T3" s="87" t="s">
        <v>104</v>
      </c>
      <c r="U3" s="87" t="s">
        <v>105</v>
      </c>
      <c r="V3" s="19" t="s">
        <v>109</v>
      </c>
      <c r="W3" s="20" t="s">
        <v>110</v>
      </c>
      <c r="X3" s="20"/>
      <c r="Y3" s="20"/>
      <c r="Z3" s="20" t="s">
        <v>111</v>
      </c>
      <c r="AA3" s="20" t="s">
        <v>112</v>
      </c>
      <c r="AB3" s="20" t="s">
        <v>103</v>
      </c>
      <c r="AC3" s="79" t="s">
        <v>106</v>
      </c>
      <c r="AD3" s="21" t="s">
        <v>113</v>
      </c>
    </row>
    <row r="4" spans="1:30" ht="14.4" x14ac:dyDescent="0.3">
      <c r="A4" s="15">
        <v>125</v>
      </c>
      <c r="B4" s="7" t="s">
        <v>2</v>
      </c>
      <c r="C4" s="22" t="s">
        <v>13</v>
      </c>
      <c r="D4" s="23">
        <v>2000</v>
      </c>
      <c r="E4" s="24">
        <v>0.1</v>
      </c>
      <c r="F4" s="25">
        <v>18</v>
      </c>
      <c r="G4" s="26">
        <f>F4+F4*E4</f>
        <v>19.8</v>
      </c>
      <c r="H4" s="27">
        <f>(G4*D4)/1000</f>
        <v>39.6</v>
      </c>
      <c r="I4" s="27">
        <f>C26</f>
        <v>1.5999999999999999</v>
      </c>
      <c r="J4" s="89">
        <f>H4*I4</f>
        <v>63.36</v>
      </c>
      <c r="K4" s="84">
        <f>E36</f>
        <v>1.1438383838383839E-3</v>
      </c>
      <c r="L4" s="28">
        <f t="shared" ref="L4:L14" si="0">K4*D4</f>
        <v>2.2876767676767678</v>
      </c>
      <c r="M4" s="29">
        <f>A18*B18</f>
        <v>128</v>
      </c>
      <c r="N4" s="29">
        <f>C18</f>
        <v>450</v>
      </c>
      <c r="O4" s="29">
        <f>E18+F18*D18</f>
        <v>17.5</v>
      </c>
      <c r="P4" s="29">
        <f t="shared" ref="P4:P14" si="1">D4/N4</f>
        <v>4.4444444444444446</v>
      </c>
      <c r="Q4" s="28">
        <f>O4*P4</f>
        <v>77.777777777777786</v>
      </c>
      <c r="R4" s="26">
        <f>Q4+L4+J4+M4</f>
        <v>271.42545454545456</v>
      </c>
      <c r="S4" s="26">
        <f>G18</f>
        <v>0.3</v>
      </c>
      <c r="T4" s="26">
        <f>R4+R4*S4</f>
        <v>352.85309090909095</v>
      </c>
      <c r="U4" s="27">
        <f t="shared" ref="U4:U14" si="2">T4/D4</f>
        <v>0.17642654545454547</v>
      </c>
      <c r="V4" s="78">
        <f>E19+F19*D19</f>
        <v>11.25</v>
      </c>
      <c r="W4" s="78">
        <f>V4*P4</f>
        <v>50</v>
      </c>
      <c r="X4" s="92">
        <f>W4+M4+L4+J4</f>
        <v>243.64767676767678</v>
      </c>
      <c r="Y4" s="78">
        <f>G18</f>
        <v>0.3</v>
      </c>
      <c r="Z4" s="26">
        <f>X4+X4*Y4</f>
        <v>316.74197979797981</v>
      </c>
      <c r="AA4" s="78">
        <f t="shared" ref="AA4:AA14" si="3">Z4/D4</f>
        <v>0.1583709898989899</v>
      </c>
      <c r="AB4" s="30">
        <v>180</v>
      </c>
      <c r="AC4" s="81">
        <f>U4*2+(U4*2*80/100)</f>
        <v>0.6351355636363637</v>
      </c>
      <c r="AD4" s="81">
        <f>AA4*2+(AA4*2*80/100)</f>
        <v>0.57013556363636364</v>
      </c>
    </row>
    <row r="5" spans="1:30" ht="14.4" x14ac:dyDescent="0.3">
      <c r="A5" s="15">
        <v>125</v>
      </c>
      <c r="B5" s="7" t="s">
        <v>3</v>
      </c>
      <c r="C5" s="22" t="s">
        <v>14</v>
      </c>
      <c r="D5" s="23">
        <v>4000</v>
      </c>
      <c r="E5" s="24">
        <v>0.1</v>
      </c>
      <c r="F5" s="25">
        <v>18</v>
      </c>
      <c r="G5" s="26">
        <f t="shared" ref="G5:G14" si="4">F5+F5*E5</f>
        <v>19.8</v>
      </c>
      <c r="H5" s="27">
        <f t="shared" ref="H5:H14" si="5">(G5*D5)/1000</f>
        <v>79.2</v>
      </c>
      <c r="I5" s="27">
        <f>C26</f>
        <v>1.5999999999999999</v>
      </c>
      <c r="J5" s="89">
        <f t="shared" ref="J5:J14" si="6">H5*I5</f>
        <v>126.72</v>
      </c>
      <c r="K5" s="84">
        <f>E36</f>
        <v>1.1438383838383839E-3</v>
      </c>
      <c r="L5" s="28">
        <f t="shared" si="0"/>
        <v>4.5753535353535355</v>
      </c>
      <c r="M5" s="29">
        <f>A18*B18</f>
        <v>128</v>
      </c>
      <c r="N5" s="29">
        <f>C18</f>
        <v>450</v>
      </c>
      <c r="O5" s="29">
        <f>E18+F18*D18</f>
        <v>17.5</v>
      </c>
      <c r="P5" s="29">
        <f t="shared" si="1"/>
        <v>8.8888888888888893</v>
      </c>
      <c r="Q5" s="28">
        <f t="shared" ref="Q5:Q14" si="7">O5*P5</f>
        <v>155.55555555555557</v>
      </c>
      <c r="R5" s="26">
        <f t="shared" ref="R5:R14" si="8">Q5+L5+J5+M5</f>
        <v>414.85090909090911</v>
      </c>
      <c r="S5" s="26">
        <f>G18</f>
        <v>0.3</v>
      </c>
      <c r="T5" s="26">
        <f t="shared" ref="T5:T14" si="9">R5+R5*S5</f>
        <v>539.30618181818181</v>
      </c>
      <c r="U5" s="27">
        <f t="shared" si="2"/>
        <v>0.13482654545454545</v>
      </c>
      <c r="V5" s="78">
        <f>E19+F19*D19</f>
        <v>11.25</v>
      </c>
      <c r="W5" s="78">
        <f t="shared" ref="W5:W14" si="10">V5*P5</f>
        <v>100</v>
      </c>
      <c r="X5" s="92">
        <f t="shared" ref="X5:X14" si="11">W5+M5+L5+J5</f>
        <v>359.29535353535357</v>
      </c>
      <c r="Y5" s="78">
        <f>G18</f>
        <v>0.3</v>
      </c>
      <c r="Z5" s="26">
        <f t="shared" ref="Z5:Z14" si="12">X5+X5*Y5</f>
        <v>467.08395959595964</v>
      </c>
      <c r="AA5" s="78">
        <f t="shared" si="3"/>
        <v>0.11677098989898992</v>
      </c>
      <c r="AB5" s="30">
        <v>160</v>
      </c>
      <c r="AC5" s="31">
        <f>U5*2+(U5*2*80/100)</f>
        <v>0.48537556363636358</v>
      </c>
      <c r="AD5" s="31">
        <f>AA5*2+(AA5*2*80/100)</f>
        <v>0.42037556363636369</v>
      </c>
    </row>
    <row r="6" spans="1:30" ht="14.4" x14ac:dyDescent="0.3">
      <c r="A6" s="15">
        <v>125</v>
      </c>
      <c r="B6" s="7" t="s">
        <v>4</v>
      </c>
      <c r="C6" s="22" t="s">
        <v>15</v>
      </c>
      <c r="D6" s="23">
        <v>7500</v>
      </c>
      <c r="E6" s="24">
        <v>7.0000000000000007E-2</v>
      </c>
      <c r="F6" s="25">
        <v>18</v>
      </c>
      <c r="G6" s="26">
        <f t="shared" si="4"/>
        <v>19.260000000000002</v>
      </c>
      <c r="H6" s="27">
        <f t="shared" si="5"/>
        <v>144.44999999999999</v>
      </c>
      <c r="I6" s="27">
        <f>C26</f>
        <v>1.5999999999999999</v>
      </c>
      <c r="J6" s="89">
        <f t="shared" si="6"/>
        <v>231.11999999999998</v>
      </c>
      <c r="K6" s="84">
        <f>E36</f>
        <v>1.1438383838383839E-3</v>
      </c>
      <c r="L6" s="28">
        <f t="shared" si="0"/>
        <v>8.57878787878788</v>
      </c>
      <c r="M6" s="29">
        <f>A18*B18</f>
        <v>128</v>
      </c>
      <c r="N6" s="29">
        <f>C18</f>
        <v>450</v>
      </c>
      <c r="O6" s="29">
        <f>E18+F18*D18</f>
        <v>17.5</v>
      </c>
      <c r="P6" s="29">
        <f t="shared" si="1"/>
        <v>16.666666666666668</v>
      </c>
      <c r="Q6" s="28">
        <f t="shared" si="7"/>
        <v>291.66666666666669</v>
      </c>
      <c r="R6" s="26">
        <f>Q6+L6+J6+M6</f>
        <v>659.36545454545455</v>
      </c>
      <c r="S6" s="26">
        <f>G18</f>
        <v>0.3</v>
      </c>
      <c r="T6" s="26">
        <f t="shared" si="9"/>
        <v>857.17509090909095</v>
      </c>
      <c r="U6" s="27">
        <f>T6/D6</f>
        <v>0.11429001212121213</v>
      </c>
      <c r="V6" s="78">
        <f>E19+F19*D19</f>
        <v>11.25</v>
      </c>
      <c r="W6" s="78">
        <f t="shared" si="10"/>
        <v>187.5</v>
      </c>
      <c r="X6" s="92">
        <f t="shared" si="11"/>
        <v>555.19878787878781</v>
      </c>
      <c r="Y6" s="78">
        <f>G18</f>
        <v>0.3</v>
      </c>
      <c r="Z6" s="26">
        <f t="shared" si="12"/>
        <v>721.7584242424241</v>
      </c>
      <c r="AA6" s="78">
        <f t="shared" si="3"/>
        <v>9.6234456565656545E-2</v>
      </c>
      <c r="AB6" s="30">
        <v>140</v>
      </c>
      <c r="AC6" s="31">
        <f>U6*2+(U6*2*80/100)</f>
        <v>0.41144404363636367</v>
      </c>
      <c r="AD6" s="31">
        <f>AA6*2+(AA6*2*80/100)</f>
        <v>0.34644404363636355</v>
      </c>
    </row>
    <row r="7" spans="1:30" ht="14.4" x14ac:dyDescent="0.3">
      <c r="A7" s="15">
        <v>125</v>
      </c>
      <c r="B7" s="7" t="s">
        <v>5</v>
      </c>
      <c r="C7" s="22" t="s">
        <v>16</v>
      </c>
      <c r="D7" s="23">
        <v>12500</v>
      </c>
      <c r="E7" s="24">
        <v>7.0000000000000007E-2</v>
      </c>
      <c r="F7" s="25">
        <v>18</v>
      </c>
      <c r="G7" s="26">
        <f t="shared" si="4"/>
        <v>19.260000000000002</v>
      </c>
      <c r="H7" s="27">
        <f t="shared" si="5"/>
        <v>240.75000000000003</v>
      </c>
      <c r="I7" s="27">
        <f>C26</f>
        <v>1.5999999999999999</v>
      </c>
      <c r="J7" s="89">
        <f t="shared" si="6"/>
        <v>385.2</v>
      </c>
      <c r="K7" s="84">
        <f>E36</f>
        <v>1.1438383838383839E-3</v>
      </c>
      <c r="L7" s="28">
        <f t="shared" si="0"/>
        <v>14.297979797979799</v>
      </c>
      <c r="M7" s="29">
        <f>A18*B18</f>
        <v>128</v>
      </c>
      <c r="N7" s="29">
        <f>C18</f>
        <v>450</v>
      </c>
      <c r="O7" s="29">
        <f>E18+F18*D18</f>
        <v>17.5</v>
      </c>
      <c r="P7" s="29">
        <f t="shared" si="1"/>
        <v>27.777777777777779</v>
      </c>
      <c r="Q7" s="28">
        <f t="shared" si="7"/>
        <v>486.11111111111114</v>
      </c>
      <c r="R7" s="26">
        <f t="shared" si="8"/>
        <v>1013.6090909090909</v>
      </c>
      <c r="S7" s="26">
        <f>G18</f>
        <v>0.3</v>
      </c>
      <c r="T7" s="26">
        <f t="shared" si="9"/>
        <v>1317.6918181818182</v>
      </c>
      <c r="U7" s="27">
        <f t="shared" si="2"/>
        <v>0.10541534545454546</v>
      </c>
      <c r="V7" s="78">
        <f>E19+F19*D19</f>
        <v>11.25</v>
      </c>
      <c r="W7" s="78">
        <f t="shared" si="10"/>
        <v>312.5</v>
      </c>
      <c r="X7" s="92">
        <f t="shared" si="11"/>
        <v>839.99797979797972</v>
      </c>
      <c r="Y7" s="78">
        <f>G18</f>
        <v>0.3</v>
      </c>
      <c r="Z7" s="26">
        <f t="shared" si="12"/>
        <v>1091.9973737373737</v>
      </c>
      <c r="AA7" s="78">
        <f t="shared" si="3"/>
        <v>8.735978989898989E-2</v>
      </c>
      <c r="AB7" s="30">
        <v>85</v>
      </c>
      <c r="AC7" s="31">
        <f>U7+U7*AB7/100</f>
        <v>0.19501838909090913</v>
      </c>
      <c r="AD7" s="31">
        <f>AA7+AA7*AB7/100</f>
        <v>0.16161561131313129</v>
      </c>
    </row>
    <row r="8" spans="1:30" ht="14.4" x14ac:dyDescent="0.3">
      <c r="A8" s="15">
        <v>125</v>
      </c>
      <c r="B8" s="7" t="s">
        <v>6</v>
      </c>
      <c r="C8" s="22" t="s">
        <v>17</v>
      </c>
      <c r="D8" s="23">
        <v>17500</v>
      </c>
      <c r="E8" s="24">
        <v>7.0000000000000007E-2</v>
      </c>
      <c r="F8" s="25">
        <v>18</v>
      </c>
      <c r="G8" s="26">
        <f t="shared" si="4"/>
        <v>19.260000000000002</v>
      </c>
      <c r="H8" s="27">
        <f t="shared" si="5"/>
        <v>337.05</v>
      </c>
      <c r="I8" s="27">
        <f>C26</f>
        <v>1.5999999999999999</v>
      </c>
      <c r="J8" s="89">
        <f t="shared" si="6"/>
        <v>539.28</v>
      </c>
      <c r="K8" s="84">
        <f>E36</f>
        <v>1.1438383838383839E-3</v>
      </c>
      <c r="L8" s="28">
        <f t="shared" si="0"/>
        <v>20.017171717171717</v>
      </c>
      <c r="M8" s="29">
        <f>A18*B18</f>
        <v>128</v>
      </c>
      <c r="N8" s="29">
        <f>C18</f>
        <v>450</v>
      </c>
      <c r="O8" s="29">
        <f>E18+F18*D18</f>
        <v>17.5</v>
      </c>
      <c r="P8" s="29">
        <f t="shared" si="1"/>
        <v>38.888888888888886</v>
      </c>
      <c r="Q8" s="28">
        <f t="shared" si="7"/>
        <v>680.55555555555554</v>
      </c>
      <c r="R8" s="26">
        <f t="shared" si="8"/>
        <v>1367.8527272727272</v>
      </c>
      <c r="S8" s="26">
        <f>G18</f>
        <v>0.3</v>
      </c>
      <c r="T8" s="26">
        <f t="shared" si="9"/>
        <v>1778.2085454545454</v>
      </c>
      <c r="U8" s="27">
        <f t="shared" si="2"/>
        <v>0.10161191688311688</v>
      </c>
      <c r="V8" s="78">
        <f>E19+F19*D19</f>
        <v>11.25</v>
      </c>
      <c r="W8" s="78">
        <f t="shared" si="10"/>
        <v>437.49999999999994</v>
      </c>
      <c r="X8" s="92">
        <f t="shared" si="11"/>
        <v>1124.7971717171718</v>
      </c>
      <c r="Y8" s="78">
        <f>G18</f>
        <v>0.3</v>
      </c>
      <c r="Z8" s="26">
        <f t="shared" si="12"/>
        <v>1462.2363232323232</v>
      </c>
      <c r="AA8" s="78">
        <f t="shared" si="3"/>
        <v>8.3556361327561321E-2</v>
      </c>
      <c r="AB8" s="30">
        <v>80</v>
      </c>
      <c r="AC8" s="31">
        <f t="shared" ref="AC8:AC14" si="13">U8+U8*AB8/100</f>
        <v>0.18290145038961039</v>
      </c>
      <c r="AD8" s="31">
        <f t="shared" ref="AD8:AD14" si="14">AA8+AA8*AB8/100</f>
        <v>0.15040145038961039</v>
      </c>
    </row>
    <row r="9" spans="1:30" ht="14.4" x14ac:dyDescent="0.3">
      <c r="A9" s="15">
        <v>125</v>
      </c>
      <c r="B9" s="7" t="s">
        <v>7</v>
      </c>
      <c r="C9" s="22" t="s">
        <v>18</v>
      </c>
      <c r="D9" s="23">
        <v>25000</v>
      </c>
      <c r="E9" s="24">
        <v>0.05</v>
      </c>
      <c r="F9" s="25">
        <v>18</v>
      </c>
      <c r="G9" s="26">
        <f t="shared" si="4"/>
        <v>18.899999999999999</v>
      </c>
      <c r="H9" s="27">
        <f t="shared" si="5"/>
        <v>472.49999999999994</v>
      </c>
      <c r="I9" s="27">
        <f>C26</f>
        <v>1.5999999999999999</v>
      </c>
      <c r="J9" s="89">
        <f t="shared" si="6"/>
        <v>755.99999999999989</v>
      </c>
      <c r="K9" s="84">
        <f>E36</f>
        <v>1.1438383838383839E-3</v>
      </c>
      <c r="L9" s="28">
        <f t="shared" si="0"/>
        <v>28.595959595959599</v>
      </c>
      <c r="M9" s="29">
        <f>A18*B18</f>
        <v>128</v>
      </c>
      <c r="N9" s="29">
        <f>C18</f>
        <v>450</v>
      </c>
      <c r="O9" s="29">
        <f>E18+F18*D18</f>
        <v>17.5</v>
      </c>
      <c r="P9" s="29">
        <f t="shared" si="1"/>
        <v>55.555555555555557</v>
      </c>
      <c r="Q9" s="28">
        <f t="shared" si="7"/>
        <v>972.22222222222229</v>
      </c>
      <c r="R9" s="26">
        <f t="shared" si="8"/>
        <v>1884.8181818181818</v>
      </c>
      <c r="S9" s="26">
        <f>G18</f>
        <v>0.3</v>
      </c>
      <c r="T9" s="26">
        <f t="shared" si="9"/>
        <v>2450.2636363636361</v>
      </c>
      <c r="U9" s="27">
        <f t="shared" si="2"/>
        <v>9.8010545454545447E-2</v>
      </c>
      <c r="V9" s="78">
        <f>E19+F19*D19</f>
        <v>11.25</v>
      </c>
      <c r="W9" s="78">
        <f t="shared" si="10"/>
        <v>625</v>
      </c>
      <c r="X9" s="92">
        <f t="shared" si="11"/>
        <v>1537.5959595959594</v>
      </c>
      <c r="Y9" s="78">
        <f>G18</f>
        <v>0.3</v>
      </c>
      <c r="Z9" s="26">
        <f t="shared" si="12"/>
        <v>1998.8747474747472</v>
      </c>
      <c r="AA9" s="78">
        <f t="shared" si="3"/>
        <v>7.9954989898989887E-2</v>
      </c>
      <c r="AB9" s="30">
        <v>75</v>
      </c>
      <c r="AC9" s="31">
        <f t="shared" si="13"/>
        <v>0.17151845454545453</v>
      </c>
      <c r="AD9" s="31">
        <f t="shared" si="14"/>
        <v>0.13992123232323231</v>
      </c>
    </row>
    <row r="10" spans="1:30" ht="14.4" x14ac:dyDescent="0.3">
      <c r="A10" s="15">
        <v>125</v>
      </c>
      <c r="B10" s="7" t="s">
        <v>8</v>
      </c>
      <c r="C10" s="22" t="s">
        <v>19</v>
      </c>
      <c r="D10" s="23">
        <v>35000</v>
      </c>
      <c r="E10" s="24">
        <v>0.05</v>
      </c>
      <c r="F10" s="25">
        <v>18</v>
      </c>
      <c r="G10" s="26">
        <f t="shared" si="4"/>
        <v>18.899999999999999</v>
      </c>
      <c r="H10" s="27">
        <f t="shared" si="5"/>
        <v>661.5</v>
      </c>
      <c r="I10" s="27">
        <f>C26</f>
        <v>1.5999999999999999</v>
      </c>
      <c r="J10" s="89">
        <f t="shared" si="6"/>
        <v>1058.3999999999999</v>
      </c>
      <c r="K10" s="84">
        <f>E36</f>
        <v>1.1438383838383839E-3</v>
      </c>
      <c r="L10" s="28">
        <f t="shared" si="0"/>
        <v>40.034343434343434</v>
      </c>
      <c r="M10" s="29">
        <f>A18*B18</f>
        <v>128</v>
      </c>
      <c r="N10" s="29">
        <f>C18</f>
        <v>450</v>
      </c>
      <c r="O10" s="29">
        <f>E18+F18*D18</f>
        <v>17.5</v>
      </c>
      <c r="P10" s="29">
        <f t="shared" si="1"/>
        <v>77.777777777777771</v>
      </c>
      <c r="Q10" s="28">
        <f t="shared" si="7"/>
        <v>1361.1111111111111</v>
      </c>
      <c r="R10" s="26">
        <f t="shared" si="8"/>
        <v>2587.545454545454</v>
      </c>
      <c r="S10" s="26">
        <f>G18</f>
        <v>0.3</v>
      </c>
      <c r="T10" s="26">
        <f t="shared" si="9"/>
        <v>3363.8090909090902</v>
      </c>
      <c r="U10" s="27">
        <f t="shared" si="2"/>
        <v>9.6108831168831149E-2</v>
      </c>
      <c r="V10" s="78">
        <f>E19+F19*D19</f>
        <v>11.25</v>
      </c>
      <c r="W10" s="78">
        <f t="shared" si="10"/>
        <v>874.99999999999989</v>
      </c>
      <c r="X10" s="92">
        <f t="shared" si="11"/>
        <v>2101.4343434343432</v>
      </c>
      <c r="Y10" s="78">
        <f>G18</f>
        <v>0.3</v>
      </c>
      <c r="Z10" s="26">
        <f t="shared" si="12"/>
        <v>2731.8646464646463</v>
      </c>
      <c r="AA10" s="78">
        <f t="shared" si="3"/>
        <v>7.8053275613275602E-2</v>
      </c>
      <c r="AB10" s="30">
        <v>75</v>
      </c>
      <c r="AC10" s="31">
        <f t="shared" si="13"/>
        <v>0.1681904545454545</v>
      </c>
      <c r="AD10" s="31">
        <f t="shared" si="14"/>
        <v>0.13659323232323231</v>
      </c>
    </row>
    <row r="11" spans="1:30" ht="14.4" x14ac:dyDescent="0.3">
      <c r="A11" s="15">
        <v>125</v>
      </c>
      <c r="B11" s="7" t="s">
        <v>9</v>
      </c>
      <c r="C11" s="22" t="s">
        <v>20</v>
      </c>
      <c r="D11" s="23">
        <v>45000</v>
      </c>
      <c r="E11" s="24">
        <v>0.05</v>
      </c>
      <c r="F11" s="25">
        <v>18</v>
      </c>
      <c r="G11" s="26">
        <f t="shared" si="4"/>
        <v>18.899999999999999</v>
      </c>
      <c r="H11" s="27">
        <f t="shared" si="5"/>
        <v>850.49999999999989</v>
      </c>
      <c r="I11" s="27">
        <f>C26</f>
        <v>1.5999999999999999</v>
      </c>
      <c r="J11" s="89">
        <f t="shared" si="6"/>
        <v>1360.7999999999997</v>
      </c>
      <c r="K11" s="84">
        <f>E36</f>
        <v>1.1438383838383839E-3</v>
      </c>
      <c r="L11" s="28">
        <f t="shared" si="0"/>
        <v>51.472727272727276</v>
      </c>
      <c r="M11" s="29">
        <f>A18*B18</f>
        <v>128</v>
      </c>
      <c r="N11" s="29">
        <f>C18</f>
        <v>450</v>
      </c>
      <c r="O11" s="29">
        <f>E18+F18*D18</f>
        <v>17.5</v>
      </c>
      <c r="P11" s="29">
        <f t="shared" si="1"/>
        <v>100</v>
      </c>
      <c r="Q11" s="28">
        <f t="shared" si="7"/>
        <v>1750</v>
      </c>
      <c r="R11" s="26">
        <f t="shared" si="8"/>
        <v>3290.272727272727</v>
      </c>
      <c r="S11" s="26">
        <f>G18</f>
        <v>0.3</v>
      </c>
      <c r="T11" s="26">
        <f t="shared" si="9"/>
        <v>4277.3545454545456</v>
      </c>
      <c r="U11" s="27">
        <f t="shared" si="2"/>
        <v>9.5052323232323238E-2</v>
      </c>
      <c r="V11" s="78">
        <f>E19+F19*D19</f>
        <v>11.25</v>
      </c>
      <c r="W11" s="78">
        <f t="shared" si="10"/>
        <v>1125</v>
      </c>
      <c r="X11" s="92">
        <f t="shared" si="11"/>
        <v>2665.272727272727</v>
      </c>
      <c r="Y11" s="78">
        <f>G18</f>
        <v>0.3</v>
      </c>
      <c r="Z11" s="26">
        <f t="shared" si="12"/>
        <v>3464.8545454545451</v>
      </c>
      <c r="AA11" s="78">
        <f t="shared" si="3"/>
        <v>7.6996767676767663E-2</v>
      </c>
      <c r="AB11" s="30">
        <v>70</v>
      </c>
      <c r="AC11" s="31">
        <f t="shared" si="13"/>
        <v>0.16158894949494951</v>
      </c>
      <c r="AD11" s="31">
        <f t="shared" si="14"/>
        <v>0.13089450505050504</v>
      </c>
    </row>
    <row r="12" spans="1:30" ht="14.4" x14ac:dyDescent="0.3">
      <c r="A12" s="15">
        <v>125</v>
      </c>
      <c r="B12" s="7" t="s">
        <v>10</v>
      </c>
      <c r="C12" s="22" t="s">
        <v>21</v>
      </c>
      <c r="D12" s="23">
        <v>75000</v>
      </c>
      <c r="E12" s="24">
        <v>0.05</v>
      </c>
      <c r="F12" s="25">
        <v>18</v>
      </c>
      <c r="G12" s="26">
        <f t="shared" si="4"/>
        <v>18.899999999999999</v>
      </c>
      <c r="H12" s="27">
        <f t="shared" si="5"/>
        <v>1417.5</v>
      </c>
      <c r="I12" s="27">
        <f>C26</f>
        <v>1.5999999999999999</v>
      </c>
      <c r="J12" s="89">
        <f t="shared" si="6"/>
        <v>2268</v>
      </c>
      <c r="K12" s="84">
        <f>E36</f>
        <v>1.1438383838383839E-3</v>
      </c>
      <c r="L12" s="28">
        <f t="shared" si="0"/>
        <v>85.787878787878796</v>
      </c>
      <c r="M12" s="29">
        <f>A18*B18</f>
        <v>128</v>
      </c>
      <c r="N12" s="29">
        <f>C18</f>
        <v>450</v>
      </c>
      <c r="O12" s="29">
        <f>E18+F18*D18</f>
        <v>17.5</v>
      </c>
      <c r="P12" s="29">
        <f t="shared" si="1"/>
        <v>166.66666666666666</v>
      </c>
      <c r="Q12" s="28">
        <f>O12*P12</f>
        <v>2916.6666666666665</v>
      </c>
      <c r="R12" s="26">
        <f t="shared" si="8"/>
        <v>5398.454545454546</v>
      </c>
      <c r="S12" s="26">
        <f>G18</f>
        <v>0.3</v>
      </c>
      <c r="T12" s="26">
        <f t="shared" si="9"/>
        <v>7017.9909090909096</v>
      </c>
      <c r="U12" s="27">
        <f t="shared" si="2"/>
        <v>9.3573212121212127E-2</v>
      </c>
      <c r="V12" s="78">
        <f>E19+F19*D19</f>
        <v>11.25</v>
      </c>
      <c r="W12" s="78">
        <f t="shared" si="10"/>
        <v>1875</v>
      </c>
      <c r="X12" s="92">
        <f t="shared" si="11"/>
        <v>4356.787878787879</v>
      </c>
      <c r="Y12" s="78">
        <f>G18</f>
        <v>0.3</v>
      </c>
      <c r="Z12" s="26">
        <f t="shared" si="12"/>
        <v>5663.8242424242426</v>
      </c>
      <c r="AA12" s="78">
        <f t="shared" si="3"/>
        <v>7.5517656565656566E-2</v>
      </c>
      <c r="AB12" s="30">
        <v>70</v>
      </c>
      <c r="AC12" s="31">
        <f t="shared" si="13"/>
        <v>0.15907446060606062</v>
      </c>
      <c r="AD12" s="31">
        <f t="shared" si="14"/>
        <v>0.12838001616161615</v>
      </c>
    </row>
    <row r="13" spans="1:30" ht="14.4" x14ac:dyDescent="0.3">
      <c r="A13" s="15">
        <v>125</v>
      </c>
      <c r="B13" s="7" t="s">
        <v>11</v>
      </c>
      <c r="C13" s="22" t="s">
        <v>22</v>
      </c>
      <c r="D13" s="23">
        <v>125000</v>
      </c>
      <c r="E13" s="24">
        <v>0.03</v>
      </c>
      <c r="F13" s="25">
        <v>18</v>
      </c>
      <c r="G13" s="26">
        <f t="shared" si="4"/>
        <v>18.54</v>
      </c>
      <c r="H13" s="27">
        <f t="shared" si="5"/>
        <v>2317.5</v>
      </c>
      <c r="I13" s="27">
        <f>C26</f>
        <v>1.5999999999999999</v>
      </c>
      <c r="J13" s="89">
        <f t="shared" si="6"/>
        <v>3707.9999999999995</v>
      </c>
      <c r="K13" s="84">
        <f>E36</f>
        <v>1.1438383838383839E-3</v>
      </c>
      <c r="L13" s="28">
        <f t="shared" si="0"/>
        <v>142.97979797979798</v>
      </c>
      <c r="M13" s="29">
        <f>A18*B18</f>
        <v>128</v>
      </c>
      <c r="N13" s="29">
        <f>C18</f>
        <v>450</v>
      </c>
      <c r="O13" s="29">
        <f>E18+F18*D18</f>
        <v>17.5</v>
      </c>
      <c r="P13" s="29">
        <f t="shared" si="1"/>
        <v>277.77777777777777</v>
      </c>
      <c r="Q13" s="28">
        <f t="shared" si="7"/>
        <v>4861.1111111111113</v>
      </c>
      <c r="R13" s="26">
        <f t="shared" si="8"/>
        <v>8840.0909090909081</v>
      </c>
      <c r="S13" s="26">
        <f>G18</f>
        <v>0.3</v>
      </c>
      <c r="T13" s="26">
        <f t="shared" si="9"/>
        <v>11492.118181818179</v>
      </c>
      <c r="U13" s="27">
        <f t="shared" si="2"/>
        <v>9.1936945454545435E-2</v>
      </c>
      <c r="V13" s="78">
        <f>E19+F19*D19</f>
        <v>11.25</v>
      </c>
      <c r="W13" s="78">
        <f t="shared" si="10"/>
        <v>3125</v>
      </c>
      <c r="X13" s="92">
        <f t="shared" si="11"/>
        <v>7103.9797979797977</v>
      </c>
      <c r="Y13" s="78">
        <f>G18</f>
        <v>0.3</v>
      </c>
      <c r="Z13" s="26">
        <f t="shared" si="12"/>
        <v>9235.1737373737378</v>
      </c>
      <c r="AA13" s="78">
        <f t="shared" si="3"/>
        <v>7.3881389898989902E-2</v>
      </c>
      <c r="AB13" s="30">
        <v>65</v>
      </c>
      <c r="AC13" s="31">
        <f t="shared" si="13"/>
        <v>0.15169595999999996</v>
      </c>
      <c r="AD13" s="31">
        <f t="shared" si="14"/>
        <v>0.12190429333333333</v>
      </c>
    </row>
    <row r="14" spans="1:30" ht="15" thickBot="1" x14ac:dyDescent="0.35">
      <c r="A14" s="15">
        <v>125</v>
      </c>
      <c r="B14" s="7" t="s">
        <v>12</v>
      </c>
      <c r="C14" s="22" t="s">
        <v>23</v>
      </c>
      <c r="D14" s="23">
        <v>200000</v>
      </c>
      <c r="E14" s="24">
        <v>0.03</v>
      </c>
      <c r="F14" s="25">
        <v>18</v>
      </c>
      <c r="G14" s="26">
        <f t="shared" si="4"/>
        <v>18.54</v>
      </c>
      <c r="H14" s="27">
        <f t="shared" si="5"/>
        <v>3708</v>
      </c>
      <c r="I14" s="27">
        <f>C26</f>
        <v>1.5999999999999999</v>
      </c>
      <c r="J14" s="89">
        <f t="shared" si="6"/>
        <v>5932.7999999999993</v>
      </c>
      <c r="K14" s="84">
        <f>E36</f>
        <v>1.1438383838383839E-3</v>
      </c>
      <c r="L14" s="28">
        <f t="shared" si="0"/>
        <v>228.76767676767679</v>
      </c>
      <c r="M14" s="29">
        <f>A18*B18</f>
        <v>128</v>
      </c>
      <c r="N14" s="29">
        <f>C18</f>
        <v>450</v>
      </c>
      <c r="O14" s="29">
        <f>E18+F18*D18</f>
        <v>17.5</v>
      </c>
      <c r="P14" s="29">
        <f t="shared" si="1"/>
        <v>444.44444444444446</v>
      </c>
      <c r="Q14" s="28">
        <f t="shared" si="7"/>
        <v>7777.7777777777783</v>
      </c>
      <c r="R14" s="26">
        <f t="shared" si="8"/>
        <v>14067.345454545455</v>
      </c>
      <c r="S14" s="26">
        <f>G18</f>
        <v>0.3</v>
      </c>
      <c r="T14" s="26">
        <f t="shared" si="9"/>
        <v>18287.549090909091</v>
      </c>
      <c r="U14" s="27">
        <f t="shared" si="2"/>
        <v>9.1437745454545458E-2</v>
      </c>
      <c r="V14" s="78">
        <f>E19+F19*D19</f>
        <v>11.25</v>
      </c>
      <c r="W14" s="78">
        <f t="shared" si="10"/>
        <v>5000</v>
      </c>
      <c r="X14" s="92">
        <f t="shared" si="11"/>
        <v>11289.567676767676</v>
      </c>
      <c r="Y14" s="78">
        <f>G18</f>
        <v>0.3</v>
      </c>
      <c r="Z14" s="26">
        <f t="shared" si="12"/>
        <v>14676.437979797978</v>
      </c>
      <c r="AA14" s="78">
        <f t="shared" si="3"/>
        <v>7.3382189898989897E-2</v>
      </c>
      <c r="AB14" s="30">
        <v>60</v>
      </c>
      <c r="AC14" s="32">
        <f t="shared" si="13"/>
        <v>0.14630039272727274</v>
      </c>
      <c r="AD14" s="32">
        <f t="shared" si="14"/>
        <v>0.11741150383838383</v>
      </c>
    </row>
    <row r="15" spans="1:30" ht="14.4" thickBot="1" x14ac:dyDescent="0.35"/>
    <row r="16" spans="1:30" x14ac:dyDescent="0.3">
      <c r="A16" s="33" t="s">
        <v>27</v>
      </c>
      <c r="B16" s="34"/>
      <c r="C16" s="34"/>
      <c r="D16" s="34"/>
      <c r="E16" s="34"/>
      <c r="F16" s="34"/>
      <c r="G16" s="35"/>
      <c r="AC16" s="80"/>
    </row>
    <row r="17" spans="1:12" x14ac:dyDescent="0.3">
      <c r="A17" s="36" t="s">
        <v>28</v>
      </c>
      <c r="B17" s="37" t="s">
        <v>29</v>
      </c>
      <c r="C17" s="37" t="s">
        <v>30</v>
      </c>
      <c r="D17" s="37" t="s">
        <v>31</v>
      </c>
      <c r="E17" s="37" t="s">
        <v>32</v>
      </c>
      <c r="F17" s="37" t="s">
        <v>33</v>
      </c>
      <c r="G17" s="38" t="s">
        <v>34</v>
      </c>
      <c r="J17" s="39"/>
      <c r="K17" s="85"/>
      <c r="L17" s="14" t="s">
        <v>59</v>
      </c>
    </row>
    <row r="18" spans="1:12" ht="14.4" thickBot="1" x14ac:dyDescent="0.35">
      <c r="A18" s="40">
        <v>4</v>
      </c>
      <c r="B18" s="41">
        <v>32</v>
      </c>
      <c r="C18" s="41">
        <v>450</v>
      </c>
      <c r="D18" s="41">
        <v>0.5</v>
      </c>
      <c r="E18" s="41">
        <v>5</v>
      </c>
      <c r="F18" s="42">
        <v>25</v>
      </c>
      <c r="G18" s="43">
        <v>0.3</v>
      </c>
    </row>
    <row r="19" spans="1:12" ht="14.4" thickBot="1" x14ac:dyDescent="0.35">
      <c r="A19" s="40">
        <v>4</v>
      </c>
      <c r="B19" s="41">
        <v>32</v>
      </c>
      <c r="C19" s="41">
        <v>450</v>
      </c>
      <c r="D19" s="41">
        <v>0.25</v>
      </c>
      <c r="E19" s="41">
        <v>5</v>
      </c>
      <c r="F19" s="42">
        <v>25</v>
      </c>
      <c r="G19" s="43">
        <v>0.3</v>
      </c>
    </row>
    <row r="20" spans="1:12" ht="14.4" thickBot="1" x14ac:dyDescent="0.35">
      <c r="J20" s="44"/>
      <c r="K20" s="86"/>
      <c r="L20" s="14" t="s">
        <v>60</v>
      </c>
    </row>
    <row r="21" spans="1:12" x14ac:dyDescent="0.3">
      <c r="A21" s="45" t="s">
        <v>35</v>
      </c>
      <c r="B21" s="46"/>
      <c r="C21" s="46" t="s">
        <v>36</v>
      </c>
      <c r="D21" s="47" t="s">
        <v>37</v>
      </c>
    </row>
    <row r="22" spans="1:12" x14ac:dyDescent="0.3">
      <c r="A22" s="48" t="s">
        <v>40</v>
      </c>
      <c r="B22" s="49">
        <v>1.5</v>
      </c>
      <c r="C22" s="50">
        <v>96</v>
      </c>
      <c r="D22" s="51"/>
    </row>
    <row r="23" spans="1:12" x14ac:dyDescent="0.3">
      <c r="A23" s="48" t="s">
        <v>40</v>
      </c>
      <c r="B23" s="49">
        <v>4</v>
      </c>
      <c r="C23" s="50">
        <v>4</v>
      </c>
      <c r="D23" s="51"/>
    </row>
    <row r="24" spans="1:12" x14ac:dyDescent="0.3">
      <c r="A24" s="48" t="s">
        <v>40</v>
      </c>
      <c r="B24" s="49">
        <v>0</v>
      </c>
      <c r="C24" s="50"/>
      <c r="D24" s="51"/>
    </row>
    <row r="25" spans="1:12" ht="14.4" thickBot="1" x14ac:dyDescent="0.35">
      <c r="A25" s="48" t="s">
        <v>44</v>
      </c>
      <c r="B25" s="49">
        <v>0</v>
      </c>
      <c r="C25" s="50"/>
      <c r="D25" s="51"/>
    </row>
    <row r="26" spans="1:12" ht="14.4" thickBot="1" x14ac:dyDescent="0.35">
      <c r="A26" s="52" t="s">
        <v>45</v>
      </c>
      <c r="B26" s="53">
        <f>SUM(B22:B25)</f>
        <v>5.5</v>
      </c>
      <c r="C26" s="54">
        <f>(B22*C22/100)+(B23*C23/100)+(B24*C24/100)+(B25*C25/100)</f>
        <v>1.5999999999999999</v>
      </c>
      <c r="D26" s="55" t="s">
        <v>62</v>
      </c>
    </row>
    <row r="27" spans="1:12" ht="14.4" thickBot="1" x14ac:dyDescent="0.35"/>
    <row r="28" spans="1:12" x14ac:dyDescent="0.3">
      <c r="A28" s="56" t="s">
        <v>38</v>
      </c>
      <c r="B28" s="57"/>
      <c r="C28" s="58"/>
      <c r="D28" s="59" t="s">
        <v>39</v>
      </c>
      <c r="E28" s="60" t="s">
        <v>97</v>
      </c>
    </row>
    <row r="29" spans="1:12" x14ac:dyDescent="0.3">
      <c r="A29" s="61" t="s">
        <v>42</v>
      </c>
      <c r="B29" s="62">
        <v>1100</v>
      </c>
      <c r="C29" s="63"/>
      <c r="D29" s="64"/>
      <c r="E29" s="65"/>
    </row>
    <row r="30" spans="1:12" x14ac:dyDescent="0.3">
      <c r="A30" s="61" t="s">
        <v>86</v>
      </c>
      <c r="B30" s="62">
        <v>9</v>
      </c>
      <c r="C30" s="63" t="s">
        <v>41</v>
      </c>
      <c r="D30" s="66">
        <v>0.68100000000000005</v>
      </c>
      <c r="E30" s="65">
        <f>D30*B30</f>
        <v>6.1290000000000004</v>
      </c>
    </row>
    <row r="31" spans="1:12" x14ac:dyDescent="0.3">
      <c r="A31" s="61" t="s">
        <v>87</v>
      </c>
      <c r="B31" s="62">
        <f>B30*B29</f>
        <v>9900</v>
      </c>
      <c r="C31" s="67"/>
      <c r="D31" s="68"/>
      <c r="E31" s="65"/>
    </row>
    <row r="32" spans="1:12" x14ac:dyDescent="0.3">
      <c r="A32" s="61" t="s">
        <v>88</v>
      </c>
      <c r="B32" s="62">
        <v>9</v>
      </c>
      <c r="C32" s="63" t="s">
        <v>43</v>
      </c>
      <c r="D32" s="69">
        <v>0.13800000000000001</v>
      </c>
      <c r="E32" s="65">
        <f>D32*B32</f>
        <v>1.242</v>
      </c>
    </row>
    <row r="33" spans="1:5" x14ac:dyDescent="0.3">
      <c r="A33" s="61" t="s">
        <v>46</v>
      </c>
      <c r="B33" s="62">
        <f>B32*5</f>
        <v>45</v>
      </c>
      <c r="C33" s="63" t="s">
        <v>47</v>
      </c>
      <c r="D33" s="66">
        <v>4.3400000000000001E-2</v>
      </c>
      <c r="E33" s="65">
        <f>D33*B33</f>
        <v>1.9530000000000001</v>
      </c>
    </row>
    <row r="34" spans="1:5" ht="14.4" thickBot="1" x14ac:dyDescent="0.35">
      <c r="A34" s="70" t="s">
        <v>48</v>
      </c>
      <c r="B34" s="71" t="s">
        <v>49</v>
      </c>
      <c r="C34" s="72" t="s">
        <v>50</v>
      </c>
      <c r="D34" s="73">
        <v>2</v>
      </c>
      <c r="E34" s="74">
        <f>D34</f>
        <v>2</v>
      </c>
    </row>
    <row r="35" spans="1:5" ht="14.4" thickBot="1" x14ac:dyDescent="0.35">
      <c r="E35" s="75">
        <f>SUM(E29:E34)</f>
        <v>11.324</v>
      </c>
    </row>
    <row r="36" spans="1:5" ht="14.4" thickBot="1" x14ac:dyDescent="0.35">
      <c r="D36" s="76" t="s">
        <v>98</v>
      </c>
      <c r="E36" s="77">
        <f>E35/B31</f>
        <v>1.1438383838383839E-3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641DD-DEFC-4F82-A684-20068A67E6BB}">
  <dimension ref="A2:AD36"/>
  <sheetViews>
    <sheetView topLeftCell="P1" workbookViewId="0">
      <selection activeCell="T4" sqref="T4:T14"/>
    </sheetView>
  </sheetViews>
  <sheetFormatPr defaultColWidth="9.109375" defaultRowHeight="13.8" x14ac:dyDescent="0.3"/>
  <cols>
    <col min="1" max="1" width="28.6640625" style="14" bestFit="1" customWidth="1"/>
    <col min="2" max="2" width="10.109375" style="14" bestFit="1" customWidth="1"/>
    <col min="3" max="3" width="21" style="14" bestFit="1" customWidth="1"/>
    <col min="4" max="4" width="12.44140625" style="14" bestFit="1" customWidth="1"/>
    <col min="5" max="5" width="21" style="14" bestFit="1" customWidth="1"/>
    <col min="6" max="6" width="14.88671875" style="14" bestFit="1" customWidth="1"/>
    <col min="7" max="7" width="23.5546875" style="14" bestFit="1" customWidth="1"/>
    <col min="8" max="8" width="18.6640625" style="14" customWidth="1"/>
    <col min="9" max="9" width="0.109375" style="14" customWidth="1"/>
    <col min="10" max="10" width="9.5546875" style="14" bestFit="1" customWidth="1"/>
    <col min="11" max="11" width="15.33203125" style="82" customWidth="1"/>
    <col min="12" max="12" width="17.5546875" style="14" bestFit="1" customWidth="1"/>
    <col min="13" max="13" width="19.33203125" style="14" customWidth="1"/>
    <col min="14" max="14" width="9.109375" style="14" customWidth="1"/>
    <col min="15" max="15" width="22.88671875" style="14" customWidth="1"/>
    <col min="16" max="16" width="11.88671875" style="14" customWidth="1"/>
    <col min="17" max="17" width="23.5546875" style="14" bestFit="1" customWidth="1"/>
    <col min="18" max="18" width="24.33203125" style="14" customWidth="1"/>
    <col min="19" max="19" width="11" style="14" customWidth="1"/>
    <col min="20" max="20" width="35.5546875" style="14" bestFit="1" customWidth="1"/>
    <col min="21" max="21" width="14.6640625" style="14" bestFit="1" customWidth="1"/>
    <col min="22" max="27" width="14.6640625" style="14" customWidth="1"/>
    <col min="28" max="28" width="16.5546875" style="14" bestFit="1" customWidth="1"/>
    <col min="29" max="29" width="17.44140625" style="14" bestFit="1" customWidth="1"/>
    <col min="30" max="30" width="11.88671875" style="14" bestFit="1" customWidth="1"/>
    <col min="31" max="16384" width="9.109375" style="14"/>
  </cols>
  <sheetData>
    <row r="2" spans="1:30" ht="14.4" thickBot="1" x14ac:dyDescent="0.35"/>
    <row r="3" spans="1:30" ht="74.25" customHeight="1" thickBot="1" x14ac:dyDescent="0.35">
      <c r="A3" s="15" t="s">
        <v>57</v>
      </c>
      <c r="B3" s="15" t="s">
        <v>24</v>
      </c>
      <c r="C3" s="15" t="s">
        <v>25</v>
      </c>
      <c r="D3" s="15" t="s">
        <v>26</v>
      </c>
      <c r="E3" s="15" t="s">
        <v>55</v>
      </c>
      <c r="F3" s="15" t="s">
        <v>58</v>
      </c>
      <c r="G3" s="16" t="s">
        <v>51</v>
      </c>
      <c r="H3" s="17" t="s">
        <v>52</v>
      </c>
      <c r="I3" s="17" t="s">
        <v>61</v>
      </c>
      <c r="J3" s="90" t="s">
        <v>53</v>
      </c>
      <c r="K3" s="83" t="s">
        <v>99</v>
      </c>
      <c r="L3" s="18" t="s">
        <v>96</v>
      </c>
      <c r="M3" s="19" t="s">
        <v>54</v>
      </c>
      <c r="N3" s="19" t="s">
        <v>100</v>
      </c>
      <c r="O3" s="19" t="s">
        <v>108</v>
      </c>
      <c r="P3" s="19" t="s">
        <v>101</v>
      </c>
      <c r="Q3" s="91" t="s">
        <v>116</v>
      </c>
      <c r="R3" s="87" t="s">
        <v>107</v>
      </c>
      <c r="S3" s="88" t="s">
        <v>102</v>
      </c>
      <c r="T3" s="87" t="s">
        <v>104</v>
      </c>
      <c r="U3" s="87" t="s">
        <v>105</v>
      </c>
      <c r="V3" s="19" t="s">
        <v>109</v>
      </c>
      <c r="W3" s="20" t="s">
        <v>110</v>
      </c>
      <c r="X3" s="20"/>
      <c r="Y3" s="20"/>
      <c r="Z3" s="20" t="s">
        <v>111</v>
      </c>
      <c r="AA3" s="20" t="s">
        <v>112</v>
      </c>
      <c r="AB3" s="20" t="s">
        <v>103</v>
      </c>
      <c r="AC3" s="79" t="s">
        <v>106</v>
      </c>
      <c r="AD3" s="21" t="s">
        <v>113</v>
      </c>
    </row>
    <row r="4" spans="1:30" ht="14.4" x14ac:dyDescent="0.3">
      <c r="A4" s="15">
        <v>125</v>
      </c>
      <c r="B4" s="7" t="s">
        <v>2</v>
      </c>
      <c r="C4" s="22" t="s">
        <v>13</v>
      </c>
      <c r="D4" s="23">
        <v>2000</v>
      </c>
      <c r="E4" s="24">
        <v>0.1</v>
      </c>
      <c r="F4" s="25">
        <v>18</v>
      </c>
      <c r="G4" s="26">
        <f>F4+F4*E4</f>
        <v>19.8</v>
      </c>
      <c r="H4" s="27">
        <f>(G4*D4)/1000</f>
        <v>39.6</v>
      </c>
      <c r="I4" s="27">
        <f>C26</f>
        <v>2.04</v>
      </c>
      <c r="J4" s="89">
        <f>H4*I4</f>
        <v>80.784000000000006</v>
      </c>
      <c r="K4" s="84">
        <f>E36</f>
        <v>1.1438383838383839E-3</v>
      </c>
      <c r="L4" s="28">
        <f t="shared" ref="L4:L14" si="0">K4*D4</f>
        <v>2.2876767676767678</v>
      </c>
      <c r="M4" s="29">
        <f>A18*B18</f>
        <v>128</v>
      </c>
      <c r="N4" s="29">
        <f>C18</f>
        <v>450</v>
      </c>
      <c r="O4" s="29">
        <f>E18+F18*D18</f>
        <v>17.5</v>
      </c>
      <c r="P4" s="29">
        <f t="shared" ref="P4:P14" si="1">D4/N4</f>
        <v>4.4444444444444446</v>
      </c>
      <c r="Q4" s="28">
        <f>O4*P4</f>
        <v>77.777777777777786</v>
      </c>
      <c r="R4" s="26">
        <f>Q4+L4+J4+M4</f>
        <v>288.84945454545459</v>
      </c>
      <c r="S4" s="26">
        <f>G18</f>
        <v>0.3</v>
      </c>
      <c r="T4" s="26">
        <f>R4+R4*S4</f>
        <v>375.50429090909097</v>
      </c>
      <c r="U4" s="27">
        <f t="shared" ref="U4:U14" si="2">T4/D4</f>
        <v>0.18775214545454549</v>
      </c>
      <c r="V4" s="78">
        <f>E19+F19*D19</f>
        <v>11.25</v>
      </c>
      <c r="W4" s="78">
        <f>V4*P4</f>
        <v>50</v>
      </c>
      <c r="X4" s="92">
        <f>W4+M4+L4+J4</f>
        <v>261.07167676767676</v>
      </c>
      <c r="Y4" s="78">
        <f>G18</f>
        <v>0.3</v>
      </c>
      <c r="Z4" s="26">
        <f>X4+X4*Y4</f>
        <v>339.39317979797977</v>
      </c>
      <c r="AA4" s="78">
        <f t="shared" ref="AA4:AA14" si="3">Z4/D4</f>
        <v>0.16969658989898989</v>
      </c>
      <c r="AB4" s="30">
        <v>180</v>
      </c>
      <c r="AC4" s="81">
        <f>U4*2+(U4*2*80/100)</f>
        <v>0.67590772363636376</v>
      </c>
      <c r="AD4" s="81">
        <f>AA4*2+(AA4*2*80/100)</f>
        <v>0.61090772363636359</v>
      </c>
    </row>
    <row r="5" spans="1:30" ht="14.4" x14ac:dyDescent="0.3">
      <c r="A5" s="15">
        <v>125</v>
      </c>
      <c r="B5" s="7" t="s">
        <v>3</v>
      </c>
      <c r="C5" s="22" t="s">
        <v>14</v>
      </c>
      <c r="D5" s="23">
        <v>4000</v>
      </c>
      <c r="E5" s="24">
        <v>0.1</v>
      </c>
      <c r="F5" s="25">
        <v>18</v>
      </c>
      <c r="G5" s="26">
        <f t="shared" ref="G5:G14" si="4">F5+F5*E5</f>
        <v>19.8</v>
      </c>
      <c r="H5" s="27">
        <f t="shared" ref="H5:H14" si="5">(G5*D5)/1000</f>
        <v>79.2</v>
      </c>
      <c r="I5" s="27">
        <f>C26</f>
        <v>2.04</v>
      </c>
      <c r="J5" s="89">
        <f t="shared" ref="J5:J14" si="6">H5*I5</f>
        <v>161.56800000000001</v>
      </c>
      <c r="K5" s="84">
        <f>E36</f>
        <v>1.1438383838383839E-3</v>
      </c>
      <c r="L5" s="28">
        <f t="shared" si="0"/>
        <v>4.5753535353535355</v>
      </c>
      <c r="M5" s="29">
        <f>A18*B18</f>
        <v>128</v>
      </c>
      <c r="N5" s="29">
        <f>C18</f>
        <v>450</v>
      </c>
      <c r="O5" s="29">
        <f>E18+F18*D18</f>
        <v>17.5</v>
      </c>
      <c r="P5" s="29">
        <f t="shared" si="1"/>
        <v>8.8888888888888893</v>
      </c>
      <c r="Q5" s="28">
        <f t="shared" ref="Q5:Q14" si="7">O5*P5</f>
        <v>155.55555555555557</v>
      </c>
      <c r="R5" s="26">
        <f t="shared" ref="R5:R14" si="8">Q5+L5+J5+M5</f>
        <v>449.69890909090913</v>
      </c>
      <c r="S5" s="26">
        <f>G18</f>
        <v>0.3</v>
      </c>
      <c r="T5" s="26">
        <f t="shared" ref="T5:T14" si="9">R5+R5*S5</f>
        <v>584.60858181818185</v>
      </c>
      <c r="U5" s="27">
        <f t="shared" si="2"/>
        <v>0.14615214545454547</v>
      </c>
      <c r="V5" s="78">
        <f>E19+F19*D19</f>
        <v>11.25</v>
      </c>
      <c r="W5" s="78">
        <f t="shared" ref="W5:W14" si="10">V5*P5</f>
        <v>100</v>
      </c>
      <c r="X5" s="92">
        <f t="shared" ref="X5:X14" si="11">W5+M5+L5+J5</f>
        <v>394.14335353535353</v>
      </c>
      <c r="Y5" s="78">
        <f>G18</f>
        <v>0.3</v>
      </c>
      <c r="Z5" s="26">
        <f t="shared" ref="Z5:Z14" si="12">X5+X5*Y5</f>
        <v>512.38635959595956</v>
      </c>
      <c r="AA5" s="78">
        <f t="shared" si="3"/>
        <v>0.12809658989898989</v>
      </c>
      <c r="AB5" s="30">
        <v>160</v>
      </c>
      <c r="AC5" s="31">
        <f>U5*2+(U5*2*80/100)</f>
        <v>0.52614772363636364</v>
      </c>
      <c r="AD5" s="31">
        <f>AA5*2+(AA5*2*80/100)</f>
        <v>0.46114772363636358</v>
      </c>
    </row>
    <row r="6" spans="1:30" ht="14.4" x14ac:dyDescent="0.3">
      <c r="A6" s="15">
        <v>125</v>
      </c>
      <c r="B6" s="7" t="s">
        <v>4</v>
      </c>
      <c r="C6" s="22" t="s">
        <v>15</v>
      </c>
      <c r="D6" s="23">
        <v>7500</v>
      </c>
      <c r="E6" s="24">
        <v>7.0000000000000007E-2</v>
      </c>
      <c r="F6" s="25">
        <v>18</v>
      </c>
      <c r="G6" s="26">
        <f t="shared" si="4"/>
        <v>19.260000000000002</v>
      </c>
      <c r="H6" s="27">
        <f t="shared" si="5"/>
        <v>144.44999999999999</v>
      </c>
      <c r="I6" s="27">
        <f>C26</f>
        <v>2.04</v>
      </c>
      <c r="J6" s="89">
        <f t="shared" si="6"/>
        <v>294.678</v>
      </c>
      <c r="K6" s="84">
        <f>E36</f>
        <v>1.1438383838383839E-3</v>
      </c>
      <c r="L6" s="28">
        <f t="shared" si="0"/>
        <v>8.57878787878788</v>
      </c>
      <c r="M6" s="29">
        <f>A18*B18</f>
        <v>128</v>
      </c>
      <c r="N6" s="29">
        <f>C18</f>
        <v>450</v>
      </c>
      <c r="O6" s="29">
        <f>E18+F18*D18</f>
        <v>17.5</v>
      </c>
      <c r="P6" s="29">
        <f t="shared" si="1"/>
        <v>16.666666666666668</v>
      </c>
      <c r="Q6" s="28">
        <f t="shared" si="7"/>
        <v>291.66666666666669</v>
      </c>
      <c r="R6" s="26">
        <f t="shared" si="8"/>
        <v>722.92345454545455</v>
      </c>
      <c r="S6" s="26">
        <f>G18</f>
        <v>0.3</v>
      </c>
      <c r="T6" s="26">
        <f t="shared" si="9"/>
        <v>939.80049090909097</v>
      </c>
      <c r="U6" s="27">
        <f t="shared" si="2"/>
        <v>0.12530673212121213</v>
      </c>
      <c r="V6" s="78">
        <f>E19+F19*D19</f>
        <v>11.25</v>
      </c>
      <c r="W6" s="78">
        <f t="shared" si="10"/>
        <v>187.5</v>
      </c>
      <c r="X6" s="92">
        <f t="shared" si="11"/>
        <v>618.75678787878792</v>
      </c>
      <c r="Y6" s="78">
        <f>G18</f>
        <v>0.3</v>
      </c>
      <c r="Z6" s="26">
        <f t="shared" si="12"/>
        <v>804.38382424242423</v>
      </c>
      <c r="AA6" s="78">
        <f t="shared" si="3"/>
        <v>0.10725117656565657</v>
      </c>
      <c r="AB6" s="30">
        <v>140</v>
      </c>
      <c r="AC6" s="31">
        <f>U6*2+(U6*2*80/100)</f>
        <v>0.45110423563636365</v>
      </c>
      <c r="AD6" s="31">
        <f>AA6*2+(AA6*2*80/100)</f>
        <v>0.38610423563636365</v>
      </c>
    </row>
    <row r="7" spans="1:30" ht="14.4" x14ac:dyDescent="0.3">
      <c r="A7" s="15">
        <v>125</v>
      </c>
      <c r="B7" s="7" t="s">
        <v>5</v>
      </c>
      <c r="C7" s="22" t="s">
        <v>16</v>
      </c>
      <c r="D7" s="23">
        <v>12500</v>
      </c>
      <c r="E7" s="24">
        <v>7.0000000000000007E-2</v>
      </c>
      <c r="F7" s="25">
        <v>18</v>
      </c>
      <c r="G7" s="26">
        <f t="shared" si="4"/>
        <v>19.260000000000002</v>
      </c>
      <c r="H7" s="27">
        <f t="shared" si="5"/>
        <v>240.75000000000003</v>
      </c>
      <c r="I7" s="27">
        <f>C26</f>
        <v>2.04</v>
      </c>
      <c r="J7" s="89">
        <f t="shared" si="6"/>
        <v>491.13000000000005</v>
      </c>
      <c r="K7" s="84">
        <f>E36</f>
        <v>1.1438383838383839E-3</v>
      </c>
      <c r="L7" s="28">
        <f t="shared" si="0"/>
        <v>14.297979797979799</v>
      </c>
      <c r="M7" s="29">
        <f>A18*B18</f>
        <v>128</v>
      </c>
      <c r="N7" s="29">
        <f>C18</f>
        <v>450</v>
      </c>
      <c r="O7" s="29">
        <f>E18+F18*D18</f>
        <v>17.5</v>
      </c>
      <c r="P7" s="29">
        <f t="shared" si="1"/>
        <v>27.777777777777779</v>
      </c>
      <c r="Q7" s="28">
        <f t="shared" si="7"/>
        <v>486.11111111111114</v>
      </c>
      <c r="R7" s="26">
        <f t="shared" si="8"/>
        <v>1119.5390909090911</v>
      </c>
      <c r="S7" s="26">
        <f>G18</f>
        <v>0.3</v>
      </c>
      <c r="T7" s="26">
        <f t="shared" si="9"/>
        <v>1455.4008181818185</v>
      </c>
      <c r="U7" s="27">
        <f t="shared" si="2"/>
        <v>0.11643206545454549</v>
      </c>
      <c r="V7" s="78">
        <f>E19+F19*D19</f>
        <v>11.25</v>
      </c>
      <c r="W7" s="78">
        <f t="shared" si="10"/>
        <v>312.5</v>
      </c>
      <c r="X7" s="92">
        <f t="shared" si="11"/>
        <v>945.92797979797979</v>
      </c>
      <c r="Y7" s="78">
        <f>G18</f>
        <v>0.3</v>
      </c>
      <c r="Z7" s="26">
        <f t="shared" si="12"/>
        <v>1229.7063737373737</v>
      </c>
      <c r="AA7" s="78">
        <f t="shared" si="3"/>
        <v>9.8376509898989897E-2</v>
      </c>
      <c r="AB7" s="30">
        <v>85</v>
      </c>
      <c r="AC7" s="31">
        <f>U7+U7*AB7/100</f>
        <v>0.21539932109090915</v>
      </c>
      <c r="AD7" s="31">
        <f>AA7+AA7*AB7/100</f>
        <v>0.18199654331313131</v>
      </c>
    </row>
    <row r="8" spans="1:30" ht="14.4" x14ac:dyDescent="0.3">
      <c r="A8" s="15">
        <v>125</v>
      </c>
      <c r="B8" s="7" t="s">
        <v>6</v>
      </c>
      <c r="C8" s="22" t="s">
        <v>17</v>
      </c>
      <c r="D8" s="23">
        <v>17500</v>
      </c>
      <c r="E8" s="24">
        <v>7.0000000000000007E-2</v>
      </c>
      <c r="F8" s="25">
        <v>18</v>
      </c>
      <c r="G8" s="26">
        <f t="shared" si="4"/>
        <v>19.260000000000002</v>
      </c>
      <c r="H8" s="27">
        <f t="shared" si="5"/>
        <v>337.05</v>
      </c>
      <c r="I8" s="27">
        <f>C26</f>
        <v>2.04</v>
      </c>
      <c r="J8" s="89">
        <f t="shared" si="6"/>
        <v>687.58199999999999</v>
      </c>
      <c r="K8" s="84">
        <f>E36</f>
        <v>1.1438383838383839E-3</v>
      </c>
      <c r="L8" s="28">
        <f t="shared" si="0"/>
        <v>20.017171717171717</v>
      </c>
      <c r="M8" s="29">
        <f>A18*B18</f>
        <v>128</v>
      </c>
      <c r="N8" s="29">
        <f>C18</f>
        <v>450</v>
      </c>
      <c r="O8" s="29">
        <f>E18+F18*D18</f>
        <v>17.5</v>
      </c>
      <c r="P8" s="29">
        <f t="shared" si="1"/>
        <v>38.888888888888886</v>
      </c>
      <c r="Q8" s="28">
        <f t="shared" si="7"/>
        <v>680.55555555555554</v>
      </c>
      <c r="R8" s="26">
        <f t="shared" si="8"/>
        <v>1516.1547272727271</v>
      </c>
      <c r="S8" s="26">
        <f>G18</f>
        <v>0.3</v>
      </c>
      <c r="T8" s="26">
        <f t="shared" si="9"/>
        <v>1971.0011454545452</v>
      </c>
      <c r="U8" s="27">
        <f t="shared" si="2"/>
        <v>0.11262863688311686</v>
      </c>
      <c r="V8" s="78">
        <f>E19+F19*D19</f>
        <v>11.25</v>
      </c>
      <c r="W8" s="78">
        <f t="shared" si="10"/>
        <v>437.49999999999994</v>
      </c>
      <c r="X8" s="92">
        <f t="shared" si="11"/>
        <v>1273.0991717171717</v>
      </c>
      <c r="Y8" s="78">
        <f>G18</f>
        <v>0.3</v>
      </c>
      <c r="Z8" s="26">
        <f t="shared" si="12"/>
        <v>1655.0289232323232</v>
      </c>
      <c r="AA8" s="78">
        <f t="shared" si="3"/>
        <v>9.4573081327561329E-2</v>
      </c>
      <c r="AB8" s="30">
        <v>80</v>
      </c>
      <c r="AC8" s="31">
        <f t="shared" ref="AC8:AC14" si="13">U8+U8*AB8/100</f>
        <v>0.20273154638961036</v>
      </c>
      <c r="AD8" s="31">
        <f t="shared" ref="AD8:AD14" si="14">AA8+AA8*AB8/100</f>
        <v>0.17023154638961038</v>
      </c>
    </row>
    <row r="9" spans="1:30" ht="14.4" x14ac:dyDescent="0.3">
      <c r="A9" s="15">
        <v>125</v>
      </c>
      <c r="B9" s="7" t="s">
        <v>7</v>
      </c>
      <c r="C9" s="22" t="s">
        <v>18</v>
      </c>
      <c r="D9" s="23">
        <v>25000</v>
      </c>
      <c r="E9" s="24">
        <v>0.05</v>
      </c>
      <c r="F9" s="25">
        <v>18</v>
      </c>
      <c r="G9" s="26">
        <f t="shared" si="4"/>
        <v>18.899999999999999</v>
      </c>
      <c r="H9" s="27">
        <f t="shared" si="5"/>
        <v>472.49999999999994</v>
      </c>
      <c r="I9" s="27">
        <f>C26</f>
        <v>2.04</v>
      </c>
      <c r="J9" s="89">
        <f t="shared" si="6"/>
        <v>963.89999999999986</v>
      </c>
      <c r="K9" s="84">
        <f>E36</f>
        <v>1.1438383838383839E-3</v>
      </c>
      <c r="L9" s="28">
        <f t="shared" si="0"/>
        <v>28.595959595959599</v>
      </c>
      <c r="M9" s="29">
        <f>A18*B18</f>
        <v>128</v>
      </c>
      <c r="N9" s="29">
        <f>C18</f>
        <v>450</v>
      </c>
      <c r="O9" s="29">
        <f>E18+F18*D18</f>
        <v>17.5</v>
      </c>
      <c r="P9" s="29">
        <f t="shared" si="1"/>
        <v>55.555555555555557</v>
      </c>
      <c r="Q9" s="28">
        <f t="shared" si="7"/>
        <v>972.22222222222229</v>
      </c>
      <c r="R9" s="26">
        <f t="shared" si="8"/>
        <v>2092.7181818181816</v>
      </c>
      <c r="S9" s="26">
        <f>G18</f>
        <v>0.3</v>
      </c>
      <c r="T9" s="26">
        <f t="shared" si="9"/>
        <v>2720.5336363636361</v>
      </c>
      <c r="U9" s="27">
        <f t="shared" si="2"/>
        <v>0.10882134545454544</v>
      </c>
      <c r="V9" s="78">
        <f>E19+F19*D19</f>
        <v>11.25</v>
      </c>
      <c r="W9" s="78">
        <f t="shared" si="10"/>
        <v>625</v>
      </c>
      <c r="X9" s="92">
        <f t="shared" si="11"/>
        <v>1745.4959595959594</v>
      </c>
      <c r="Y9" s="78">
        <f>G18</f>
        <v>0.3</v>
      </c>
      <c r="Z9" s="26">
        <f t="shared" si="12"/>
        <v>2269.1447474747474</v>
      </c>
      <c r="AA9" s="78">
        <f t="shared" si="3"/>
        <v>9.0765789898989896E-2</v>
      </c>
      <c r="AB9" s="30">
        <v>75</v>
      </c>
      <c r="AC9" s="31">
        <f t="shared" si="13"/>
        <v>0.19043735454545452</v>
      </c>
      <c r="AD9" s="31">
        <f t="shared" si="14"/>
        <v>0.15884013232323232</v>
      </c>
    </row>
    <row r="10" spans="1:30" ht="14.4" x14ac:dyDescent="0.3">
      <c r="A10" s="15">
        <v>125</v>
      </c>
      <c r="B10" s="7" t="s">
        <v>8</v>
      </c>
      <c r="C10" s="22" t="s">
        <v>19</v>
      </c>
      <c r="D10" s="23">
        <v>35000</v>
      </c>
      <c r="E10" s="24">
        <v>0.05</v>
      </c>
      <c r="F10" s="25">
        <v>18</v>
      </c>
      <c r="G10" s="26">
        <f t="shared" si="4"/>
        <v>18.899999999999999</v>
      </c>
      <c r="H10" s="27">
        <f t="shared" si="5"/>
        <v>661.5</v>
      </c>
      <c r="I10" s="27">
        <f>C26</f>
        <v>2.04</v>
      </c>
      <c r="J10" s="89">
        <f t="shared" si="6"/>
        <v>1349.46</v>
      </c>
      <c r="K10" s="84">
        <f>E36</f>
        <v>1.1438383838383839E-3</v>
      </c>
      <c r="L10" s="28">
        <f t="shared" si="0"/>
        <v>40.034343434343434</v>
      </c>
      <c r="M10" s="29">
        <f>A18*B18</f>
        <v>128</v>
      </c>
      <c r="N10" s="29">
        <f>C18</f>
        <v>450</v>
      </c>
      <c r="O10" s="29">
        <f>E18+F18*D18</f>
        <v>17.5</v>
      </c>
      <c r="P10" s="29">
        <f t="shared" si="1"/>
        <v>77.777777777777771</v>
      </c>
      <c r="Q10" s="28">
        <f t="shared" si="7"/>
        <v>1361.1111111111111</v>
      </c>
      <c r="R10" s="26">
        <f t="shared" si="8"/>
        <v>2878.6054545454544</v>
      </c>
      <c r="S10" s="26">
        <f>G18</f>
        <v>0.3</v>
      </c>
      <c r="T10" s="26">
        <f t="shared" si="9"/>
        <v>3742.1870909090908</v>
      </c>
      <c r="U10" s="27">
        <f t="shared" si="2"/>
        <v>0.10691963116883116</v>
      </c>
      <c r="V10" s="78">
        <f>E19+F19*D19</f>
        <v>11.25</v>
      </c>
      <c r="W10" s="78">
        <f t="shared" si="10"/>
        <v>874.99999999999989</v>
      </c>
      <c r="X10" s="92">
        <f t="shared" si="11"/>
        <v>2392.4943434343431</v>
      </c>
      <c r="Y10" s="78">
        <f>G18</f>
        <v>0.3</v>
      </c>
      <c r="Z10" s="26">
        <f t="shared" si="12"/>
        <v>3110.242646464646</v>
      </c>
      <c r="AA10" s="78">
        <f t="shared" si="3"/>
        <v>8.8864075613275598E-2</v>
      </c>
      <c r="AB10" s="30">
        <v>75</v>
      </c>
      <c r="AC10" s="31">
        <f t="shared" si="13"/>
        <v>0.18710935454545452</v>
      </c>
      <c r="AD10" s="31">
        <f t="shared" si="14"/>
        <v>0.1555121323232323</v>
      </c>
    </row>
    <row r="11" spans="1:30" ht="14.4" x14ac:dyDescent="0.3">
      <c r="A11" s="15">
        <v>125</v>
      </c>
      <c r="B11" s="7" t="s">
        <v>9</v>
      </c>
      <c r="C11" s="22" t="s">
        <v>20</v>
      </c>
      <c r="D11" s="23">
        <v>45000</v>
      </c>
      <c r="E11" s="24">
        <v>0.05</v>
      </c>
      <c r="F11" s="25">
        <v>18</v>
      </c>
      <c r="G11" s="26">
        <f t="shared" si="4"/>
        <v>18.899999999999999</v>
      </c>
      <c r="H11" s="27">
        <f t="shared" si="5"/>
        <v>850.49999999999989</v>
      </c>
      <c r="I11" s="27">
        <f>C26</f>
        <v>2.04</v>
      </c>
      <c r="J11" s="89">
        <f t="shared" si="6"/>
        <v>1735.0199999999998</v>
      </c>
      <c r="K11" s="84">
        <f>E36</f>
        <v>1.1438383838383839E-3</v>
      </c>
      <c r="L11" s="28">
        <f t="shared" si="0"/>
        <v>51.472727272727276</v>
      </c>
      <c r="M11" s="29">
        <f>A18*B18</f>
        <v>128</v>
      </c>
      <c r="N11" s="29">
        <f>C18</f>
        <v>450</v>
      </c>
      <c r="O11" s="29">
        <f>E18+F18*D18</f>
        <v>17.5</v>
      </c>
      <c r="P11" s="29">
        <f t="shared" si="1"/>
        <v>100</v>
      </c>
      <c r="Q11" s="28">
        <f t="shared" si="7"/>
        <v>1750</v>
      </c>
      <c r="R11" s="26">
        <f t="shared" si="8"/>
        <v>3664.4927272727273</v>
      </c>
      <c r="S11" s="26">
        <f>G18</f>
        <v>0.3</v>
      </c>
      <c r="T11" s="26">
        <f t="shared" si="9"/>
        <v>4763.8405454545455</v>
      </c>
      <c r="U11" s="27">
        <f t="shared" si="2"/>
        <v>0.10586312323232323</v>
      </c>
      <c r="V11" s="78">
        <f>E19+F19*D19</f>
        <v>11.25</v>
      </c>
      <c r="W11" s="78">
        <f t="shared" si="10"/>
        <v>1125</v>
      </c>
      <c r="X11" s="92">
        <f t="shared" si="11"/>
        <v>3039.4927272727273</v>
      </c>
      <c r="Y11" s="78">
        <f>G18</f>
        <v>0.3</v>
      </c>
      <c r="Z11" s="26">
        <f t="shared" si="12"/>
        <v>3951.3405454545455</v>
      </c>
      <c r="AA11" s="78">
        <f t="shared" si="3"/>
        <v>8.7807567676767673E-2</v>
      </c>
      <c r="AB11" s="30">
        <v>70</v>
      </c>
      <c r="AC11" s="31">
        <f t="shared" si="13"/>
        <v>0.17996730949494949</v>
      </c>
      <c r="AD11" s="31">
        <f t="shared" si="14"/>
        <v>0.14927286505050505</v>
      </c>
    </row>
    <row r="12" spans="1:30" ht="14.4" x14ac:dyDescent="0.3">
      <c r="A12" s="15">
        <v>125</v>
      </c>
      <c r="B12" s="7" t="s">
        <v>10</v>
      </c>
      <c r="C12" s="22" t="s">
        <v>21</v>
      </c>
      <c r="D12" s="23">
        <v>75000</v>
      </c>
      <c r="E12" s="24">
        <v>0.05</v>
      </c>
      <c r="F12" s="25">
        <v>18</v>
      </c>
      <c r="G12" s="26">
        <f t="shared" si="4"/>
        <v>18.899999999999999</v>
      </c>
      <c r="H12" s="27">
        <f t="shared" si="5"/>
        <v>1417.5</v>
      </c>
      <c r="I12" s="27">
        <f>C26</f>
        <v>2.04</v>
      </c>
      <c r="J12" s="89">
        <f t="shared" si="6"/>
        <v>2891.7000000000003</v>
      </c>
      <c r="K12" s="84">
        <f>E36</f>
        <v>1.1438383838383839E-3</v>
      </c>
      <c r="L12" s="28">
        <f t="shared" si="0"/>
        <v>85.787878787878796</v>
      </c>
      <c r="M12" s="29">
        <f>A18*B18</f>
        <v>128</v>
      </c>
      <c r="N12" s="29">
        <f>C18</f>
        <v>450</v>
      </c>
      <c r="O12" s="29">
        <f>E18+F18*D18</f>
        <v>17.5</v>
      </c>
      <c r="P12" s="29">
        <f t="shared" si="1"/>
        <v>166.66666666666666</v>
      </c>
      <c r="Q12" s="28">
        <f>O12*P12</f>
        <v>2916.6666666666665</v>
      </c>
      <c r="R12" s="26">
        <f t="shared" si="8"/>
        <v>6022.1545454545458</v>
      </c>
      <c r="S12" s="26">
        <f>G18</f>
        <v>0.3</v>
      </c>
      <c r="T12" s="26">
        <f t="shared" si="9"/>
        <v>7828.800909090909</v>
      </c>
      <c r="U12" s="27">
        <f t="shared" si="2"/>
        <v>0.10438401212121212</v>
      </c>
      <c r="V12" s="78">
        <f>E19+F19*D19</f>
        <v>11.25</v>
      </c>
      <c r="W12" s="78">
        <f t="shared" si="10"/>
        <v>1875</v>
      </c>
      <c r="X12" s="92">
        <f t="shared" si="11"/>
        <v>4980.4878787878788</v>
      </c>
      <c r="Y12" s="78">
        <f>G18</f>
        <v>0.3</v>
      </c>
      <c r="Z12" s="26">
        <f t="shared" si="12"/>
        <v>6474.6342424242421</v>
      </c>
      <c r="AA12" s="78">
        <f t="shared" si="3"/>
        <v>8.6328456565656561E-2</v>
      </c>
      <c r="AB12" s="30">
        <v>70</v>
      </c>
      <c r="AC12" s="31">
        <f t="shared" si="13"/>
        <v>0.1774528206060606</v>
      </c>
      <c r="AD12" s="31">
        <f t="shared" si="14"/>
        <v>0.14675837616161613</v>
      </c>
    </row>
    <row r="13" spans="1:30" ht="14.4" x14ac:dyDescent="0.3">
      <c r="A13" s="15">
        <v>125</v>
      </c>
      <c r="B13" s="7" t="s">
        <v>11</v>
      </c>
      <c r="C13" s="22" t="s">
        <v>22</v>
      </c>
      <c r="D13" s="23">
        <v>125000</v>
      </c>
      <c r="E13" s="24">
        <v>0.03</v>
      </c>
      <c r="F13" s="25">
        <v>18</v>
      </c>
      <c r="G13" s="26">
        <f t="shared" si="4"/>
        <v>18.54</v>
      </c>
      <c r="H13" s="27">
        <f t="shared" si="5"/>
        <v>2317.5</v>
      </c>
      <c r="I13" s="27">
        <f>C26</f>
        <v>2.04</v>
      </c>
      <c r="J13" s="89">
        <f t="shared" si="6"/>
        <v>4727.7</v>
      </c>
      <c r="K13" s="84">
        <f>E36</f>
        <v>1.1438383838383839E-3</v>
      </c>
      <c r="L13" s="28">
        <f t="shared" si="0"/>
        <v>142.97979797979798</v>
      </c>
      <c r="M13" s="29">
        <f>A18*B18</f>
        <v>128</v>
      </c>
      <c r="N13" s="29">
        <f>C18</f>
        <v>450</v>
      </c>
      <c r="O13" s="29">
        <f>E18+F18*D18</f>
        <v>17.5</v>
      </c>
      <c r="P13" s="29">
        <f t="shared" si="1"/>
        <v>277.77777777777777</v>
      </c>
      <c r="Q13" s="28">
        <f t="shared" si="7"/>
        <v>4861.1111111111113</v>
      </c>
      <c r="R13" s="26">
        <f t="shared" si="8"/>
        <v>9859.7909090909088</v>
      </c>
      <c r="S13" s="26">
        <f>G18</f>
        <v>0.3</v>
      </c>
      <c r="T13" s="26">
        <f t="shared" si="9"/>
        <v>12817.728181818182</v>
      </c>
      <c r="U13" s="27">
        <f t="shared" si="2"/>
        <v>0.10254182545454546</v>
      </c>
      <c r="V13" s="78">
        <f>E19+F19*D19</f>
        <v>11.25</v>
      </c>
      <c r="W13" s="78">
        <f t="shared" si="10"/>
        <v>3125</v>
      </c>
      <c r="X13" s="92">
        <f t="shared" si="11"/>
        <v>8123.6797979797975</v>
      </c>
      <c r="Y13" s="78">
        <f>G18</f>
        <v>0.3</v>
      </c>
      <c r="Z13" s="26">
        <f t="shared" si="12"/>
        <v>10560.783737373737</v>
      </c>
      <c r="AA13" s="78">
        <f t="shared" si="3"/>
        <v>8.4486269898989899E-2</v>
      </c>
      <c r="AB13" s="30">
        <v>65</v>
      </c>
      <c r="AC13" s="31">
        <f t="shared" si="13"/>
        <v>0.169194012</v>
      </c>
      <c r="AD13" s="31">
        <f t="shared" si="14"/>
        <v>0.13940234533333334</v>
      </c>
    </row>
    <row r="14" spans="1:30" ht="15" thickBot="1" x14ac:dyDescent="0.35">
      <c r="A14" s="15">
        <v>125</v>
      </c>
      <c r="B14" s="7" t="s">
        <v>12</v>
      </c>
      <c r="C14" s="22" t="s">
        <v>23</v>
      </c>
      <c r="D14" s="23">
        <v>200000</v>
      </c>
      <c r="E14" s="24">
        <v>0.03</v>
      </c>
      <c r="F14" s="25">
        <v>18</v>
      </c>
      <c r="G14" s="26">
        <f t="shared" si="4"/>
        <v>18.54</v>
      </c>
      <c r="H14" s="27">
        <f t="shared" si="5"/>
        <v>3708</v>
      </c>
      <c r="I14" s="27">
        <f>C26</f>
        <v>2.04</v>
      </c>
      <c r="J14" s="89">
        <f t="shared" si="6"/>
        <v>7564.32</v>
      </c>
      <c r="K14" s="84">
        <f>E36</f>
        <v>1.1438383838383839E-3</v>
      </c>
      <c r="L14" s="28">
        <f t="shared" si="0"/>
        <v>228.76767676767679</v>
      </c>
      <c r="M14" s="29">
        <f>A18*B18</f>
        <v>128</v>
      </c>
      <c r="N14" s="29">
        <f>C18</f>
        <v>450</v>
      </c>
      <c r="O14" s="29">
        <f>E18+F18*D18</f>
        <v>17.5</v>
      </c>
      <c r="P14" s="29">
        <f t="shared" si="1"/>
        <v>444.44444444444446</v>
      </c>
      <c r="Q14" s="28">
        <f t="shared" si="7"/>
        <v>7777.7777777777783</v>
      </c>
      <c r="R14" s="26">
        <f t="shared" si="8"/>
        <v>15698.865454545456</v>
      </c>
      <c r="S14" s="26">
        <f>G18</f>
        <v>0.3</v>
      </c>
      <c r="T14" s="26">
        <f t="shared" si="9"/>
        <v>20408.52509090909</v>
      </c>
      <c r="U14" s="27">
        <f t="shared" si="2"/>
        <v>0.10204262545454545</v>
      </c>
      <c r="V14" s="78">
        <f>E19+F19*D19</f>
        <v>11.25</v>
      </c>
      <c r="W14" s="78">
        <f t="shared" si="10"/>
        <v>5000</v>
      </c>
      <c r="X14" s="92">
        <f t="shared" si="11"/>
        <v>12921.087676767676</v>
      </c>
      <c r="Y14" s="78">
        <f>G18</f>
        <v>0.3</v>
      </c>
      <c r="Z14" s="26">
        <f t="shared" si="12"/>
        <v>16797.413979797981</v>
      </c>
      <c r="AA14" s="78">
        <f t="shared" si="3"/>
        <v>8.3987069898989908E-2</v>
      </c>
      <c r="AB14" s="30">
        <v>60</v>
      </c>
      <c r="AC14" s="32">
        <f t="shared" si="13"/>
        <v>0.16326820072727272</v>
      </c>
      <c r="AD14" s="32">
        <f t="shared" si="14"/>
        <v>0.13437931183838386</v>
      </c>
    </row>
    <row r="15" spans="1:30" ht="14.4" thickBot="1" x14ac:dyDescent="0.35"/>
    <row r="16" spans="1:30" x14ac:dyDescent="0.3">
      <c r="A16" s="33" t="s">
        <v>27</v>
      </c>
      <c r="B16" s="34"/>
      <c r="C16" s="34"/>
      <c r="D16" s="34"/>
      <c r="E16" s="34"/>
      <c r="F16" s="34"/>
      <c r="G16" s="35"/>
      <c r="AC16" s="80"/>
    </row>
    <row r="17" spans="1:12" x14ac:dyDescent="0.3">
      <c r="A17" s="36" t="s">
        <v>28</v>
      </c>
      <c r="B17" s="37" t="s">
        <v>29</v>
      </c>
      <c r="C17" s="37" t="s">
        <v>30</v>
      </c>
      <c r="D17" s="37" t="s">
        <v>31</v>
      </c>
      <c r="E17" s="37" t="s">
        <v>32</v>
      </c>
      <c r="F17" s="37" t="s">
        <v>33</v>
      </c>
      <c r="G17" s="38" t="s">
        <v>34</v>
      </c>
      <c r="J17" s="39"/>
      <c r="K17" s="85"/>
      <c r="L17" s="14" t="s">
        <v>59</v>
      </c>
    </row>
    <row r="18" spans="1:12" ht="14.4" thickBot="1" x14ac:dyDescent="0.35">
      <c r="A18" s="40">
        <v>4</v>
      </c>
      <c r="B18" s="41">
        <v>32</v>
      </c>
      <c r="C18" s="41">
        <v>450</v>
      </c>
      <c r="D18" s="41">
        <v>0.5</v>
      </c>
      <c r="E18" s="41">
        <v>5</v>
      </c>
      <c r="F18" s="42">
        <v>25</v>
      </c>
      <c r="G18" s="43">
        <v>0.3</v>
      </c>
    </row>
    <row r="19" spans="1:12" ht="14.4" thickBot="1" x14ac:dyDescent="0.35">
      <c r="A19" s="40">
        <v>4</v>
      </c>
      <c r="B19" s="41">
        <v>32</v>
      </c>
      <c r="C19" s="41">
        <v>450</v>
      </c>
      <c r="D19" s="41">
        <v>0.25</v>
      </c>
      <c r="E19" s="41">
        <v>5</v>
      </c>
      <c r="F19" s="42">
        <v>25</v>
      </c>
      <c r="G19" s="43">
        <v>0.3</v>
      </c>
    </row>
    <row r="20" spans="1:12" ht="14.4" thickBot="1" x14ac:dyDescent="0.35">
      <c r="J20" s="44"/>
      <c r="K20" s="86"/>
      <c r="L20" s="14" t="s">
        <v>60</v>
      </c>
    </row>
    <row r="21" spans="1:12" x14ac:dyDescent="0.3">
      <c r="A21" s="45" t="s">
        <v>35</v>
      </c>
      <c r="B21" s="46"/>
      <c r="C21" s="46" t="s">
        <v>36</v>
      </c>
      <c r="D21" s="47" t="s">
        <v>37</v>
      </c>
    </row>
    <row r="22" spans="1:12" x14ac:dyDescent="0.3">
      <c r="A22" s="48" t="s">
        <v>40</v>
      </c>
      <c r="B22" s="49">
        <v>1.5</v>
      </c>
      <c r="C22" s="50">
        <v>96</v>
      </c>
      <c r="D22" s="51"/>
    </row>
    <row r="23" spans="1:12" x14ac:dyDescent="0.3">
      <c r="A23" s="48" t="s">
        <v>40</v>
      </c>
      <c r="B23" s="49">
        <v>15</v>
      </c>
      <c r="C23" s="50">
        <v>4</v>
      </c>
      <c r="D23" s="51"/>
    </row>
    <row r="24" spans="1:12" x14ac:dyDescent="0.3">
      <c r="A24" s="48" t="s">
        <v>40</v>
      </c>
      <c r="B24" s="49">
        <v>0</v>
      </c>
      <c r="C24" s="50"/>
      <c r="D24" s="51"/>
    </row>
    <row r="25" spans="1:12" ht="14.4" thickBot="1" x14ac:dyDescent="0.35">
      <c r="A25" s="48" t="s">
        <v>44</v>
      </c>
      <c r="B25" s="49">
        <v>0</v>
      </c>
      <c r="C25" s="50"/>
      <c r="D25" s="51"/>
    </row>
    <row r="26" spans="1:12" ht="14.4" thickBot="1" x14ac:dyDescent="0.35">
      <c r="A26" s="52" t="s">
        <v>45</v>
      </c>
      <c r="B26" s="53">
        <f>SUM(B22:B25)</f>
        <v>16.5</v>
      </c>
      <c r="C26" s="54">
        <f>(B22*C22/100)+(B23*C23/100)+(B24*C24/100)+(B25*C25/100)</f>
        <v>2.04</v>
      </c>
      <c r="D26" s="55" t="s">
        <v>62</v>
      </c>
    </row>
    <row r="27" spans="1:12" ht="14.4" thickBot="1" x14ac:dyDescent="0.35"/>
    <row r="28" spans="1:12" x14ac:dyDescent="0.3">
      <c r="A28" s="56" t="s">
        <v>38</v>
      </c>
      <c r="B28" s="57"/>
      <c r="C28" s="58"/>
      <c r="D28" s="59" t="s">
        <v>39</v>
      </c>
      <c r="E28" s="60" t="s">
        <v>97</v>
      </c>
    </row>
    <row r="29" spans="1:12" x14ac:dyDescent="0.3">
      <c r="A29" s="61" t="s">
        <v>42</v>
      </c>
      <c r="B29" s="62">
        <v>1100</v>
      </c>
      <c r="C29" s="63"/>
      <c r="D29" s="64"/>
      <c r="E29" s="65"/>
    </row>
    <row r="30" spans="1:12" x14ac:dyDescent="0.3">
      <c r="A30" s="61" t="s">
        <v>86</v>
      </c>
      <c r="B30" s="62">
        <v>9</v>
      </c>
      <c r="C30" s="63" t="s">
        <v>41</v>
      </c>
      <c r="D30" s="66">
        <v>0.68100000000000005</v>
      </c>
      <c r="E30" s="65">
        <f>D30*B30</f>
        <v>6.1290000000000004</v>
      </c>
    </row>
    <row r="31" spans="1:12" x14ac:dyDescent="0.3">
      <c r="A31" s="61" t="s">
        <v>87</v>
      </c>
      <c r="B31" s="62">
        <f>B30*B29</f>
        <v>9900</v>
      </c>
      <c r="C31" s="67"/>
      <c r="D31" s="68"/>
      <c r="E31" s="65"/>
    </row>
    <row r="32" spans="1:12" x14ac:dyDescent="0.3">
      <c r="A32" s="61" t="s">
        <v>88</v>
      </c>
      <c r="B32" s="62">
        <v>9</v>
      </c>
      <c r="C32" s="63" t="s">
        <v>43</v>
      </c>
      <c r="D32" s="69">
        <v>0.13800000000000001</v>
      </c>
      <c r="E32" s="65">
        <f>D32*B32</f>
        <v>1.242</v>
      </c>
    </row>
    <row r="33" spans="1:5" x14ac:dyDescent="0.3">
      <c r="A33" s="61" t="s">
        <v>46</v>
      </c>
      <c r="B33" s="62">
        <f>B32*5</f>
        <v>45</v>
      </c>
      <c r="C33" s="63" t="s">
        <v>47</v>
      </c>
      <c r="D33" s="66">
        <v>4.3400000000000001E-2</v>
      </c>
      <c r="E33" s="65">
        <f>D33*B33</f>
        <v>1.9530000000000001</v>
      </c>
    </row>
    <row r="34" spans="1:5" ht="14.4" thickBot="1" x14ac:dyDescent="0.35">
      <c r="A34" s="70" t="s">
        <v>48</v>
      </c>
      <c r="B34" s="71" t="s">
        <v>49</v>
      </c>
      <c r="C34" s="72" t="s">
        <v>50</v>
      </c>
      <c r="D34" s="73">
        <v>2</v>
      </c>
      <c r="E34" s="74">
        <f>D34</f>
        <v>2</v>
      </c>
    </row>
    <row r="35" spans="1:5" ht="14.4" thickBot="1" x14ac:dyDescent="0.35">
      <c r="E35" s="75">
        <f>SUM(E29:E34)</f>
        <v>11.324</v>
      </c>
    </row>
    <row r="36" spans="1:5" ht="14.4" thickBot="1" x14ac:dyDescent="0.35">
      <c r="D36" s="76" t="s">
        <v>98</v>
      </c>
      <c r="E36" s="77">
        <f>E35/B31</f>
        <v>1.1438383838383839E-3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CABC2-021C-4689-BBB5-7FA28480F74A}">
  <dimension ref="A2:AD36"/>
  <sheetViews>
    <sheetView topLeftCell="P1" workbookViewId="0">
      <selection activeCell="Z5" sqref="Z5:Z14"/>
    </sheetView>
  </sheetViews>
  <sheetFormatPr defaultColWidth="9.109375" defaultRowHeight="13.8" x14ac:dyDescent="0.3"/>
  <cols>
    <col min="1" max="1" width="28.6640625" style="14" customWidth="1"/>
    <col min="2" max="2" width="10.109375" style="14" customWidth="1"/>
    <col min="3" max="3" width="21" style="14" customWidth="1"/>
    <col min="4" max="4" width="12.44140625" style="14" customWidth="1"/>
    <col min="5" max="5" width="21" style="14" customWidth="1"/>
    <col min="6" max="6" width="14.88671875" style="14" customWidth="1"/>
    <col min="7" max="7" width="23.5546875" style="14" customWidth="1"/>
    <col min="8" max="8" width="18.6640625" style="14" customWidth="1"/>
    <col min="9" max="9" width="0.109375" style="14" customWidth="1"/>
    <col min="10" max="10" width="9.5546875" style="14" bestFit="1" customWidth="1"/>
    <col min="11" max="11" width="15.33203125" style="82" customWidth="1"/>
    <col min="12" max="12" width="17.5546875" style="14" bestFit="1" customWidth="1"/>
    <col min="13" max="13" width="19.33203125" style="14" customWidth="1"/>
    <col min="14" max="14" width="9.109375" style="14" customWidth="1"/>
    <col min="15" max="15" width="22.88671875" style="14" customWidth="1"/>
    <col min="16" max="16" width="11.88671875" style="14" customWidth="1"/>
    <col min="17" max="17" width="23.5546875" style="14" bestFit="1" customWidth="1"/>
    <col min="18" max="18" width="24.33203125" style="14" customWidth="1"/>
    <col min="19" max="19" width="11" style="14" customWidth="1"/>
    <col min="20" max="20" width="35.5546875" style="14" bestFit="1" customWidth="1"/>
    <col min="21" max="21" width="14.6640625" style="14" bestFit="1" customWidth="1"/>
    <col min="22" max="27" width="14.6640625" style="14" customWidth="1"/>
    <col min="28" max="28" width="16.5546875" style="14" bestFit="1" customWidth="1"/>
    <col min="29" max="29" width="17.44140625" style="14" bestFit="1" customWidth="1"/>
    <col min="30" max="30" width="11.88671875" style="14" bestFit="1" customWidth="1"/>
    <col min="31" max="16384" width="9.109375" style="14"/>
  </cols>
  <sheetData>
    <row r="2" spans="1:30" ht="14.4" thickBot="1" x14ac:dyDescent="0.35"/>
    <row r="3" spans="1:30" ht="74.25" customHeight="1" thickBot="1" x14ac:dyDescent="0.35">
      <c r="A3" s="15" t="s">
        <v>57</v>
      </c>
      <c r="B3" s="15" t="s">
        <v>24</v>
      </c>
      <c r="C3" s="15" t="s">
        <v>25</v>
      </c>
      <c r="D3" s="15" t="s">
        <v>26</v>
      </c>
      <c r="E3" s="15" t="s">
        <v>55</v>
      </c>
      <c r="F3" s="15" t="s">
        <v>58</v>
      </c>
      <c r="G3" s="16" t="s">
        <v>51</v>
      </c>
      <c r="H3" s="17" t="s">
        <v>52</v>
      </c>
      <c r="I3" s="17" t="s">
        <v>61</v>
      </c>
      <c r="J3" s="90" t="s">
        <v>53</v>
      </c>
      <c r="K3" s="83" t="s">
        <v>99</v>
      </c>
      <c r="L3" s="18" t="s">
        <v>96</v>
      </c>
      <c r="M3" s="19" t="s">
        <v>54</v>
      </c>
      <c r="N3" s="19" t="s">
        <v>100</v>
      </c>
      <c r="O3" s="19" t="s">
        <v>108</v>
      </c>
      <c r="P3" s="19" t="s">
        <v>101</v>
      </c>
      <c r="Q3" s="91" t="s">
        <v>116</v>
      </c>
      <c r="R3" s="87" t="s">
        <v>107</v>
      </c>
      <c r="S3" s="88" t="s">
        <v>102</v>
      </c>
      <c r="T3" s="87" t="s">
        <v>104</v>
      </c>
      <c r="U3" s="87" t="s">
        <v>105</v>
      </c>
      <c r="V3" s="19" t="s">
        <v>109</v>
      </c>
      <c r="W3" s="20" t="s">
        <v>110</v>
      </c>
      <c r="X3" s="20"/>
      <c r="Y3" s="20"/>
      <c r="Z3" s="20" t="s">
        <v>111</v>
      </c>
      <c r="AA3" s="20" t="s">
        <v>112</v>
      </c>
      <c r="AB3" s="20" t="s">
        <v>103</v>
      </c>
      <c r="AC3" s="79" t="s">
        <v>106</v>
      </c>
      <c r="AD3" s="21" t="s">
        <v>113</v>
      </c>
    </row>
    <row r="4" spans="1:30" ht="14.4" x14ac:dyDescent="0.3">
      <c r="A4" s="15">
        <v>150</v>
      </c>
      <c r="B4" s="7" t="s">
        <v>2</v>
      </c>
      <c r="C4" s="22" t="s">
        <v>13</v>
      </c>
      <c r="D4" s="23">
        <v>2000</v>
      </c>
      <c r="E4" s="24">
        <v>0.1</v>
      </c>
      <c r="F4" s="25">
        <v>21</v>
      </c>
      <c r="G4" s="26">
        <f>F4+F4*E4</f>
        <v>23.1</v>
      </c>
      <c r="H4" s="27">
        <f>(G4*D4)/1000</f>
        <v>46.2</v>
      </c>
      <c r="I4" s="27">
        <f>C26</f>
        <v>2.08</v>
      </c>
      <c r="J4" s="89">
        <f>H4*I4</f>
        <v>96.096000000000004</v>
      </c>
      <c r="K4" s="84">
        <f>E36</f>
        <v>1.1438383838383839E-3</v>
      </c>
      <c r="L4" s="28">
        <f t="shared" ref="L4:L14" si="0">K4*D4</f>
        <v>2.2876767676767678</v>
      </c>
      <c r="M4" s="29">
        <f>A18*B18</f>
        <v>128</v>
      </c>
      <c r="N4" s="29">
        <f>C18</f>
        <v>450</v>
      </c>
      <c r="O4" s="29">
        <f>E18+F18*D18</f>
        <v>17.5</v>
      </c>
      <c r="P4" s="29">
        <f t="shared" ref="P4:P14" si="1">D4/N4</f>
        <v>4.4444444444444446</v>
      </c>
      <c r="Q4" s="28">
        <f>O4*P4</f>
        <v>77.777777777777786</v>
      </c>
      <c r="R4" s="26">
        <f>Q4+L4+J4+M4</f>
        <v>304.16145454545455</v>
      </c>
      <c r="S4" s="26">
        <f>G18</f>
        <v>0.3</v>
      </c>
      <c r="T4" s="26">
        <f>R4+R4*S4</f>
        <v>395.4098909090909</v>
      </c>
      <c r="U4" s="27">
        <f t="shared" ref="U4:U14" si="2">T4/D4</f>
        <v>0.19770494545454545</v>
      </c>
      <c r="V4" s="78">
        <f>E19+F19*D19</f>
        <v>11.25</v>
      </c>
      <c r="W4" s="78">
        <f>V4*P4</f>
        <v>50</v>
      </c>
      <c r="X4" s="92">
        <f>W4+M4+L4+J4</f>
        <v>276.38367676767677</v>
      </c>
      <c r="Y4" s="78">
        <f>G18</f>
        <v>0.3</v>
      </c>
      <c r="Z4" s="26">
        <f>X4+X4*Y4</f>
        <v>359.29877979797982</v>
      </c>
      <c r="AA4" s="78">
        <f t="shared" ref="AA4:AA14" si="3">Z4/D4</f>
        <v>0.1796493898989899</v>
      </c>
      <c r="AB4" s="30">
        <v>180</v>
      </c>
      <c r="AC4" s="81">
        <f>U4*2+(U4*2*80/100)</f>
        <v>0.71173780363636363</v>
      </c>
      <c r="AD4" s="81">
        <f>AA4*2+(AA4*2*80/100)</f>
        <v>0.64673780363636368</v>
      </c>
    </row>
    <row r="5" spans="1:30" ht="14.4" x14ac:dyDescent="0.3">
      <c r="A5" s="15">
        <v>150</v>
      </c>
      <c r="B5" s="7" t="s">
        <v>3</v>
      </c>
      <c r="C5" s="22" t="s">
        <v>14</v>
      </c>
      <c r="D5" s="23">
        <v>4000</v>
      </c>
      <c r="E5" s="24">
        <v>0.1</v>
      </c>
      <c r="F5" s="25">
        <v>21</v>
      </c>
      <c r="G5" s="26">
        <f t="shared" ref="G5:G14" si="4">F5+F5*E5</f>
        <v>23.1</v>
      </c>
      <c r="H5" s="27">
        <f t="shared" ref="H5:H14" si="5">(G5*D5)/1000</f>
        <v>92.4</v>
      </c>
      <c r="I5" s="27">
        <f>C26</f>
        <v>2.08</v>
      </c>
      <c r="J5" s="89">
        <f t="shared" ref="J5:J14" si="6">H5*I5</f>
        <v>192.19200000000001</v>
      </c>
      <c r="K5" s="84">
        <f>E36</f>
        <v>1.1438383838383839E-3</v>
      </c>
      <c r="L5" s="28">
        <f t="shared" si="0"/>
        <v>4.5753535353535355</v>
      </c>
      <c r="M5" s="29">
        <f>A18*B18</f>
        <v>128</v>
      </c>
      <c r="N5" s="29">
        <f>C18</f>
        <v>450</v>
      </c>
      <c r="O5" s="29">
        <f>E18+F18*D18</f>
        <v>17.5</v>
      </c>
      <c r="P5" s="29">
        <f t="shared" si="1"/>
        <v>8.8888888888888893</v>
      </c>
      <c r="Q5" s="28">
        <f t="shared" ref="Q5:Q14" si="7">O5*P5</f>
        <v>155.55555555555557</v>
      </c>
      <c r="R5" s="26">
        <f t="shared" ref="R5:R14" si="8">Q5+L5+J5+M5</f>
        <v>480.32290909090909</v>
      </c>
      <c r="S5" s="26">
        <f>G18</f>
        <v>0.3</v>
      </c>
      <c r="T5" s="26">
        <f t="shared" ref="T5:T14" si="9">R5+R5*S5</f>
        <v>624.41978181818183</v>
      </c>
      <c r="U5" s="27">
        <f t="shared" si="2"/>
        <v>0.15610494545454545</v>
      </c>
      <c r="V5" s="78">
        <f>E19+F19*D19</f>
        <v>11.25</v>
      </c>
      <c r="W5" s="78">
        <f t="shared" ref="W5:W14" si="10">V5*P5</f>
        <v>100</v>
      </c>
      <c r="X5" s="92">
        <f t="shared" ref="X5:X14" si="11">W5+M5+L5+J5</f>
        <v>424.76735353535355</v>
      </c>
      <c r="Y5" s="78">
        <f>G18</f>
        <v>0.3</v>
      </c>
      <c r="Z5" s="26">
        <f t="shared" ref="Z5:Z14" si="12">X5+X5*Y5</f>
        <v>552.19755959595955</v>
      </c>
      <c r="AA5" s="78">
        <f t="shared" si="3"/>
        <v>0.13804938989898988</v>
      </c>
      <c r="AB5" s="30">
        <v>160</v>
      </c>
      <c r="AC5" s="31">
        <f>U5*2+(U5*2*80/100)</f>
        <v>0.56197780363636363</v>
      </c>
      <c r="AD5" s="31">
        <f>AA5*2+(AA5*2*80/100)</f>
        <v>0.49697780363636357</v>
      </c>
    </row>
    <row r="6" spans="1:30" ht="14.4" x14ac:dyDescent="0.3">
      <c r="A6" s="15">
        <v>150</v>
      </c>
      <c r="B6" s="7" t="s">
        <v>4</v>
      </c>
      <c r="C6" s="22" t="s">
        <v>15</v>
      </c>
      <c r="D6" s="23">
        <v>7500</v>
      </c>
      <c r="E6" s="24">
        <v>7.0000000000000007E-2</v>
      </c>
      <c r="F6" s="25">
        <v>21</v>
      </c>
      <c r="G6" s="26">
        <f t="shared" si="4"/>
        <v>22.47</v>
      </c>
      <c r="H6" s="27">
        <f t="shared" si="5"/>
        <v>168.52500000000001</v>
      </c>
      <c r="I6" s="27">
        <f>C26</f>
        <v>2.08</v>
      </c>
      <c r="J6" s="89">
        <f t="shared" si="6"/>
        <v>350.53200000000004</v>
      </c>
      <c r="K6" s="84">
        <f>E36</f>
        <v>1.1438383838383839E-3</v>
      </c>
      <c r="L6" s="28">
        <f t="shared" si="0"/>
        <v>8.57878787878788</v>
      </c>
      <c r="M6" s="29">
        <f>A18*B18</f>
        <v>128</v>
      </c>
      <c r="N6" s="29">
        <f>C18</f>
        <v>450</v>
      </c>
      <c r="O6" s="29">
        <f>E18+F18*D18</f>
        <v>17.5</v>
      </c>
      <c r="P6" s="29">
        <f t="shared" si="1"/>
        <v>16.666666666666668</v>
      </c>
      <c r="Q6" s="28">
        <f t="shared" si="7"/>
        <v>291.66666666666669</v>
      </c>
      <c r="R6" s="26">
        <f t="shared" si="8"/>
        <v>778.77745454545459</v>
      </c>
      <c r="S6" s="26">
        <f>G18</f>
        <v>0.3</v>
      </c>
      <c r="T6" s="26">
        <f t="shared" si="9"/>
        <v>1012.4106909090909</v>
      </c>
      <c r="U6" s="27">
        <f t="shared" si="2"/>
        <v>0.13498809212121213</v>
      </c>
      <c r="V6" s="78">
        <f>E19+F19*D19</f>
        <v>11.25</v>
      </c>
      <c r="W6" s="78">
        <f t="shared" si="10"/>
        <v>187.5</v>
      </c>
      <c r="X6" s="92">
        <f t="shared" si="11"/>
        <v>674.61078787878796</v>
      </c>
      <c r="Y6" s="78">
        <f>G18</f>
        <v>0.3</v>
      </c>
      <c r="Z6" s="26">
        <f t="shared" si="12"/>
        <v>876.9940242424243</v>
      </c>
      <c r="AA6" s="78">
        <f t="shared" si="3"/>
        <v>0.11693253656565657</v>
      </c>
      <c r="AB6" s="30">
        <v>140</v>
      </c>
      <c r="AC6" s="31">
        <f>U6*2+(U6*2*80/100)</f>
        <v>0.48595713163636367</v>
      </c>
      <c r="AD6" s="31">
        <f>AA6*2+(AA6*2*80/100)</f>
        <v>0.42095713163636361</v>
      </c>
    </row>
    <row r="7" spans="1:30" ht="14.4" x14ac:dyDescent="0.3">
      <c r="A7" s="15">
        <v>150</v>
      </c>
      <c r="B7" s="7" t="s">
        <v>5</v>
      </c>
      <c r="C7" s="22" t="s">
        <v>16</v>
      </c>
      <c r="D7" s="23">
        <v>12500</v>
      </c>
      <c r="E7" s="24">
        <v>7.0000000000000007E-2</v>
      </c>
      <c r="F7" s="25">
        <v>21</v>
      </c>
      <c r="G7" s="26">
        <f t="shared" si="4"/>
        <v>22.47</v>
      </c>
      <c r="H7" s="27">
        <f t="shared" si="5"/>
        <v>280.875</v>
      </c>
      <c r="I7" s="27">
        <f>C26</f>
        <v>2.08</v>
      </c>
      <c r="J7" s="89">
        <f t="shared" si="6"/>
        <v>584.22</v>
      </c>
      <c r="K7" s="84">
        <f>E36</f>
        <v>1.1438383838383839E-3</v>
      </c>
      <c r="L7" s="28">
        <f t="shared" si="0"/>
        <v>14.297979797979799</v>
      </c>
      <c r="M7" s="29">
        <f>A18*B18</f>
        <v>128</v>
      </c>
      <c r="N7" s="29">
        <f>C18</f>
        <v>450</v>
      </c>
      <c r="O7" s="29">
        <f>E18+F18*D18</f>
        <v>17.5</v>
      </c>
      <c r="P7" s="29">
        <f t="shared" si="1"/>
        <v>27.777777777777779</v>
      </c>
      <c r="Q7" s="28">
        <f t="shared" si="7"/>
        <v>486.11111111111114</v>
      </c>
      <c r="R7" s="26">
        <f t="shared" si="8"/>
        <v>1212.629090909091</v>
      </c>
      <c r="S7" s="26">
        <f>G18</f>
        <v>0.3</v>
      </c>
      <c r="T7" s="26">
        <f t="shared" si="9"/>
        <v>1576.4178181818183</v>
      </c>
      <c r="U7" s="27">
        <f t="shared" si="2"/>
        <v>0.12611342545454546</v>
      </c>
      <c r="V7" s="78">
        <f>E19+F19*D19</f>
        <v>11.25</v>
      </c>
      <c r="W7" s="78">
        <f t="shared" si="10"/>
        <v>312.5</v>
      </c>
      <c r="X7" s="92">
        <f t="shared" si="11"/>
        <v>1039.0179797979799</v>
      </c>
      <c r="Y7" s="78">
        <f>G18</f>
        <v>0.3</v>
      </c>
      <c r="Z7" s="26">
        <f t="shared" si="12"/>
        <v>1350.723373737374</v>
      </c>
      <c r="AA7" s="78">
        <f t="shared" si="3"/>
        <v>0.10805786989898993</v>
      </c>
      <c r="AB7" s="30">
        <v>85</v>
      </c>
      <c r="AC7" s="31">
        <f>U7+U7*AB7/100</f>
        <v>0.23330983709090911</v>
      </c>
      <c r="AD7" s="31">
        <f>AA7+AA7*AB7/100</f>
        <v>0.19990705931313135</v>
      </c>
    </row>
    <row r="8" spans="1:30" ht="14.4" x14ac:dyDescent="0.3">
      <c r="A8" s="15">
        <v>150</v>
      </c>
      <c r="B8" s="7" t="s">
        <v>6</v>
      </c>
      <c r="C8" s="22" t="s">
        <v>17</v>
      </c>
      <c r="D8" s="23">
        <v>17500</v>
      </c>
      <c r="E8" s="24">
        <v>7.0000000000000007E-2</v>
      </c>
      <c r="F8" s="25">
        <v>21</v>
      </c>
      <c r="G8" s="26">
        <f t="shared" si="4"/>
        <v>22.47</v>
      </c>
      <c r="H8" s="27">
        <f t="shared" si="5"/>
        <v>393.22500000000002</v>
      </c>
      <c r="I8" s="27">
        <f>C26</f>
        <v>2.08</v>
      </c>
      <c r="J8" s="89">
        <f t="shared" si="6"/>
        <v>817.90800000000013</v>
      </c>
      <c r="K8" s="84">
        <f>E36</f>
        <v>1.1438383838383839E-3</v>
      </c>
      <c r="L8" s="28">
        <f t="shared" si="0"/>
        <v>20.017171717171717</v>
      </c>
      <c r="M8" s="29">
        <f>A18*B18</f>
        <v>128</v>
      </c>
      <c r="N8" s="29">
        <f>C18</f>
        <v>450</v>
      </c>
      <c r="O8" s="29">
        <f>E18+F18*D18</f>
        <v>17.5</v>
      </c>
      <c r="P8" s="29">
        <f t="shared" si="1"/>
        <v>38.888888888888886</v>
      </c>
      <c r="Q8" s="28">
        <f t="shared" si="7"/>
        <v>680.55555555555554</v>
      </c>
      <c r="R8" s="26">
        <f t="shared" si="8"/>
        <v>1646.4807272727273</v>
      </c>
      <c r="S8" s="26">
        <f>G18</f>
        <v>0.3</v>
      </c>
      <c r="T8" s="26">
        <f t="shared" si="9"/>
        <v>2140.4249454545457</v>
      </c>
      <c r="U8" s="27">
        <f t="shared" si="2"/>
        <v>0.12230999688311689</v>
      </c>
      <c r="V8" s="78">
        <f>E19+F19*D19</f>
        <v>11.25</v>
      </c>
      <c r="W8" s="78">
        <f t="shared" si="10"/>
        <v>437.49999999999994</v>
      </c>
      <c r="X8" s="92">
        <f t="shared" si="11"/>
        <v>1403.4251717171719</v>
      </c>
      <c r="Y8" s="78">
        <f>G18</f>
        <v>0.3</v>
      </c>
      <c r="Z8" s="26">
        <f t="shared" si="12"/>
        <v>1824.4527232323235</v>
      </c>
      <c r="AA8" s="78">
        <f t="shared" si="3"/>
        <v>0.10425444132756134</v>
      </c>
      <c r="AB8" s="30">
        <v>80</v>
      </c>
      <c r="AC8" s="31">
        <f t="shared" ref="AC8:AC14" si="13">U8+U8*AB8/100</f>
        <v>0.22015799438961042</v>
      </c>
      <c r="AD8" s="31">
        <f t="shared" ref="AD8:AD14" si="14">AA8+AA8*AB8/100</f>
        <v>0.18765799438961042</v>
      </c>
    </row>
    <row r="9" spans="1:30" ht="14.4" x14ac:dyDescent="0.3">
      <c r="A9" s="15">
        <v>150</v>
      </c>
      <c r="B9" s="7" t="s">
        <v>7</v>
      </c>
      <c r="C9" s="22" t="s">
        <v>18</v>
      </c>
      <c r="D9" s="23">
        <v>25000</v>
      </c>
      <c r="E9" s="24">
        <v>0.05</v>
      </c>
      <c r="F9" s="25">
        <v>21</v>
      </c>
      <c r="G9" s="26">
        <f t="shared" si="4"/>
        <v>22.05</v>
      </c>
      <c r="H9" s="27">
        <f t="shared" si="5"/>
        <v>551.25</v>
      </c>
      <c r="I9" s="27">
        <f>C26</f>
        <v>2.08</v>
      </c>
      <c r="J9" s="89">
        <f t="shared" si="6"/>
        <v>1146.6000000000001</v>
      </c>
      <c r="K9" s="84">
        <f>E36</f>
        <v>1.1438383838383839E-3</v>
      </c>
      <c r="L9" s="28">
        <f t="shared" si="0"/>
        <v>28.595959595959599</v>
      </c>
      <c r="M9" s="29">
        <f>A18*B18</f>
        <v>128</v>
      </c>
      <c r="N9" s="29">
        <f>C18</f>
        <v>450</v>
      </c>
      <c r="O9" s="29">
        <f>E18+F18*D18</f>
        <v>17.5</v>
      </c>
      <c r="P9" s="29">
        <f t="shared" si="1"/>
        <v>55.555555555555557</v>
      </c>
      <c r="Q9" s="28">
        <f t="shared" si="7"/>
        <v>972.22222222222229</v>
      </c>
      <c r="R9" s="26">
        <f t="shared" si="8"/>
        <v>2275.4181818181819</v>
      </c>
      <c r="S9" s="26">
        <f>G18</f>
        <v>0.3</v>
      </c>
      <c r="T9" s="26">
        <f t="shared" si="9"/>
        <v>2958.0436363636363</v>
      </c>
      <c r="U9" s="27">
        <f t="shared" si="2"/>
        <v>0.11832174545454545</v>
      </c>
      <c r="V9" s="78">
        <f>E19+F19*D19</f>
        <v>11.25</v>
      </c>
      <c r="W9" s="78">
        <f t="shared" si="10"/>
        <v>625</v>
      </c>
      <c r="X9" s="92">
        <f t="shared" si="11"/>
        <v>1928.1959595959597</v>
      </c>
      <c r="Y9" s="78">
        <f>G18</f>
        <v>0.3</v>
      </c>
      <c r="Z9" s="26">
        <f t="shared" si="12"/>
        <v>2506.6547474747476</v>
      </c>
      <c r="AA9" s="78">
        <f t="shared" si="3"/>
        <v>0.1002661898989899</v>
      </c>
      <c r="AB9" s="30">
        <v>75</v>
      </c>
      <c r="AC9" s="31">
        <f t="shared" si="13"/>
        <v>0.20706305454545454</v>
      </c>
      <c r="AD9" s="31">
        <f t="shared" si="14"/>
        <v>0.17546583232323232</v>
      </c>
    </row>
    <row r="10" spans="1:30" ht="14.4" x14ac:dyDescent="0.3">
      <c r="A10" s="15">
        <v>150</v>
      </c>
      <c r="B10" s="7" t="s">
        <v>8</v>
      </c>
      <c r="C10" s="22" t="s">
        <v>19</v>
      </c>
      <c r="D10" s="23">
        <v>35000</v>
      </c>
      <c r="E10" s="24">
        <v>0.05</v>
      </c>
      <c r="F10" s="25">
        <v>21</v>
      </c>
      <c r="G10" s="26">
        <f t="shared" si="4"/>
        <v>22.05</v>
      </c>
      <c r="H10" s="27">
        <f t="shared" si="5"/>
        <v>771.75</v>
      </c>
      <c r="I10" s="27">
        <f>C26</f>
        <v>2.08</v>
      </c>
      <c r="J10" s="89">
        <f t="shared" si="6"/>
        <v>1605.24</v>
      </c>
      <c r="K10" s="84">
        <f>E36</f>
        <v>1.1438383838383839E-3</v>
      </c>
      <c r="L10" s="28">
        <f t="shared" si="0"/>
        <v>40.034343434343434</v>
      </c>
      <c r="M10" s="29">
        <f>A18*B18</f>
        <v>128</v>
      </c>
      <c r="N10" s="29">
        <f>C18</f>
        <v>450</v>
      </c>
      <c r="O10" s="29">
        <f>E18+F18*D18</f>
        <v>17.5</v>
      </c>
      <c r="P10" s="29">
        <f t="shared" si="1"/>
        <v>77.777777777777771</v>
      </c>
      <c r="Q10" s="28">
        <f t="shared" si="7"/>
        <v>1361.1111111111111</v>
      </c>
      <c r="R10" s="26">
        <f t="shared" si="8"/>
        <v>3134.3854545454542</v>
      </c>
      <c r="S10" s="26">
        <f>G18</f>
        <v>0.3</v>
      </c>
      <c r="T10" s="26">
        <f t="shared" si="9"/>
        <v>4074.7010909090905</v>
      </c>
      <c r="U10" s="27">
        <f t="shared" si="2"/>
        <v>0.11642003116883115</v>
      </c>
      <c r="V10" s="78">
        <f>E19+F19*D19</f>
        <v>11.25</v>
      </c>
      <c r="W10" s="78">
        <f t="shared" si="10"/>
        <v>874.99999999999989</v>
      </c>
      <c r="X10" s="92">
        <f t="shared" si="11"/>
        <v>2648.2743434343433</v>
      </c>
      <c r="Y10" s="78">
        <f>G18</f>
        <v>0.3</v>
      </c>
      <c r="Z10" s="26">
        <f t="shared" si="12"/>
        <v>3442.7566464646461</v>
      </c>
      <c r="AA10" s="78">
        <f t="shared" si="3"/>
        <v>9.8364475613275604E-2</v>
      </c>
      <c r="AB10" s="30">
        <v>75</v>
      </c>
      <c r="AC10" s="31">
        <f t="shared" si="13"/>
        <v>0.20373505454545451</v>
      </c>
      <c r="AD10" s="31">
        <f t="shared" si="14"/>
        <v>0.17213783232323232</v>
      </c>
    </row>
    <row r="11" spans="1:30" ht="14.4" x14ac:dyDescent="0.3">
      <c r="A11" s="15">
        <v>150</v>
      </c>
      <c r="B11" s="7" t="s">
        <v>9</v>
      </c>
      <c r="C11" s="22" t="s">
        <v>20</v>
      </c>
      <c r="D11" s="23">
        <v>45000</v>
      </c>
      <c r="E11" s="24">
        <v>0.05</v>
      </c>
      <c r="F11" s="25">
        <v>21</v>
      </c>
      <c r="G11" s="26">
        <f t="shared" si="4"/>
        <v>22.05</v>
      </c>
      <c r="H11" s="27">
        <f t="shared" si="5"/>
        <v>992.25</v>
      </c>
      <c r="I11" s="27">
        <f>C26</f>
        <v>2.08</v>
      </c>
      <c r="J11" s="89">
        <f t="shared" si="6"/>
        <v>2063.88</v>
      </c>
      <c r="K11" s="84">
        <f>E36</f>
        <v>1.1438383838383839E-3</v>
      </c>
      <c r="L11" s="28">
        <f t="shared" si="0"/>
        <v>51.472727272727276</v>
      </c>
      <c r="M11" s="29">
        <f>A18*B18</f>
        <v>128</v>
      </c>
      <c r="N11" s="29">
        <f>C18</f>
        <v>450</v>
      </c>
      <c r="O11" s="29">
        <f>E18+F18*D18</f>
        <v>17.5</v>
      </c>
      <c r="P11" s="29">
        <f t="shared" si="1"/>
        <v>100</v>
      </c>
      <c r="Q11" s="28">
        <f t="shared" si="7"/>
        <v>1750</v>
      </c>
      <c r="R11" s="26">
        <f t="shared" si="8"/>
        <v>3993.3527272727274</v>
      </c>
      <c r="S11" s="26">
        <f>G18</f>
        <v>0.3</v>
      </c>
      <c r="T11" s="26">
        <f t="shared" si="9"/>
        <v>5191.3585454545455</v>
      </c>
      <c r="U11" s="27">
        <f t="shared" si="2"/>
        <v>0.11536352323232324</v>
      </c>
      <c r="V11" s="78">
        <f>E19+F19*D19</f>
        <v>11.25</v>
      </c>
      <c r="W11" s="78">
        <f t="shared" si="10"/>
        <v>1125</v>
      </c>
      <c r="X11" s="92">
        <f t="shared" si="11"/>
        <v>3368.3527272727274</v>
      </c>
      <c r="Y11" s="78">
        <f>G18</f>
        <v>0.3</v>
      </c>
      <c r="Z11" s="26">
        <f t="shared" si="12"/>
        <v>4378.8585454545455</v>
      </c>
      <c r="AA11" s="78">
        <f t="shared" si="3"/>
        <v>9.7307967676767679E-2</v>
      </c>
      <c r="AB11" s="30">
        <v>70</v>
      </c>
      <c r="AC11" s="31">
        <f t="shared" si="13"/>
        <v>0.19611798949494952</v>
      </c>
      <c r="AD11" s="31">
        <f t="shared" si="14"/>
        <v>0.16542354505050505</v>
      </c>
    </row>
    <row r="12" spans="1:30" ht="14.4" x14ac:dyDescent="0.3">
      <c r="A12" s="15">
        <v>150</v>
      </c>
      <c r="B12" s="7" t="s">
        <v>10</v>
      </c>
      <c r="C12" s="22" t="s">
        <v>21</v>
      </c>
      <c r="D12" s="23">
        <v>75000</v>
      </c>
      <c r="E12" s="24">
        <v>0.05</v>
      </c>
      <c r="F12" s="25">
        <v>21</v>
      </c>
      <c r="G12" s="26">
        <f t="shared" si="4"/>
        <v>22.05</v>
      </c>
      <c r="H12" s="27">
        <f t="shared" si="5"/>
        <v>1653.75</v>
      </c>
      <c r="I12" s="27">
        <f>C26</f>
        <v>2.08</v>
      </c>
      <c r="J12" s="89">
        <f t="shared" si="6"/>
        <v>3439.8</v>
      </c>
      <c r="K12" s="84">
        <f>E36</f>
        <v>1.1438383838383839E-3</v>
      </c>
      <c r="L12" s="28">
        <f t="shared" si="0"/>
        <v>85.787878787878796</v>
      </c>
      <c r="M12" s="29">
        <f>A18*B18</f>
        <v>128</v>
      </c>
      <c r="N12" s="29">
        <f>C18</f>
        <v>450</v>
      </c>
      <c r="O12" s="29">
        <f>E18+F18*D18</f>
        <v>17.5</v>
      </c>
      <c r="P12" s="29">
        <f t="shared" si="1"/>
        <v>166.66666666666666</v>
      </c>
      <c r="Q12" s="28">
        <f>O12*P12</f>
        <v>2916.6666666666665</v>
      </c>
      <c r="R12" s="26">
        <f t="shared" si="8"/>
        <v>6570.2545454545452</v>
      </c>
      <c r="S12" s="26">
        <f>G18</f>
        <v>0.3</v>
      </c>
      <c r="T12" s="26">
        <f t="shared" si="9"/>
        <v>8541.3309090909097</v>
      </c>
      <c r="U12" s="27">
        <f t="shared" si="2"/>
        <v>0.11388441212121213</v>
      </c>
      <c r="V12" s="78">
        <f>E19+F19*D19</f>
        <v>11.25</v>
      </c>
      <c r="W12" s="78">
        <f t="shared" si="10"/>
        <v>1875</v>
      </c>
      <c r="X12" s="92">
        <f t="shared" si="11"/>
        <v>5528.5878787878792</v>
      </c>
      <c r="Y12" s="78">
        <f>G18</f>
        <v>0.3</v>
      </c>
      <c r="Z12" s="26">
        <f t="shared" si="12"/>
        <v>7187.1642424242427</v>
      </c>
      <c r="AA12" s="78">
        <f t="shared" si="3"/>
        <v>9.5828856565656567E-2</v>
      </c>
      <c r="AB12" s="30">
        <v>70</v>
      </c>
      <c r="AC12" s="31">
        <f t="shared" si="13"/>
        <v>0.19360350060606063</v>
      </c>
      <c r="AD12" s="31">
        <f t="shared" si="14"/>
        <v>0.16290905616161616</v>
      </c>
    </row>
    <row r="13" spans="1:30" ht="14.4" x14ac:dyDescent="0.3">
      <c r="A13" s="15">
        <v>150</v>
      </c>
      <c r="B13" s="7" t="s">
        <v>11</v>
      </c>
      <c r="C13" s="22" t="s">
        <v>22</v>
      </c>
      <c r="D13" s="23">
        <v>125000</v>
      </c>
      <c r="E13" s="24">
        <v>0.03</v>
      </c>
      <c r="F13" s="25">
        <v>21</v>
      </c>
      <c r="G13" s="26">
        <f t="shared" si="4"/>
        <v>21.63</v>
      </c>
      <c r="H13" s="27">
        <f t="shared" si="5"/>
        <v>2703.75</v>
      </c>
      <c r="I13" s="27">
        <f>C26</f>
        <v>2.08</v>
      </c>
      <c r="J13" s="89">
        <f t="shared" si="6"/>
        <v>5623.8</v>
      </c>
      <c r="K13" s="84">
        <f>E36</f>
        <v>1.1438383838383839E-3</v>
      </c>
      <c r="L13" s="28">
        <f t="shared" si="0"/>
        <v>142.97979797979798</v>
      </c>
      <c r="M13" s="29">
        <f>A18*B18</f>
        <v>128</v>
      </c>
      <c r="N13" s="29">
        <f>C18</f>
        <v>450</v>
      </c>
      <c r="O13" s="29">
        <f>E18+F18*D18</f>
        <v>17.5</v>
      </c>
      <c r="P13" s="29">
        <f t="shared" si="1"/>
        <v>277.77777777777777</v>
      </c>
      <c r="Q13" s="28">
        <f t="shared" si="7"/>
        <v>4861.1111111111113</v>
      </c>
      <c r="R13" s="26">
        <f t="shared" si="8"/>
        <v>10755.890909090909</v>
      </c>
      <c r="S13" s="26">
        <f>G18</f>
        <v>0.3</v>
      </c>
      <c r="T13" s="26">
        <f t="shared" si="9"/>
        <v>13982.658181818182</v>
      </c>
      <c r="U13" s="27">
        <f t="shared" si="2"/>
        <v>0.11186126545454546</v>
      </c>
      <c r="V13" s="78">
        <f>E19+F19*D19</f>
        <v>11.25</v>
      </c>
      <c r="W13" s="78">
        <f t="shared" si="10"/>
        <v>3125</v>
      </c>
      <c r="X13" s="92">
        <f t="shared" si="11"/>
        <v>9019.7797979797979</v>
      </c>
      <c r="Y13" s="78">
        <f>G18</f>
        <v>0.3</v>
      </c>
      <c r="Z13" s="26">
        <f t="shared" si="12"/>
        <v>11725.713737373737</v>
      </c>
      <c r="AA13" s="78">
        <f t="shared" si="3"/>
        <v>9.3805709898989897E-2</v>
      </c>
      <c r="AB13" s="30">
        <v>65</v>
      </c>
      <c r="AC13" s="31">
        <f t="shared" si="13"/>
        <v>0.18457108799999999</v>
      </c>
      <c r="AD13" s="31">
        <f t="shared" si="14"/>
        <v>0.15477942133333333</v>
      </c>
    </row>
    <row r="14" spans="1:30" ht="15" thickBot="1" x14ac:dyDescent="0.35">
      <c r="A14" s="15">
        <v>150</v>
      </c>
      <c r="B14" s="7" t="s">
        <v>12</v>
      </c>
      <c r="C14" s="22" t="s">
        <v>23</v>
      </c>
      <c r="D14" s="23">
        <v>200000</v>
      </c>
      <c r="E14" s="24">
        <v>0.03</v>
      </c>
      <c r="F14" s="25">
        <v>21</v>
      </c>
      <c r="G14" s="26">
        <f t="shared" si="4"/>
        <v>21.63</v>
      </c>
      <c r="H14" s="27">
        <f t="shared" si="5"/>
        <v>4326</v>
      </c>
      <c r="I14" s="27">
        <f>C26</f>
        <v>2.08</v>
      </c>
      <c r="J14" s="89">
        <f t="shared" si="6"/>
        <v>8998.08</v>
      </c>
      <c r="K14" s="84">
        <f>E36</f>
        <v>1.1438383838383839E-3</v>
      </c>
      <c r="L14" s="28">
        <f t="shared" si="0"/>
        <v>228.76767676767679</v>
      </c>
      <c r="M14" s="29">
        <f>A18*B18</f>
        <v>128</v>
      </c>
      <c r="N14" s="29">
        <f>C18</f>
        <v>450</v>
      </c>
      <c r="O14" s="29">
        <f>E18+F18*D18</f>
        <v>17.5</v>
      </c>
      <c r="P14" s="29">
        <f t="shared" si="1"/>
        <v>444.44444444444446</v>
      </c>
      <c r="Q14" s="28">
        <f t="shared" si="7"/>
        <v>7777.7777777777783</v>
      </c>
      <c r="R14" s="26">
        <f t="shared" si="8"/>
        <v>17132.625454545454</v>
      </c>
      <c r="S14" s="26">
        <f>G18</f>
        <v>0.3</v>
      </c>
      <c r="T14" s="26">
        <f t="shared" si="9"/>
        <v>22272.413090909089</v>
      </c>
      <c r="U14" s="27">
        <f t="shared" si="2"/>
        <v>0.11136206545454544</v>
      </c>
      <c r="V14" s="78">
        <f>E19+F19*D19</f>
        <v>11.25</v>
      </c>
      <c r="W14" s="78">
        <f t="shared" si="10"/>
        <v>5000</v>
      </c>
      <c r="X14" s="92">
        <f t="shared" si="11"/>
        <v>14354.847676767677</v>
      </c>
      <c r="Y14" s="78">
        <f>G18</f>
        <v>0.3</v>
      </c>
      <c r="Z14" s="26">
        <f t="shared" si="12"/>
        <v>18661.30197979798</v>
      </c>
      <c r="AA14" s="78">
        <f t="shared" si="3"/>
        <v>9.3306509898989892E-2</v>
      </c>
      <c r="AB14" s="30">
        <v>60</v>
      </c>
      <c r="AC14" s="32">
        <f t="shared" si="13"/>
        <v>0.1781793047272727</v>
      </c>
      <c r="AD14" s="32">
        <f t="shared" si="14"/>
        <v>0.14929041583838382</v>
      </c>
    </row>
    <row r="15" spans="1:30" ht="14.4" thickBot="1" x14ac:dyDescent="0.35"/>
    <row r="16" spans="1:30" x14ac:dyDescent="0.3">
      <c r="A16" s="33" t="s">
        <v>27</v>
      </c>
      <c r="B16" s="34"/>
      <c r="C16" s="34"/>
      <c r="D16" s="34"/>
      <c r="E16" s="34"/>
      <c r="F16" s="34"/>
      <c r="G16" s="35"/>
      <c r="AC16" s="80"/>
    </row>
    <row r="17" spans="1:12" x14ac:dyDescent="0.3">
      <c r="A17" s="36" t="s">
        <v>28</v>
      </c>
      <c r="B17" s="37" t="s">
        <v>29</v>
      </c>
      <c r="C17" s="37" t="s">
        <v>30</v>
      </c>
      <c r="D17" s="37" t="s">
        <v>31</v>
      </c>
      <c r="E17" s="37" t="s">
        <v>32</v>
      </c>
      <c r="F17" s="37" t="s">
        <v>33</v>
      </c>
      <c r="G17" s="38" t="s">
        <v>34</v>
      </c>
      <c r="J17" s="39"/>
      <c r="K17" s="85"/>
      <c r="L17" s="14" t="s">
        <v>59</v>
      </c>
    </row>
    <row r="18" spans="1:12" ht="14.4" thickBot="1" x14ac:dyDescent="0.35">
      <c r="A18" s="40">
        <v>4</v>
      </c>
      <c r="B18" s="41">
        <v>32</v>
      </c>
      <c r="C18" s="41">
        <v>450</v>
      </c>
      <c r="D18" s="41">
        <v>0.5</v>
      </c>
      <c r="E18" s="41">
        <v>5</v>
      </c>
      <c r="F18" s="42">
        <v>25</v>
      </c>
      <c r="G18" s="43">
        <v>0.3</v>
      </c>
    </row>
    <row r="19" spans="1:12" ht="14.4" thickBot="1" x14ac:dyDescent="0.35">
      <c r="A19" s="40">
        <v>4</v>
      </c>
      <c r="B19" s="41">
        <v>32</v>
      </c>
      <c r="C19" s="41">
        <v>450</v>
      </c>
      <c r="D19" s="41">
        <v>0.25</v>
      </c>
      <c r="E19" s="41">
        <v>5</v>
      </c>
      <c r="F19" s="42">
        <v>25</v>
      </c>
      <c r="G19" s="43">
        <v>0.3</v>
      </c>
    </row>
    <row r="20" spans="1:12" ht="14.4" thickBot="1" x14ac:dyDescent="0.35">
      <c r="J20" s="44"/>
      <c r="K20" s="86"/>
      <c r="L20" s="14" t="s">
        <v>60</v>
      </c>
    </row>
    <row r="21" spans="1:12" x14ac:dyDescent="0.3">
      <c r="A21" s="45" t="s">
        <v>35</v>
      </c>
      <c r="B21" s="46"/>
      <c r="C21" s="46" t="s">
        <v>36</v>
      </c>
      <c r="D21" s="47" t="s">
        <v>37</v>
      </c>
    </row>
    <row r="22" spans="1:12" x14ac:dyDescent="0.3">
      <c r="A22" s="48" t="s">
        <v>40</v>
      </c>
      <c r="B22" s="49">
        <v>2</v>
      </c>
      <c r="C22" s="50">
        <v>96</v>
      </c>
      <c r="D22" s="51"/>
    </row>
    <row r="23" spans="1:12" x14ac:dyDescent="0.3">
      <c r="A23" s="48" t="s">
        <v>40</v>
      </c>
      <c r="B23" s="49">
        <v>4</v>
      </c>
      <c r="C23" s="50">
        <v>4</v>
      </c>
      <c r="D23" s="51"/>
    </row>
    <row r="24" spans="1:12" x14ac:dyDescent="0.3">
      <c r="A24" s="48" t="s">
        <v>40</v>
      </c>
      <c r="B24" s="49">
        <v>0</v>
      </c>
      <c r="C24" s="50"/>
      <c r="D24" s="51"/>
    </row>
    <row r="25" spans="1:12" ht="14.4" thickBot="1" x14ac:dyDescent="0.35">
      <c r="A25" s="48" t="s">
        <v>44</v>
      </c>
      <c r="B25" s="49">
        <v>0</v>
      </c>
      <c r="C25" s="50"/>
      <c r="D25" s="51"/>
    </row>
    <row r="26" spans="1:12" ht="14.4" thickBot="1" x14ac:dyDescent="0.35">
      <c r="A26" s="52" t="s">
        <v>45</v>
      </c>
      <c r="B26" s="53">
        <f>SUM(B22:B25)</f>
        <v>6</v>
      </c>
      <c r="C26" s="54">
        <f>(B22*C22/100)+(B23*C23/100)+(B24*C24/100)+(B25*C25/100)</f>
        <v>2.08</v>
      </c>
      <c r="D26" s="55" t="s">
        <v>62</v>
      </c>
    </row>
    <row r="27" spans="1:12" ht="14.4" thickBot="1" x14ac:dyDescent="0.35"/>
    <row r="28" spans="1:12" x14ac:dyDescent="0.3">
      <c r="A28" s="56" t="s">
        <v>38</v>
      </c>
      <c r="B28" s="57"/>
      <c r="C28" s="58"/>
      <c r="D28" s="59" t="s">
        <v>39</v>
      </c>
      <c r="E28" s="60" t="s">
        <v>97</v>
      </c>
    </row>
    <row r="29" spans="1:12" x14ac:dyDescent="0.3">
      <c r="A29" s="61" t="s">
        <v>42</v>
      </c>
      <c r="B29" s="62">
        <v>1100</v>
      </c>
      <c r="C29" s="63"/>
      <c r="D29" s="64"/>
      <c r="E29" s="65"/>
    </row>
    <row r="30" spans="1:12" x14ac:dyDescent="0.3">
      <c r="A30" s="61" t="s">
        <v>86</v>
      </c>
      <c r="B30" s="62">
        <v>9</v>
      </c>
      <c r="C30" s="63" t="s">
        <v>41</v>
      </c>
      <c r="D30" s="66">
        <v>0.68100000000000005</v>
      </c>
      <c r="E30" s="65">
        <f>D30*B30</f>
        <v>6.1290000000000004</v>
      </c>
    </row>
    <row r="31" spans="1:12" x14ac:dyDescent="0.3">
      <c r="A31" s="61" t="s">
        <v>87</v>
      </c>
      <c r="B31" s="62">
        <f>B30*B29</f>
        <v>9900</v>
      </c>
      <c r="C31" s="67"/>
      <c r="D31" s="68"/>
      <c r="E31" s="65"/>
    </row>
    <row r="32" spans="1:12" x14ac:dyDescent="0.3">
      <c r="A32" s="61" t="s">
        <v>88</v>
      </c>
      <c r="B32" s="62">
        <v>9</v>
      </c>
      <c r="C32" s="63" t="s">
        <v>43</v>
      </c>
      <c r="D32" s="69">
        <v>0.13800000000000001</v>
      </c>
      <c r="E32" s="65">
        <f>D32*B32</f>
        <v>1.242</v>
      </c>
    </row>
    <row r="33" spans="1:5" x14ac:dyDescent="0.3">
      <c r="A33" s="61" t="s">
        <v>46</v>
      </c>
      <c r="B33" s="62">
        <f>B32*5</f>
        <v>45</v>
      </c>
      <c r="C33" s="63" t="s">
        <v>47</v>
      </c>
      <c r="D33" s="66">
        <v>4.3400000000000001E-2</v>
      </c>
      <c r="E33" s="65">
        <f>D33*B33</f>
        <v>1.9530000000000001</v>
      </c>
    </row>
    <row r="34" spans="1:5" ht="14.4" thickBot="1" x14ac:dyDescent="0.35">
      <c r="A34" s="70" t="s">
        <v>48</v>
      </c>
      <c r="B34" s="71" t="s">
        <v>49</v>
      </c>
      <c r="C34" s="72" t="s">
        <v>50</v>
      </c>
      <c r="D34" s="73">
        <v>2</v>
      </c>
      <c r="E34" s="74">
        <f>D34</f>
        <v>2</v>
      </c>
    </row>
    <row r="35" spans="1:5" ht="14.4" thickBot="1" x14ac:dyDescent="0.35">
      <c r="E35" s="75">
        <f>SUM(E29:E34)</f>
        <v>11.324</v>
      </c>
    </row>
    <row r="36" spans="1:5" ht="14.4" thickBot="1" x14ac:dyDescent="0.35">
      <c r="D36" s="76" t="s">
        <v>98</v>
      </c>
      <c r="E36" s="77">
        <f>E35/B31</f>
        <v>1.1438383838383839E-3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55FD2-1A79-404C-B0EB-D2520B02EA86}">
  <dimension ref="A2:AD36"/>
  <sheetViews>
    <sheetView topLeftCell="M1" workbookViewId="0">
      <selection activeCell="Z10" sqref="Z10"/>
    </sheetView>
  </sheetViews>
  <sheetFormatPr defaultColWidth="9.109375" defaultRowHeight="13.8" x14ac:dyDescent="0.3"/>
  <cols>
    <col min="1" max="1" width="28.6640625" style="14" bestFit="1" customWidth="1"/>
    <col min="2" max="2" width="10.109375" style="14" bestFit="1" customWidth="1"/>
    <col min="3" max="3" width="21" style="14" bestFit="1" customWidth="1"/>
    <col min="4" max="4" width="12.44140625" style="14" bestFit="1" customWidth="1"/>
    <col min="5" max="5" width="21" style="14" bestFit="1" customWidth="1"/>
    <col min="6" max="6" width="14.88671875" style="14" bestFit="1" customWidth="1"/>
    <col min="7" max="7" width="23.5546875" style="14" bestFit="1" customWidth="1"/>
    <col min="8" max="8" width="18.6640625" style="14" customWidth="1"/>
    <col min="9" max="9" width="0.109375" style="14" customWidth="1"/>
    <col min="10" max="10" width="9.5546875" style="14" bestFit="1" customWidth="1"/>
    <col min="11" max="11" width="15.33203125" style="82" customWidth="1"/>
    <col min="12" max="12" width="17.5546875" style="14" bestFit="1" customWidth="1"/>
    <col min="13" max="13" width="19.33203125" style="14" customWidth="1"/>
    <col min="14" max="14" width="9.109375" style="14" customWidth="1"/>
    <col min="15" max="15" width="22.88671875" style="14" customWidth="1"/>
    <col min="16" max="16" width="11.88671875" style="14" customWidth="1"/>
    <col min="17" max="17" width="23.5546875" style="14" bestFit="1" customWidth="1"/>
    <col min="18" max="18" width="24.33203125" style="14" customWidth="1"/>
    <col min="19" max="19" width="11" style="14" customWidth="1"/>
    <col min="20" max="20" width="35.5546875" style="14" bestFit="1" customWidth="1"/>
    <col min="21" max="21" width="14.6640625" style="14" bestFit="1" customWidth="1"/>
    <col min="22" max="27" width="14.6640625" style="14" customWidth="1"/>
    <col min="28" max="28" width="16.5546875" style="14" bestFit="1" customWidth="1"/>
    <col min="29" max="29" width="17.44140625" style="14" bestFit="1" customWidth="1"/>
    <col min="30" max="30" width="11.88671875" style="14" bestFit="1" customWidth="1"/>
    <col min="31" max="16384" width="9.109375" style="14"/>
  </cols>
  <sheetData>
    <row r="2" spans="1:30" ht="14.4" thickBot="1" x14ac:dyDescent="0.35"/>
    <row r="3" spans="1:30" ht="74.25" customHeight="1" thickBot="1" x14ac:dyDescent="0.35">
      <c r="A3" s="15" t="s">
        <v>57</v>
      </c>
      <c r="B3" s="15" t="s">
        <v>24</v>
      </c>
      <c r="C3" s="15" t="s">
        <v>25</v>
      </c>
      <c r="D3" s="15" t="s">
        <v>26</v>
      </c>
      <c r="E3" s="15" t="s">
        <v>55</v>
      </c>
      <c r="F3" s="15" t="s">
        <v>58</v>
      </c>
      <c r="G3" s="16" t="s">
        <v>51</v>
      </c>
      <c r="H3" s="17" t="s">
        <v>52</v>
      </c>
      <c r="I3" s="17" t="s">
        <v>61</v>
      </c>
      <c r="J3" s="90" t="s">
        <v>53</v>
      </c>
      <c r="K3" s="83" t="s">
        <v>99</v>
      </c>
      <c r="L3" s="18" t="s">
        <v>96</v>
      </c>
      <c r="M3" s="19" t="s">
        <v>54</v>
      </c>
      <c r="N3" s="19" t="s">
        <v>100</v>
      </c>
      <c r="O3" s="19" t="s">
        <v>108</v>
      </c>
      <c r="P3" s="19" t="s">
        <v>101</v>
      </c>
      <c r="Q3" s="91" t="s">
        <v>116</v>
      </c>
      <c r="R3" s="87" t="s">
        <v>107</v>
      </c>
      <c r="S3" s="88" t="s">
        <v>102</v>
      </c>
      <c r="T3" s="87" t="s">
        <v>104</v>
      </c>
      <c r="U3" s="87" t="s">
        <v>105</v>
      </c>
      <c r="V3" s="19" t="s">
        <v>109</v>
      </c>
      <c r="W3" s="20" t="s">
        <v>110</v>
      </c>
      <c r="X3" s="20"/>
      <c r="Y3" s="20"/>
      <c r="Z3" s="20" t="s">
        <v>111</v>
      </c>
      <c r="AA3" s="20" t="s">
        <v>112</v>
      </c>
      <c r="AB3" s="20" t="s">
        <v>103</v>
      </c>
      <c r="AC3" s="79" t="s">
        <v>106</v>
      </c>
      <c r="AD3" s="21" t="s">
        <v>113</v>
      </c>
    </row>
    <row r="4" spans="1:30" ht="14.4" x14ac:dyDescent="0.3">
      <c r="A4" s="15">
        <v>150</v>
      </c>
      <c r="B4" s="7" t="s">
        <v>2</v>
      </c>
      <c r="C4" s="22" t="s">
        <v>13</v>
      </c>
      <c r="D4" s="23">
        <v>2000</v>
      </c>
      <c r="E4" s="24">
        <v>0.1</v>
      </c>
      <c r="F4" s="25">
        <v>21</v>
      </c>
      <c r="G4" s="26">
        <f>F4+F4*E4</f>
        <v>23.1</v>
      </c>
      <c r="H4" s="27">
        <f>(G4*D4)/1000</f>
        <v>46.2</v>
      </c>
      <c r="I4" s="27">
        <f>C26</f>
        <v>2.52</v>
      </c>
      <c r="J4" s="89">
        <f>H4*I4</f>
        <v>116.42400000000001</v>
      </c>
      <c r="K4" s="84">
        <f>E36</f>
        <v>1.1438383838383839E-3</v>
      </c>
      <c r="L4" s="28">
        <f t="shared" ref="L4:L14" si="0">K4*D4</f>
        <v>2.2876767676767678</v>
      </c>
      <c r="M4" s="29">
        <f>A18*B18</f>
        <v>128</v>
      </c>
      <c r="N4" s="29">
        <f>C18</f>
        <v>450</v>
      </c>
      <c r="O4" s="29">
        <f>E18+F18*D18</f>
        <v>17.5</v>
      </c>
      <c r="P4" s="29">
        <f t="shared" ref="P4:P14" si="1">D4/N4</f>
        <v>4.4444444444444446</v>
      </c>
      <c r="Q4" s="28">
        <f>O4*P4</f>
        <v>77.777777777777786</v>
      </c>
      <c r="R4" s="26">
        <f>Q4+L4+J4+M4</f>
        <v>324.48945454545458</v>
      </c>
      <c r="S4" s="26">
        <f>G18</f>
        <v>0.3</v>
      </c>
      <c r="T4" s="26">
        <f>R4+R4*S4</f>
        <v>421.83629090909096</v>
      </c>
      <c r="U4" s="27">
        <f t="shared" ref="U4:U14" si="2">T4/D4</f>
        <v>0.21091814545454549</v>
      </c>
      <c r="V4" s="78">
        <f>E19+F19*D19</f>
        <v>11.25</v>
      </c>
      <c r="W4" s="78">
        <f>V4*P4</f>
        <v>50</v>
      </c>
      <c r="X4" s="92">
        <f>W4+M4+L4+J4</f>
        <v>296.71167676767675</v>
      </c>
      <c r="Y4" s="78">
        <f>G18</f>
        <v>0.3</v>
      </c>
      <c r="Z4" s="26">
        <f>X4+X4*Y4</f>
        <v>385.72517979797976</v>
      </c>
      <c r="AA4" s="78">
        <f t="shared" ref="AA4:AA14" si="3">Z4/D4</f>
        <v>0.19286258989898988</v>
      </c>
      <c r="AB4" s="30">
        <v>180</v>
      </c>
      <c r="AC4" s="81">
        <f>U4*2+(U4*2*80/100)</f>
        <v>0.75930532363636383</v>
      </c>
      <c r="AD4" s="81">
        <f>AA4*2+(AA4*2*80/100)</f>
        <v>0.69430532363636355</v>
      </c>
    </row>
    <row r="5" spans="1:30" ht="14.4" x14ac:dyDescent="0.3">
      <c r="A5" s="15">
        <v>150</v>
      </c>
      <c r="B5" s="7" t="s">
        <v>3</v>
      </c>
      <c r="C5" s="22" t="s">
        <v>14</v>
      </c>
      <c r="D5" s="23">
        <v>4000</v>
      </c>
      <c r="E5" s="24">
        <v>0.1</v>
      </c>
      <c r="F5" s="25">
        <v>21</v>
      </c>
      <c r="G5" s="26">
        <f t="shared" ref="G5:G14" si="4">F5+F5*E5</f>
        <v>23.1</v>
      </c>
      <c r="H5" s="27">
        <f t="shared" ref="H5:H14" si="5">(G5*D5)/1000</f>
        <v>92.4</v>
      </c>
      <c r="I5" s="27">
        <f>C26</f>
        <v>2.52</v>
      </c>
      <c r="J5" s="89">
        <f t="shared" ref="J5:J14" si="6">H5*I5</f>
        <v>232.84800000000001</v>
      </c>
      <c r="K5" s="84">
        <f>E36</f>
        <v>1.1438383838383839E-3</v>
      </c>
      <c r="L5" s="28">
        <f t="shared" si="0"/>
        <v>4.5753535353535355</v>
      </c>
      <c r="M5" s="29">
        <f>A18*B18</f>
        <v>128</v>
      </c>
      <c r="N5" s="29">
        <f>C18</f>
        <v>450</v>
      </c>
      <c r="O5" s="29">
        <f>E18+F18*D18</f>
        <v>17.5</v>
      </c>
      <c r="P5" s="29">
        <f t="shared" si="1"/>
        <v>8.8888888888888893</v>
      </c>
      <c r="Q5" s="28">
        <f t="shared" ref="Q5:Q14" si="7">O5*P5</f>
        <v>155.55555555555557</v>
      </c>
      <c r="R5" s="26">
        <f t="shared" ref="R5:R14" si="8">Q5+L5+J5+M5</f>
        <v>520.97890909090916</v>
      </c>
      <c r="S5" s="26">
        <f>G18</f>
        <v>0.3</v>
      </c>
      <c r="T5" s="26">
        <f t="shared" ref="T5:T14" si="9">R5+R5*S5</f>
        <v>677.27258181818183</v>
      </c>
      <c r="U5" s="27">
        <f t="shared" si="2"/>
        <v>0.16931814545454546</v>
      </c>
      <c r="V5" s="78">
        <f>E19+F19*D19</f>
        <v>11.25</v>
      </c>
      <c r="W5" s="78">
        <f t="shared" ref="W5:W14" si="10">V5*P5</f>
        <v>100</v>
      </c>
      <c r="X5" s="92">
        <f t="shared" ref="X5:X14" si="11">W5+M5+L5+J5</f>
        <v>465.42335353535356</v>
      </c>
      <c r="Y5" s="78">
        <f>G18</f>
        <v>0.3</v>
      </c>
      <c r="Z5" s="26">
        <f t="shared" ref="Z5:Z14" si="12">X5+X5*Y5</f>
        <v>605.05035959595966</v>
      </c>
      <c r="AA5" s="78">
        <f t="shared" si="3"/>
        <v>0.15126258989898991</v>
      </c>
      <c r="AB5" s="30">
        <v>160</v>
      </c>
      <c r="AC5" s="31">
        <f>U5*2+(U5*2*80/100)</f>
        <v>0.60954532363636371</v>
      </c>
      <c r="AD5" s="31">
        <f>AA5*2+(AA5*2*80/100)</f>
        <v>0.54454532363636365</v>
      </c>
    </row>
    <row r="6" spans="1:30" ht="14.4" x14ac:dyDescent="0.3">
      <c r="A6" s="15">
        <v>150</v>
      </c>
      <c r="B6" s="7" t="s">
        <v>4</v>
      </c>
      <c r="C6" s="22" t="s">
        <v>15</v>
      </c>
      <c r="D6" s="23">
        <v>7500</v>
      </c>
      <c r="E6" s="24">
        <v>7.0000000000000007E-2</v>
      </c>
      <c r="F6" s="25">
        <v>21</v>
      </c>
      <c r="G6" s="26">
        <f t="shared" si="4"/>
        <v>22.47</v>
      </c>
      <c r="H6" s="27">
        <f t="shared" si="5"/>
        <v>168.52500000000001</v>
      </c>
      <c r="I6" s="27">
        <f>C26</f>
        <v>2.52</v>
      </c>
      <c r="J6" s="89">
        <f t="shared" si="6"/>
        <v>424.68299999999999</v>
      </c>
      <c r="K6" s="84">
        <f>E36</f>
        <v>1.1438383838383839E-3</v>
      </c>
      <c r="L6" s="28">
        <f t="shared" si="0"/>
        <v>8.57878787878788</v>
      </c>
      <c r="M6" s="29">
        <f>A18*B18</f>
        <v>128</v>
      </c>
      <c r="N6" s="29">
        <f>C18</f>
        <v>450</v>
      </c>
      <c r="O6" s="29">
        <f>E18+F18*D18</f>
        <v>17.5</v>
      </c>
      <c r="P6" s="29">
        <f t="shared" si="1"/>
        <v>16.666666666666668</v>
      </c>
      <c r="Q6" s="28">
        <f t="shared" si="7"/>
        <v>291.66666666666669</v>
      </c>
      <c r="R6" s="26">
        <f t="shared" si="8"/>
        <v>852.92845454545454</v>
      </c>
      <c r="S6" s="26">
        <f>G18</f>
        <v>0.3</v>
      </c>
      <c r="T6" s="26">
        <f t="shared" si="9"/>
        <v>1108.8069909090909</v>
      </c>
      <c r="U6" s="27">
        <f t="shared" si="2"/>
        <v>0.14784093212121213</v>
      </c>
      <c r="V6" s="78">
        <f>E19+F19*D19</f>
        <v>11.25</v>
      </c>
      <c r="W6" s="78">
        <f t="shared" si="10"/>
        <v>187.5</v>
      </c>
      <c r="X6" s="92">
        <f t="shared" si="11"/>
        <v>748.7617878787878</v>
      </c>
      <c r="Y6" s="78">
        <f>G18</f>
        <v>0.3</v>
      </c>
      <c r="Z6" s="26">
        <f t="shared" si="12"/>
        <v>973.39032424242419</v>
      </c>
      <c r="AA6" s="78">
        <f t="shared" si="3"/>
        <v>0.12978537656565656</v>
      </c>
      <c r="AB6" s="30">
        <v>140</v>
      </c>
      <c r="AC6" s="31">
        <f>U6*2+(U6*2*80/100)</f>
        <v>0.5322273556363637</v>
      </c>
      <c r="AD6" s="31">
        <f>AA6*2+(AA6*2*80/100)</f>
        <v>0.46722735563636364</v>
      </c>
    </row>
    <row r="7" spans="1:30" ht="14.4" x14ac:dyDescent="0.3">
      <c r="A7" s="15">
        <v>150</v>
      </c>
      <c r="B7" s="7" t="s">
        <v>5</v>
      </c>
      <c r="C7" s="22" t="s">
        <v>16</v>
      </c>
      <c r="D7" s="23">
        <v>12500</v>
      </c>
      <c r="E7" s="24">
        <v>7.0000000000000007E-2</v>
      </c>
      <c r="F7" s="25">
        <v>21</v>
      </c>
      <c r="G7" s="26">
        <f t="shared" si="4"/>
        <v>22.47</v>
      </c>
      <c r="H7" s="27">
        <f t="shared" si="5"/>
        <v>280.875</v>
      </c>
      <c r="I7" s="27">
        <f>C26</f>
        <v>2.52</v>
      </c>
      <c r="J7" s="89">
        <f t="shared" si="6"/>
        <v>707.80499999999995</v>
      </c>
      <c r="K7" s="84">
        <f>E36</f>
        <v>1.1438383838383839E-3</v>
      </c>
      <c r="L7" s="28">
        <f t="shared" si="0"/>
        <v>14.297979797979799</v>
      </c>
      <c r="M7" s="29">
        <f>A18*B18</f>
        <v>128</v>
      </c>
      <c r="N7" s="29">
        <f>C18</f>
        <v>450</v>
      </c>
      <c r="O7" s="29">
        <f>E18+F18*D18</f>
        <v>17.5</v>
      </c>
      <c r="P7" s="29">
        <f t="shared" si="1"/>
        <v>27.777777777777779</v>
      </c>
      <c r="Q7" s="28">
        <f t="shared" si="7"/>
        <v>486.11111111111114</v>
      </c>
      <c r="R7" s="26">
        <f t="shared" si="8"/>
        <v>1336.2140909090908</v>
      </c>
      <c r="S7" s="26">
        <f>G18</f>
        <v>0.3</v>
      </c>
      <c r="T7" s="26">
        <f t="shared" si="9"/>
        <v>1737.0783181818181</v>
      </c>
      <c r="U7" s="27">
        <f t="shared" si="2"/>
        <v>0.13896626545454543</v>
      </c>
      <c r="V7" s="78">
        <f>E19+F19*D19</f>
        <v>11.25</v>
      </c>
      <c r="W7" s="78">
        <f t="shared" si="10"/>
        <v>312.5</v>
      </c>
      <c r="X7" s="92">
        <f t="shared" si="11"/>
        <v>1162.6029797979797</v>
      </c>
      <c r="Y7" s="78">
        <f>G18</f>
        <v>0.3</v>
      </c>
      <c r="Z7" s="26">
        <f t="shared" si="12"/>
        <v>1511.3838737373737</v>
      </c>
      <c r="AA7" s="78">
        <f t="shared" si="3"/>
        <v>0.1209107098989899</v>
      </c>
      <c r="AB7" s="30">
        <v>85</v>
      </c>
      <c r="AC7" s="31">
        <f>U7+U7*AB7/100</f>
        <v>0.25708759109090906</v>
      </c>
      <c r="AD7" s="31">
        <f>AA7+AA7*AB7/100</f>
        <v>0.22368481331313131</v>
      </c>
    </row>
    <row r="8" spans="1:30" ht="14.4" x14ac:dyDescent="0.3">
      <c r="A8" s="15">
        <v>150</v>
      </c>
      <c r="B8" s="7" t="s">
        <v>6</v>
      </c>
      <c r="C8" s="22" t="s">
        <v>17</v>
      </c>
      <c r="D8" s="23">
        <v>17500</v>
      </c>
      <c r="E8" s="24">
        <v>7.0000000000000007E-2</v>
      </c>
      <c r="F8" s="25">
        <v>21</v>
      </c>
      <c r="G8" s="26">
        <f t="shared" si="4"/>
        <v>22.47</v>
      </c>
      <c r="H8" s="27">
        <f t="shared" si="5"/>
        <v>393.22500000000002</v>
      </c>
      <c r="I8" s="27">
        <f>C26</f>
        <v>2.52</v>
      </c>
      <c r="J8" s="89">
        <f t="shared" si="6"/>
        <v>990.92700000000002</v>
      </c>
      <c r="K8" s="84">
        <f>E36</f>
        <v>1.1438383838383839E-3</v>
      </c>
      <c r="L8" s="28">
        <f t="shared" si="0"/>
        <v>20.017171717171717</v>
      </c>
      <c r="M8" s="29">
        <f>A18*B18</f>
        <v>128</v>
      </c>
      <c r="N8" s="29">
        <f>C18</f>
        <v>450</v>
      </c>
      <c r="O8" s="29">
        <f>E18+F18*D18</f>
        <v>17.5</v>
      </c>
      <c r="P8" s="29">
        <f t="shared" si="1"/>
        <v>38.888888888888886</v>
      </c>
      <c r="Q8" s="28">
        <f t="shared" si="7"/>
        <v>680.55555555555554</v>
      </c>
      <c r="R8" s="26">
        <f t="shared" si="8"/>
        <v>1819.4997272727273</v>
      </c>
      <c r="S8" s="26">
        <f>G18</f>
        <v>0.3</v>
      </c>
      <c r="T8" s="26">
        <f t="shared" si="9"/>
        <v>2365.3496454545457</v>
      </c>
      <c r="U8" s="27">
        <f t="shared" si="2"/>
        <v>0.13516283688311689</v>
      </c>
      <c r="V8" s="78">
        <f>E19+F19*D19</f>
        <v>11.25</v>
      </c>
      <c r="W8" s="78">
        <f t="shared" si="10"/>
        <v>437.49999999999994</v>
      </c>
      <c r="X8" s="92">
        <f t="shared" si="11"/>
        <v>1576.4441717171717</v>
      </c>
      <c r="Y8" s="78">
        <f>G18</f>
        <v>0.3</v>
      </c>
      <c r="Z8" s="26">
        <f t="shared" si="12"/>
        <v>2049.3774232323231</v>
      </c>
      <c r="AA8" s="78">
        <f t="shared" si="3"/>
        <v>0.11710728132756132</v>
      </c>
      <c r="AB8" s="30">
        <v>80</v>
      </c>
      <c r="AC8" s="31">
        <f t="shared" ref="AC8:AC14" si="13">U8+U8*AB8/100</f>
        <v>0.24329310638961041</v>
      </c>
      <c r="AD8" s="31">
        <f t="shared" ref="AD8:AD14" si="14">AA8+AA8*AB8/100</f>
        <v>0.21079310638961038</v>
      </c>
    </row>
    <row r="9" spans="1:30" ht="14.4" x14ac:dyDescent="0.3">
      <c r="A9" s="15">
        <v>150</v>
      </c>
      <c r="B9" s="7" t="s">
        <v>7</v>
      </c>
      <c r="C9" s="22" t="s">
        <v>18</v>
      </c>
      <c r="D9" s="23">
        <v>25000</v>
      </c>
      <c r="E9" s="24">
        <v>0.05</v>
      </c>
      <c r="F9" s="25">
        <v>21</v>
      </c>
      <c r="G9" s="26">
        <f t="shared" si="4"/>
        <v>22.05</v>
      </c>
      <c r="H9" s="27">
        <f t="shared" si="5"/>
        <v>551.25</v>
      </c>
      <c r="I9" s="27">
        <f>C26</f>
        <v>2.52</v>
      </c>
      <c r="J9" s="89">
        <f t="shared" si="6"/>
        <v>1389.15</v>
      </c>
      <c r="K9" s="84">
        <f>E36</f>
        <v>1.1438383838383839E-3</v>
      </c>
      <c r="L9" s="28">
        <f t="shared" si="0"/>
        <v>28.595959595959599</v>
      </c>
      <c r="M9" s="29">
        <f>A18*B18</f>
        <v>128</v>
      </c>
      <c r="N9" s="29">
        <f>C18</f>
        <v>450</v>
      </c>
      <c r="O9" s="29">
        <f>E18+F18*D18</f>
        <v>17.5</v>
      </c>
      <c r="P9" s="29">
        <f t="shared" si="1"/>
        <v>55.555555555555557</v>
      </c>
      <c r="Q9" s="28">
        <f t="shared" si="7"/>
        <v>972.22222222222229</v>
      </c>
      <c r="R9" s="26">
        <f t="shared" si="8"/>
        <v>2517.9681818181821</v>
      </c>
      <c r="S9" s="26">
        <f>G18</f>
        <v>0.3</v>
      </c>
      <c r="T9" s="26">
        <f t="shared" si="9"/>
        <v>3273.3586363636368</v>
      </c>
      <c r="U9" s="27">
        <f t="shared" si="2"/>
        <v>0.13093434545454546</v>
      </c>
      <c r="V9" s="78">
        <f>E19+F19*D19</f>
        <v>11.25</v>
      </c>
      <c r="W9" s="78">
        <f t="shared" si="10"/>
        <v>625</v>
      </c>
      <c r="X9" s="92">
        <f t="shared" si="11"/>
        <v>2170.7459595959599</v>
      </c>
      <c r="Y9" s="78">
        <f>G18</f>
        <v>0.3</v>
      </c>
      <c r="Z9" s="26">
        <f t="shared" si="12"/>
        <v>2821.9697474747477</v>
      </c>
      <c r="AA9" s="78">
        <f t="shared" si="3"/>
        <v>0.1128787898989899</v>
      </c>
      <c r="AB9" s="30">
        <v>75</v>
      </c>
      <c r="AC9" s="31">
        <f t="shared" si="13"/>
        <v>0.22913510454545455</v>
      </c>
      <c r="AD9" s="31">
        <f t="shared" si="14"/>
        <v>0.19753788232323233</v>
      </c>
    </row>
    <row r="10" spans="1:30" ht="14.4" x14ac:dyDescent="0.3">
      <c r="A10" s="15">
        <v>150</v>
      </c>
      <c r="B10" s="7" t="s">
        <v>8</v>
      </c>
      <c r="C10" s="22" t="s">
        <v>19</v>
      </c>
      <c r="D10" s="23">
        <v>35000</v>
      </c>
      <c r="E10" s="24">
        <v>0.05</v>
      </c>
      <c r="F10" s="25">
        <v>21</v>
      </c>
      <c r="G10" s="26">
        <f t="shared" si="4"/>
        <v>22.05</v>
      </c>
      <c r="H10" s="27">
        <f t="shared" si="5"/>
        <v>771.75</v>
      </c>
      <c r="I10" s="27">
        <f>C26</f>
        <v>2.52</v>
      </c>
      <c r="J10" s="89">
        <f t="shared" si="6"/>
        <v>1944.81</v>
      </c>
      <c r="K10" s="84">
        <f>E36</f>
        <v>1.1438383838383839E-3</v>
      </c>
      <c r="L10" s="28">
        <f t="shared" si="0"/>
        <v>40.034343434343434</v>
      </c>
      <c r="M10" s="29">
        <f>A18*B18</f>
        <v>128</v>
      </c>
      <c r="N10" s="29">
        <f>C18</f>
        <v>450</v>
      </c>
      <c r="O10" s="29">
        <f>E18+F18*D18</f>
        <v>17.5</v>
      </c>
      <c r="P10" s="29">
        <f t="shared" si="1"/>
        <v>77.777777777777771</v>
      </c>
      <c r="Q10" s="28">
        <f t="shared" si="7"/>
        <v>1361.1111111111111</v>
      </c>
      <c r="R10" s="26">
        <f t="shared" si="8"/>
        <v>3473.9554545454544</v>
      </c>
      <c r="S10" s="26">
        <f>G18</f>
        <v>0.3</v>
      </c>
      <c r="T10" s="26">
        <f t="shared" si="9"/>
        <v>4516.1420909090903</v>
      </c>
      <c r="U10" s="27">
        <f t="shared" si="2"/>
        <v>0.12903263116883115</v>
      </c>
      <c r="V10" s="78">
        <f>E19+F19*D19</f>
        <v>11.25</v>
      </c>
      <c r="W10" s="78">
        <f t="shared" si="10"/>
        <v>874.99999999999989</v>
      </c>
      <c r="X10" s="92">
        <f t="shared" si="11"/>
        <v>2987.8443434343435</v>
      </c>
      <c r="Y10" s="78">
        <f>G18</f>
        <v>0.3</v>
      </c>
      <c r="Z10" s="26">
        <f t="shared" si="12"/>
        <v>3884.1976464646464</v>
      </c>
      <c r="AA10" s="78">
        <f t="shared" si="3"/>
        <v>0.11097707561327561</v>
      </c>
      <c r="AB10" s="30">
        <v>75</v>
      </c>
      <c r="AC10" s="31">
        <f t="shared" si="13"/>
        <v>0.2258071045454545</v>
      </c>
      <c r="AD10" s="31">
        <f t="shared" si="14"/>
        <v>0.1942098823232323</v>
      </c>
    </row>
    <row r="11" spans="1:30" ht="14.4" x14ac:dyDescent="0.3">
      <c r="A11" s="15">
        <v>150</v>
      </c>
      <c r="B11" s="7" t="s">
        <v>9</v>
      </c>
      <c r="C11" s="22" t="s">
        <v>20</v>
      </c>
      <c r="D11" s="23">
        <v>45000</v>
      </c>
      <c r="E11" s="24">
        <v>0.05</v>
      </c>
      <c r="F11" s="25">
        <v>21</v>
      </c>
      <c r="G11" s="26">
        <f t="shared" si="4"/>
        <v>22.05</v>
      </c>
      <c r="H11" s="27">
        <f t="shared" si="5"/>
        <v>992.25</v>
      </c>
      <c r="I11" s="27">
        <f>C26</f>
        <v>2.52</v>
      </c>
      <c r="J11" s="89">
        <f t="shared" si="6"/>
        <v>2500.4699999999998</v>
      </c>
      <c r="K11" s="84">
        <f>E36</f>
        <v>1.1438383838383839E-3</v>
      </c>
      <c r="L11" s="28">
        <f t="shared" si="0"/>
        <v>51.472727272727276</v>
      </c>
      <c r="M11" s="29">
        <f>A18*B18</f>
        <v>128</v>
      </c>
      <c r="N11" s="29">
        <f>C18</f>
        <v>450</v>
      </c>
      <c r="O11" s="29">
        <f>E18+F18*D18</f>
        <v>17.5</v>
      </c>
      <c r="P11" s="29">
        <f t="shared" si="1"/>
        <v>100</v>
      </c>
      <c r="Q11" s="28">
        <f t="shared" si="7"/>
        <v>1750</v>
      </c>
      <c r="R11" s="26">
        <f t="shared" si="8"/>
        <v>4429.9427272727271</v>
      </c>
      <c r="S11" s="26">
        <f>G18</f>
        <v>0.3</v>
      </c>
      <c r="T11" s="26">
        <f t="shared" si="9"/>
        <v>5758.9255454545455</v>
      </c>
      <c r="U11" s="27">
        <f t="shared" si="2"/>
        <v>0.12797612323232324</v>
      </c>
      <c r="V11" s="78">
        <f>E19+F19*D19</f>
        <v>11.25</v>
      </c>
      <c r="W11" s="78">
        <f t="shared" si="10"/>
        <v>1125</v>
      </c>
      <c r="X11" s="92">
        <f t="shared" si="11"/>
        <v>3804.9427272727271</v>
      </c>
      <c r="Y11" s="78">
        <f>G18</f>
        <v>0.3</v>
      </c>
      <c r="Z11" s="26">
        <f t="shared" si="12"/>
        <v>4946.4255454545455</v>
      </c>
      <c r="AA11" s="78">
        <f t="shared" si="3"/>
        <v>0.10992056767676768</v>
      </c>
      <c r="AB11" s="30">
        <v>70</v>
      </c>
      <c r="AC11" s="31">
        <f t="shared" si="13"/>
        <v>0.21755940949494951</v>
      </c>
      <c r="AD11" s="31">
        <f t="shared" si="14"/>
        <v>0.18686496505050504</v>
      </c>
    </row>
    <row r="12" spans="1:30" ht="14.4" x14ac:dyDescent="0.3">
      <c r="A12" s="15">
        <v>150</v>
      </c>
      <c r="B12" s="7" t="s">
        <v>10</v>
      </c>
      <c r="C12" s="22" t="s">
        <v>21</v>
      </c>
      <c r="D12" s="23">
        <v>75000</v>
      </c>
      <c r="E12" s="24">
        <v>0.05</v>
      </c>
      <c r="F12" s="25">
        <v>21</v>
      </c>
      <c r="G12" s="26">
        <f t="shared" si="4"/>
        <v>22.05</v>
      </c>
      <c r="H12" s="27">
        <f t="shared" si="5"/>
        <v>1653.75</v>
      </c>
      <c r="I12" s="27">
        <f>C26</f>
        <v>2.52</v>
      </c>
      <c r="J12" s="89">
        <f t="shared" si="6"/>
        <v>4167.45</v>
      </c>
      <c r="K12" s="84">
        <f>E36</f>
        <v>1.1438383838383839E-3</v>
      </c>
      <c r="L12" s="28">
        <f t="shared" si="0"/>
        <v>85.787878787878796</v>
      </c>
      <c r="M12" s="29">
        <f>A18*B18</f>
        <v>128</v>
      </c>
      <c r="N12" s="29">
        <f>C18</f>
        <v>450</v>
      </c>
      <c r="O12" s="29">
        <f>E18+F18*D18</f>
        <v>17.5</v>
      </c>
      <c r="P12" s="29">
        <f t="shared" si="1"/>
        <v>166.66666666666666</v>
      </c>
      <c r="Q12" s="28">
        <f>O12*P12</f>
        <v>2916.6666666666665</v>
      </c>
      <c r="R12" s="26">
        <f t="shared" si="8"/>
        <v>7297.9045454545449</v>
      </c>
      <c r="S12" s="26">
        <f>G18</f>
        <v>0.3</v>
      </c>
      <c r="T12" s="26">
        <f t="shared" si="9"/>
        <v>9487.2759090909076</v>
      </c>
      <c r="U12" s="27">
        <f t="shared" si="2"/>
        <v>0.12649701212121209</v>
      </c>
      <c r="V12" s="78">
        <f>E19+F19*D19</f>
        <v>11.25</v>
      </c>
      <c r="W12" s="78">
        <f t="shared" si="10"/>
        <v>1875</v>
      </c>
      <c r="X12" s="92">
        <f t="shared" si="11"/>
        <v>6256.2378787878788</v>
      </c>
      <c r="Y12" s="78">
        <f>G18</f>
        <v>0.3</v>
      </c>
      <c r="Z12" s="26">
        <f t="shared" si="12"/>
        <v>8133.1092424242424</v>
      </c>
      <c r="AA12" s="78">
        <f t="shared" si="3"/>
        <v>0.10844145656565657</v>
      </c>
      <c r="AB12" s="30">
        <v>70</v>
      </c>
      <c r="AC12" s="31">
        <f t="shared" si="13"/>
        <v>0.21504492060606056</v>
      </c>
      <c r="AD12" s="31">
        <f t="shared" si="14"/>
        <v>0.18435047616161615</v>
      </c>
    </row>
    <row r="13" spans="1:30" ht="14.4" x14ac:dyDescent="0.3">
      <c r="A13" s="15">
        <v>150</v>
      </c>
      <c r="B13" s="7" t="s">
        <v>11</v>
      </c>
      <c r="C13" s="22" t="s">
        <v>22</v>
      </c>
      <c r="D13" s="23">
        <v>125000</v>
      </c>
      <c r="E13" s="24">
        <v>0.03</v>
      </c>
      <c r="F13" s="25">
        <v>21</v>
      </c>
      <c r="G13" s="26">
        <f t="shared" si="4"/>
        <v>21.63</v>
      </c>
      <c r="H13" s="27">
        <f t="shared" si="5"/>
        <v>2703.75</v>
      </c>
      <c r="I13" s="27">
        <f>C26</f>
        <v>2.52</v>
      </c>
      <c r="J13" s="89">
        <f t="shared" si="6"/>
        <v>6813.45</v>
      </c>
      <c r="K13" s="84">
        <f>E36</f>
        <v>1.1438383838383839E-3</v>
      </c>
      <c r="L13" s="28">
        <f t="shared" si="0"/>
        <v>142.97979797979798</v>
      </c>
      <c r="M13" s="29">
        <f>A18*B18</f>
        <v>128</v>
      </c>
      <c r="N13" s="29">
        <f>C18</f>
        <v>450</v>
      </c>
      <c r="O13" s="29">
        <f>E18+F18*D18</f>
        <v>17.5</v>
      </c>
      <c r="P13" s="29">
        <f t="shared" si="1"/>
        <v>277.77777777777777</v>
      </c>
      <c r="Q13" s="28">
        <f t="shared" si="7"/>
        <v>4861.1111111111113</v>
      </c>
      <c r="R13" s="26">
        <f t="shared" si="8"/>
        <v>11945.540909090909</v>
      </c>
      <c r="S13" s="26">
        <f>G18</f>
        <v>0.3</v>
      </c>
      <c r="T13" s="26">
        <f t="shared" si="9"/>
        <v>15529.203181818182</v>
      </c>
      <c r="U13" s="27">
        <f t="shared" si="2"/>
        <v>0.12423362545454546</v>
      </c>
      <c r="V13" s="78">
        <f>E19+F19*D19</f>
        <v>11.25</v>
      </c>
      <c r="W13" s="78">
        <f t="shared" si="10"/>
        <v>3125</v>
      </c>
      <c r="X13" s="92">
        <f t="shared" si="11"/>
        <v>10209.429797979798</v>
      </c>
      <c r="Y13" s="78">
        <f>G18</f>
        <v>0.3</v>
      </c>
      <c r="Z13" s="26">
        <f t="shared" si="12"/>
        <v>13272.258737373737</v>
      </c>
      <c r="AA13" s="78">
        <f t="shared" si="3"/>
        <v>0.1061780698989899</v>
      </c>
      <c r="AB13" s="30">
        <v>65</v>
      </c>
      <c r="AC13" s="31">
        <f t="shared" si="13"/>
        <v>0.204985482</v>
      </c>
      <c r="AD13" s="31">
        <f t="shared" si="14"/>
        <v>0.17519381533333334</v>
      </c>
    </row>
    <row r="14" spans="1:30" ht="15" thickBot="1" x14ac:dyDescent="0.35">
      <c r="A14" s="15">
        <v>150</v>
      </c>
      <c r="B14" s="7" t="s">
        <v>12</v>
      </c>
      <c r="C14" s="22" t="s">
        <v>23</v>
      </c>
      <c r="D14" s="23">
        <v>200000</v>
      </c>
      <c r="E14" s="24">
        <v>0.03</v>
      </c>
      <c r="F14" s="25">
        <v>21</v>
      </c>
      <c r="G14" s="26">
        <f t="shared" si="4"/>
        <v>21.63</v>
      </c>
      <c r="H14" s="27">
        <f t="shared" si="5"/>
        <v>4326</v>
      </c>
      <c r="I14" s="27">
        <f>C26</f>
        <v>2.52</v>
      </c>
      <c r="J14" s="89">
        <f t="shared" si="6"/>
        <v>10901.52</v>
      </c>
      <c r="K14" s="84">
        <f>E36</f>
        <v>1.1438383838383839E-3</v>
      </c>
      <c r="L14" s="28">
        <f t="shared" si="0"/>
        <v>228.76767676767679</v>
      </c>
      <c r="M14" s="29">
        <f>A18*B18</f>
        <v>128</v>
      </c>
      <c r="N14" s="29">
        <f>C18</f>
        <v>450</v>
      </c>
      <c r="O14" s="29">
        <f>E18+F18*D18</f>
        <v>17.5</v>
      </c>
      <c r="P14" s="29">
        <f t="shared" si="1"/>
        <v>444.44444444444446</v>
      </c>
      <c r="Q14" s="28">
        <f t="shared" si="7"/>
        <v>7777.7777777777783</v>
      </c>
      <c r="R14" s="26">
        <f t="shared" si="8"/>
        <v>19036.065454545456</v>
      </c>
      <c r="S14" s="26">
        <f>G18</f>
        <v>0.3</v>
      </c>
      <c r="T14" s="26">
        <f t="shared" si="9"/>
        <v>24746.885090909094</v>
      </c>
      <c r="U14" s="27">
        <f t="shared" si="2"/>
        <v>0.12373442545454547</v>
      </c>
      <c r="V14" s="78">
        <f>E19+F19*D19</f>
        <v>11.25</v>
      </c>
      <c r="W14" s="78">
        <f t="shared" si="10"/>
        <v>5000</v>
      </c>
      <c r="X14" s="92">
        <f t="shared" si="11"/>
        <v>16258.287676767677</v>
      </c>
      <c r="Y14" s="78">
        <f>G18</f>
        <v>0.3</v>
      </c>
      <c r="Z14" s="26">
        <f t="shared" si="12"/>
        <v>21135.773979797981</v>
      </c>
      <c r="AA14" s="78">
        <f t="shared" si="3"/>
        <v>0.10567886989898991</v>
      </c>
      <c r="AB14" s="30">
        <v>60</v>
      </c>
      <c r="AC14" s="32">
        <f t="shared" si="13"/>
        <v>0.19797508072727277</v>
      </c>
      <c r="AD14" s="32">
        <f t="shared" si="14"/>
        <v>0.16908619183838386</v>
      </c>
    </row>
    <row r="15" spans="1:30" ht="14.4" thickBot="1" x14ac:dyDescent="0.35"/>
    <row r="16" spans="1:30" x14ac:dyDescent="0.3">
      <c r="A16" s="33" t="s">
        <v>27</v>
      </c>
      <c r="B16" s="34"/>
      <c r="C16" s="34"/>
      <c r="D16" s="34"/>
      <c r="E16" s="34"/>
      <c r="F16" s="34"/>
      <c r="G16" s="35"/>
      <c r="AC16" s="80"/>
    </row>
    <row r="17" spans="1:12" x14ac:dyDescent="0.3">
      <c r="A17" s="36" t="s">
        <v>28</v>
      </c>
      <c r="B17" s="37" t="s">
        <v>29</v>
      </c>
      <c r="C17" s="37" t="s">
        <v>30</v>
      </c>
      <c r="D17" s="37" t="s">
        <v>31</v>
      </c>
      <c r="E17" s="37" t="s">
        <v>32</v>
      </c>
      <c r="F17" s="37" t="s">
        <v>33</v>
      </c>
      <c r="G17" s="38" t="s">
        <v>34</v>
      </c>
      <c r="J17" s="39"/>
      <c r="K17" s="85"/>
      <c r="L17" s="14" t="s">
        <v>59</v>
      </c>
    </row>
    <row r="18" spans="1:12" ht="14.4" thickBot="1" x14ac:dyDescent="0.35">
      <c r="A18" s="40">
        <v>4</v>
      </c>
      <c r="B18" s="41">
        <v>32</v>
      </c>
      <c r="C18" s="41">
        <v>450</v>
      </c>
      <c r="D18" s="41">
        <v>0.5</v>
      </c>
      <c r="E18" s="41">
        <v>5</v>
      </c>
      <c r="F18" s="42">
        <v>25</v>
      </c>
      <c r="G18" s="43">
        <v>0.3</v>
      </c>
    </row>
    <row r="19" spans="1:12" ht="14.4" thickBot="1" x14ac:dyDescent="0.35">
      <c r="A19" s="40">
        <v>4</v>
      </c>
      <c r="B19" s="41">
        <v>32</v>
      </c>
      <c r="C19" s="41">
        <v>450</v>
      </c>
      <c r="D19" s="41">
        <v>0.25</v>
      </c>
      <c r="E19" s="41">
        <v>5</v>
      </c>
      <c r="F19" s="42">
        <v>25</v>
      </c>
      <c r="G19" s="43">
        <v>0.3</v>
      </c>
    </row>
    <row r="20" spans="1:12" ht="14.4" thickBot="1" x14ac:dyDescent="0.35">
      <c r="J20" s="44"/>
      <c r="K20" s="86"/>
      <c r="L20" s="14" t="s">
        <v>60</v>
      </c>
    </row>
    <row r="21" spans="1:12" x14ac:dyDescent="0.3">
      <c r="A21" s="45" t="s">
        <v>35</v>
      </c>
      <c r="B21" s="46"/>
      <c r="C21" s="46" t="s">
        <v>36</v>
      </c>
      <c r="D21" s="47" t="s">
        <v>37</v>
      </c>
    </row>
    <row r="22" spans="1:12" x14ac:dyDescent="0.3">
      <c r="A22" s="48" t="s">
        <v>40</v>
      </c>
      <c r="B22" s="49">
        <v>2</v>
      </c>
      <c r="C22" s="50">
        <v>96</v>
      </c>
      <c r="D22" s="51"/>
    </row>
    <row r="23" spans="1:12" x14ac:dyDescent="0.3">
      <c r="A23" s="48" t="s">
        <v>40</v>
      </c>
      <c r="B23" s="49">
        <v>15</v>
      </c>
      <c r="C23" s="50">
        <v>4</v>
      </c>
      <c r="D23" s="51"/>
    </row>
    <row r="24" spans="1:12" x14ac:dyDescent="0.3">
      <c r="A24" s="48" t="s">
        <v>40</v>
      </c>
      <c r="B24" s="49">
        <v>0</v>
      </c>
      <c r="C24" s="50"/>
      <c r="D24" s="51"/>
    </row>
    <row r="25" spans="1:12" ht="14.4" thickBot="1" x14ac:dyDescent="0.35">
      <c r="A25" s="48" t="s">
        <v>44</v>
      </c>
      <c r="B25" s="49">
        <v>0</v>
      </c>
      <c r="C25" s="50"/>
      <c r="D25" s="51"/>
    </row>
    <row r="26" spans="1:12" ht="14.4" thickBot="1" x14ac:dyDescent="0.35">
      <c r="A26" s="52" t="s">
        <v>45</v>
      </c>
      <c r="B26" s="53">
        <f>SUM(B22:B25)</f>
        <v>17</v>
      </c>
      <c r="C26" s="54">
        <f>(B22*C22/100)+(B23*C23/100)+(B24*C24/100)+(B25*C25/100)</f>
        <v>2.52</v>
      </c>
      <c r="D26" s="55" t="s">
        <v>62</v>
      </c>
    </row>
    <row r="27" spans="1:12" ht="14.4" thickBot="1" x14ac:dyDescent="0.35"/>
    <row r="28" spans="1:12" x14ac:dyDescent="0.3">
      <c r="A28" s="56" t="s">
        <v>38</v>
      </c>
      <c r="B28" s="57"/>
      <c r="C28" s="58"/>
      <c r="D28" s="59" t="s">
        <v>39</v>
      </c>
      <c r="E28" s="60" t="s">
        <v>97</v>
      </c>
    </row>
    <row r="29" spans="1:12" x14ac:dyDescent="0.3">
      <c r="A29" s="61" t="s">
        <v>42</v>
      </c>
      <c r="B29" s="62">
        <v>1100</v>
      </c>
      <c r="C29" s="63"/>
      <c r="D29" s="64"/>
      <c r="E29" s="65"/>
    </row>
    <row r="30" spans="1:12" x14ac:dyDescent="0.3">
      <c r="A30" s="61" t="s">
        <v>86</v>
      </c>
      <c r="B30" s="62">
        <v>9</v>
      </c>
      <c r="C30" s="63" t="s">
        <v>41</v>
      </c>
      <c r="D30" s="66">
        <v>0.68100000000000005</v>
      </c>
      <c r="E30" s="65">
        <f>D30*B30</f>
        <v>6.1290000000000004</v>
      </c>
    </row>
    <row r="31" spans="1:12" x14ac:dyDescent="0.3">
      <c r="A31" s="61" t="s">
        <v>87</v>
      </c>
      <c r="B31" s="62">
        <f>B30*B29</f>
        <v>9900</v>
      </c>
      <c r="C31" s="67"/>
      <c r="D31" s="68"/>
      <c r="E31" s="65"/>
    </row>
    <row r="32" spans="1:12" x14ac:dyDescent="0.3">
      <c r="A32" s="61" t="s">
        <v>88</v>
      </c>
      <c r="B32" s="62">
        <v>9</v>
      </c>
      <c r="C32" s="63" t="s">
        <v>43</v>
      </c>
      <c r="D32" s="69">
        <v>0.13800000000000001</v>
      </c>
      <c r="E32" s="65">
        <f>D32*B32</f>
        <v>1.242</v>
      </c>
    </row>
    <row r="33" spans="1:5" x14ac:dyDescent="0.3">
      <c r="A33" s="61" t="s">
        <v>46</v>
      </c>
      <c r="B33" s="62">
        <f>B32*5</f>
        <v>45</v>
      </c>
      <c r="C33" s="63" t="s">
        <v>47</v>
      </c>
      <c r="D33" s="66">
        <v>4.3400000000000001E-2</v>
      </c>
      <c r="E33" s="65">
        <f>D33*B33</f>
        <v>1.9530000000000001</v>
      </c>
    </row>
    <row r="34" spans="1:5" ht="14.4" thickBot="1" x14ac:dyDescent="0.35">
      <c r="A34" s="70" t="s">
        <v>48</v>
      </c>
      <c r="B34" s="71" t="s">
        <v>49</v>
      </c>
      <c r="C34" s="72" t="s">
        <v>50</v>
      </c>
      <c r="D34" s="73">
        <v>2</v>
      </c>
      <c r="E34" s="74">
        <f>D34</f>
        <v>2</v>
      </c>
    </row>
    <row r="35" spans="1:5" ht="14.4" thickBot="1" x14ac:dyDescent="0.35">
      <c r="E35" s="75">
        <f>SUM(E29:E34)</f>
        <v>11.324</v>
      </c>
    </row>
    <row r="36" spans="1:5" ht="14.4" thickBot="1" x14ac:dyDescent="0.35">
      <c r="D36" s="76" t="s">
        <v>98</v>
      </c>
      <c r="E36" s="77">
        <f>E35/B31</f>
        <v>1.1438383838383839E-3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DC1DF-277B-486C-B753-EEAE2F1FCE20}">
  <dimension ref="A2:AD36"/>
  <sheetViews>
    <sheetView topLeftCell="N1" workbookViewId="0">
      <selection activeCell="Z4" sqref="Z4:Z14"/>
    </sheetView>
  </sheetViews>
  <sheetFormatPr defaultColWidth="9.109375" defaultRowHeight="13.8" x14ac:dyDescent="0.3"/>
  <cols>
    <col min="1" max="1" width="28.6640625" style="14" bestFit="1" customWidth="1"/>
    <col min="2" max="2" width="10.109375" style="14" bestFit="1" customWidth="1"/>
    <col min="3" max="3" width="21" style="14" bestFit="1" customWidth="1"/>
    <col min="4" max="4" width="12.44140625" style="14" bestFit="1" customWidth="1"/>
    <col min="5" max="5" width="21" style="14" bestFit="1" customWidth="1"/>
    <col min="6" max="6" width="14.88671875" style="14" bestFit="1" customWidth="1"/>
    <col min="7" max="7" width="23.5546875" style="14" bestFit="1" customWidth="1"/>
    <col min="8" max="8" width="18.6640625" style="14" customWidth="1"/>
    <col min="9" max="9" width="0.109375" style="14" customWidth="1"/>
    <col min="10" max="10" width="9.5546875" style="14" bestFit="1" customWidth="1"/>
    <col min="11" max="11" width="15.33203125" style="82" customWidth="1"/>
    <col min="12" max="12" width="17.5546875" style="14" bestFit="1" customWidth="1"/>
    <col min="13" max="13" width="19.33203125" style="14" customWidth="1"/>
    <col min="14" max="14" width="9.109375" style="14" customWidth="1"/>
    <col min="15" max="15" width="22.88671875" style="14" customWidth="1"/>
    <col min="16" max="16" width="11.88671875" style="14" customWidth="1"/>
    <col min="17" max="17" width="23.5546875" style="14" bestFit="1" customWidth="1"/>
    <col min="18" max="18" width="24.33203125" style="14" customWidth="1"/>
    <col min="19" max="19" width="11" style="14" customWidth="1"/>
    <col min="20" max="20" width="35.5546875" style="14" bestFit="1" customWidth="1"/>
    <col min="21" max="21" width="14.6640625" style="14" bestFit="1" customWidth="1"/>
    <col min="22" max="27" width="14.6640625" style="14" customWidth="1"/>
    <col min="28" max="28" width="16.5546875" style="14" bestFit="1" customWidth="1"/>
    <col min="29" max="29" width="17.44140625" style="14" bestFit="1" customWidth="1"/>
    <col min="30" max="30" width="11.88671875" style="14" bestFit="1" customWidth="1"/>
    <col min="31" max="16384" width="9.109375" style="14"/>
  </cols>
  <sheetData>
    <row r="2" spans="1:30" ht="14.4" thickBot="1" x14ac:dyDescent="0.35"/>
    <row r="3" spans="1:30" ht="74.25" customHeight="1" thickBot="1" x14ac:dyDescent="0.35">
      <c r="A3" s="15" t="s">
        <v>57</v>
      </c>
      <c r="B3" s="15" t="s">
        <v>24</v>
      </c>
      <c r="C3" s="15" t="s">
        <v>25</v>
      </c>
      <c r="D3" s="15" t="s">
        <v>26</v>
      </c>
      <c r="E3" s="15" t="s">
        <v>55</v>
      </c>
      <c r="F3" s="15" t="s">
        <v>58</v>
      </c>
      <c r="G3" s="16" t="s">
        <v>51</v>
      </c>
      <c r="H3" s="17" t="s">
        <v>52</v>
      </c>
      <c r="I3" s="17" t="s">
        <v>61</v>
      </c>
      <c r="J3" s="90" t="s">
        <v>53</v>
      </c>
      <c r="K3" s="83" t="s">
        <v>99</v>
      </c>
      <c r="L3" s="18" t="s">
        <v>96</v>
      </c>
      <c r="M3" s="19" t="s">
        <v>54</v>
      </c>
      <c r="N3" s="19" t="s">
        <v>100</v>
      </c>
      <c r="O3" s="19" t="s">
        <v>108</v>
      </c>
      <c r="P3" s="19" t="s">
        <v>101</v>
      </c>
      <c r="Q3" s="91" t="s">
        <v>116</v>
      </c>
      <c r="R3" s="87" t="s">
        <v>107</v>
      </c>
      <c r="S3" s="88" t="s">
        <v>102</v>
      </c>
      <c r="T3" s="87" t="s">
        <v>104</v>
      </c>
      <c r="U3" s="87" t="s">
        <v>105</v>
      </c>
      <c r="V3" s="19" t="s">
        <v>109</v>
      </c>
      <c r="W3" s="20" t="s">
        <v>110</v>
      </c>
      <c r="X3" s="20"/>
      <c r="Y3" s="20"/>
      <c r="Z3" s="20" t="s">
        <v>111</v>
      </c>
      <c r="AA3" s="20" t="s">
        <v>112</v>
      </c>
      <c r="AB3" s="20" t="s">
        <v>103</v>
      </c>
      <c r="AC3" s="79" t="s">
        <v>106</v>
      </c>
      <c r="AD3" s="21" t="s">
        <v>113</v>
      </c>
    </row>
    <row r="4" spans="1:30" ht="14.4" x14ac:dyDescent="0.3">
      <c r="A4" s="15">
        <v>150</v>
      </c>
      <c r="B4" s="7" t="s">
        <v>2</v>
      </c>
      <c r="C4" s="22" t="s">
        <v>13</v>
      </c>
      <c r="D4" s="23">
        <v>2000</v>
      </c>
      <c r="E4" s="24">
        <v>0.1</v>
      </c>
      <c r="F4" s="25">
        <v>21</v>
      </c>
      <c r="G4" s="26">
        <f>F4+F4*E4</f>
        <v>23.1</v>
      </c>
      <c r="H4" s="27">
        <f>(G4*D4)/1000</f>
        <v>46.2</v>
      </c>
      <c r="I4" s="27">
        <f>C26</f>
        <v>1.5999999999999999</v>
      </c>
      <c r="J4" s="89">
        <f>H4*I4</f>
        <v>73.92</v>
      </c>
      <c r="K4" s="84">
        <f>E36</f>
        <v>1.1438383838383839E-3</v>
      </c>
      <c r="L4" s="28">
        <f t="shared" ref="L4:L14" si="0">K4*D4</f>
        <v>2.2876767676767678</v>
      </c>
      <c r="M4" s="29">
        <f>A18*B18</f>
        <v>128</v>
      </c>
      <c r="N4" s="29">
        <f>C18</f>
        <v>450</v>
      </c>
      <c r="O4" s="29">
        <f>E18+F18*D18</f>
        <v>17.5</v>
      </c>
      <c r="P4" s="29">
        <f t="shared" ref="P4:P14" si="1">D4/N4</f>
        <v>4.4444444444444446</v>
      </c>
      <c r="Q4" s="28">
        <f>O4*P4</f>
        <v>77.777777777777786</v>
      </c>
      <c r="R4" s="26">
        <f>Q4+L4+J4+M4</f>
        <v>281.98545454545456</v>
      </c>
      <c r="S4" s="26">
        <f>G18</f>
        <v>0.3</v>
      </c>
      <c r="T4" s="26">
        <f>R4+R4*S4</f>
        <v>366.5810909090909</v>
      </c>
      <c r="U4" s="27">
        <f t="shared" ref="U4:U14" si="2">T4/D4</f>
        <v>0.18329054545454546</v>
      </c>
      <c r="V4" s="78">
        <f>E19+F19*D19</f>
        <v>11.25</v>
      </c>
      <c r="W4" s="78">
        <f>V4*P4</f>
        <v>50</v>
      </c>
      <c r="X4" s="92">
        <f>W4+M4+L4+J4</f>
        <v>254.20767676767679</v>
      </c>
      <c r="Y4" s="78">
        <f>G18</f>
        <v>0.3</v>
      </c>
      <c r="Z4" s="26">
        <f>X4+X4*Y4</f>
        <v>330.46997979797982</v>
      </c>
      <c r="AA4" s="78">
        <f t="shared" ref="AA4:AA14" si="3">Z4/D4</f>
        <v>0.16523498989898991</v>
      </c>
      <c r="AB4" s="30">
        <v>180</v>
      </c>
      <c r="AC4" s="81">
        <f>U4*2+(U4*2*80/100)</f>
        <v>0.65984596363636361</v>
      </c>
      <c r="AD4" s="81">
        <f>AA4*2+(AA4*2*80/100)</f>
        <v>0.59484596363636366</v>
      </c>
    </row>
    <row r="5" spans="1:30" ht="14.4" x14ac:dyDescent="0.3">
      <c r="A5" s="15">
        <v>150</v>
      </c>
      <c r="B5" s="7" t="s">
        <v>3</v>
      </c>
      <c r="C5" s="22" t="s">
        <v>14</v>
      </c>
      <c r="D5" s="23">
        <v>4000</v>
      </c>
      <c r="E5" s="24">
        <v>0.1</v>
      </c>
      <c r="F5" s="25">
        <v>21</v>
      </c>
      <c r="G5" s="26">
        <f t="shared" ref="G5:G14" si="4">F5+F5*E5</f>
        <v>23.1</v>
      </c>
      <c r="H5" s="27">
        <f t="shared" ref="H5:H14" si="5">(G5*D5)/1000</f>
        <v>92.4</v>
      </c>
      <c r="I5" s="27">
        <f>C26</f>
        <v>1.5999999999999999</v>
      </c>
      <c r="J5" s="89">
        <f t="shared" ref="J5:J14" si="6">H5*I5</f>
        <v>147.84</v>
      </c>
      <c r="K5" s="84">
        <f>E36</f>
        <v>1.1438383838383839E-3</v>
      </c>
      <c r="L5" s="28">
        <f t="shared" si="0"/>
        <v>4.5753535353535355</v>
      </c>
      <c r="M5" s="29">
        <f>A18*B18</f>
        <v>128</v>
      </c>
      <c r="N5" s="29">
        <f>C18</f>
        <v>450</v>
      </c>
      <c r="O5" s="29">
        <f>E18+F18*D18</f>
        <v>17.5</v>
      </c>
      <c r="P5" s="29">
        <f t="shared" si="1"/>
        <v>8.8888888888888893</v>
      </c>
      <c r="Q5" s="28">
        <f t="shared" ref="Q5:Q14" si="7">O5*P5</f>
        <v>155.55555555555557</v>
      </c>
      <c r="R5" s="26">
        <f t="shared" ref="R5:R14" si="8">Q5+L5+J5+M5</f>
        <v>435.97090909090912</v>
      </c>
      <c r="S5" s="26">
        <f>G18</f>
        <v>0.3</v>
      </c>
      <c r="T5" s="26">
        <f t="shared" ref="T5:T14" si="9">R5+R5*S5</f>
        <v>566.76218181818183</v>
      </c>
      <c r="U5" s="27">
        <f t="shared" si="2"/>
        <v>0.14169054545454546</v>
      </c>
      <c r="V5" s="78">
        <f>E19+F19*D19</f>
        <v>11.25</v>
      </c>
      <c r="W5" s="78">
        <f t="shared" ref="W5:W14" si="10">V5*P5</f>
        <v>100</v>
      </c>
      <c r="X5" s="92">
        <f t="shared" ref="X5:X14" si="11">W5+M5+L5+J5</f>
        <v>380.41535353535357</v>
      </c>
      <c r="Y5" s="78">
        <f>G18</f>
        <v>0.3</v>
      </c>
      <c r="Z5" s="26">
        <f t="shared" ref="Z5:Z14" si="12">X5+X5*Y5</f>
        <v>494.53995959595966</v>
      </c>
      <c r="AA5" s="78">
        <f t="shared" si="3"/>
        <v>0.12363498989898991</v>
      </c>
      <c r="AB5" s="30">
        <v>160</v>
      </c>
      <c r="AC5" s="31">
        <f>U5*2+(U5*2*80/100)</f>
        <v>0.5100859636363636</v>
      </c>
      <c r="AD5" s="31">
        <f>AA5*2+(AA5*2*80/100)</f>
        <v>0.44508596363636366</v>
      </c>
    </row>
    <row r="6" spans="1:30" ht="14.4" x14ac:dyDescent="0.3">
      <c r="A6" s="15">
        <v>150</v>
      </c>
      <c r="B6" s="7" t="s">
        <v>4</v>
      </c>
      <c r="C6" s="22" t="s">
        <v>15</v>
      </c>
      <c r="D6" s="23">
        <v>7500</v>
      </c>
      <c r="E6" s="24">
        <v>7.0000000000000007E-2</v>
      </c>
      <c r="F6" s="25">
        <v>21</v>
      </c>
      <c r="G6" s="26">
        <f t="shared" si="4"/>
        <v>22.47</v>
      </c>
      <c r="H6" s="27">
        <f t="shared" si="5"/>
        <v>168.52500000000001</v>
      </c>
      <c r="I6" s="27">
        <f>C26</f>
        <v>1.5999999999999999</v>
      </c>
      <c r="J6" s="89">
        <f t="shared" si="6"/>
        <v>269.64</v>
      </c>
      <c r="K6" s="84">
        <f>E36</f>
        <v>1.1438383838383839E-3</v>
      </c>
      <c r="L6" s="28">
        <f t="shared" si="0"/>
        <v>8.57878787878788</v>
      </c>
      <c r="M6" s="29">
        <f>A18*B18</f>
        <v>128</v>
      </c>
      <c r="N6" s="29">
        <f>C18</f>
        <v>450</v>
      </c>
      <c r="O6" s="29">
        <f>E18+F18*D18</f>
        <v>17.5</v>
      </c>
      <c r="P6" s="29">
        <f t="shared" si="1"/>
        <v>16.666666666666668</v>
      </c>
      <c r="Q6" s="28">
        <f t="shared" si="7"/>
        <v>291.66666666666669</v>
      </c>
      <c r="R6" s="26">
        <f t="shared" si="8"/>
        <v>697.88545454545454</v>
      </c>
      <c r="S6" s="26">
        <f>G18</f>
        <v>0.3</v>
      </c>
      <c r="T6" s="26">
        <f t="shared" si="9"/>
        <v>907.25109090909086</v>
      </c>
      <c r="U6" s="27">
        <f t="shared" si="2"/>
        <v>0.12096681212121212</v>
      </c>
      <c r="V6" s="78">
        <f>E19+F19*D19</f>
        <v>11.25</v>
      </c>
      <c r="W6" s="78">
        <f t="shared" si="10"/>
        <v>187.5</v>
      </c>
      <c r="X6" s="92">
        <f t="shared" si="11"/>
        <v>593.71878787878791</v>
      </c>
      <c r="Y6" s="78">
        <f>G18</f>
        <v>0.3</v>
      </c>
      <c r="Z6" s="26">
        <f t="shared" si="12"/>
        <v>771.83442424242423</v>
      </c>
      <c r="AA6" s="78">
        <f t="shared" si="3"/>
        <v>0.10291125656565657</v>
      </c>
      <c r="AB6" s="30">
        <v>140</v>
      </c>
      <c r="AC6" s="31">
        <f>U6*2+(U6*2*80/100)</f>
        <v>0.43548052363636364</v>
      </c>
      <c r="AD6" s="31">
        <f>AA6*2+(AA6*2*80/100)</f>
        <v>0.37048052363636363</v>
      </c>
    </row>
    <row r="7" spans="1:30" ht="14.4" x14ac:dyDescent="0.3">
      <c r="A7" s="15">
        <v>150</v>
      </c>
      <c r="B7" s="7" t="s">
        <v>5</v>
      </c>
      <c r="C7" s="22" t="s">
        <v>16</v>
      </c>
      <c r="D7" s="23">
        <v>12500</v>
      </c>
      <c r="E7" s="24">
        <v>7.0000000000000007E-2</v>
      </c>
      <c r="F7" s="25">
        <v>21</v>
      </c>
      <c r="G7" s="26">
        <f t="shared" si="4"/>
        <v>22.47</v>
      </c>
      <c r="H7" s="27">
        <f t="shared" si="5"/>
        <v>280.875</v>
      </c>
      <c r="I7" s="27">
        <f>C26</f>
        <v>1.5999999999999999</v>
      </c>
      <c r="J7" s="89">
        <f t="shared" si="6"/>
        <v>449.4</v>
      </c>
      <c r="K7" s="84">
        <f>E36</f>
        <v>1.1438383838383839E-3</v>
      </c>
      <c r="L7" s="28">
        <f t="shared" si="0"/>
        <v>14.297979797979799</v>
      </c>
      <c r="M7" s="29">
        <f>A18*B18</f>
        <v>128</v>
      </c>
      <c r="N7" s="29">
        <f>C18</f>
        <v>450</v>
      </c>
      <c r="O7" s="29">
        <f>E18+F18*D18</f>
        <v>17.5</v>
      </c>
      <c r="P7" s="29">
        <f t="shared" si="1"/>
        <v>27.777777777777779</v>
      </c>
      <c r="Q7" s="28">
        <f t="shared" si="7"/>
        <v>486.11111111111114</v>
      </c>
      <c r="R7" s="26">
        <f t="shared" si="8"/>
        <v>1077.8090909090909</v>
      </c>
      <c r="S7" s="26">
        <f>G18</f>
        <v>0.3</v>
      </c>
      <c r="T7" s="26">
        <f t="shared" si="9"/>
        <v>1401.151818181818</v>
      </c>
      <c r="U7" s="27">
        <f t="shared" si="2"/>
        <v>0.11209214545454545</v>
      </c>
      <c r="V7" s="78">
        <f>E19+F19*D19</f>
        <v>11.25</v>
      </c>
      <c r="W7" s="78">
        <f t="shared" si="10"/>
        <v>312.5</v>
      </c>
      <c r="X7" s="92">
        <f t="shared" si="11"/>
        <v>904.19797979797977</v>
      </c>
      <c r="Y7" s="78">
        <f>G18</f>
        <v>0.3</v>
      </c>
      <c r="Z7" s="26">
        <f t="shared" si="12"/>
        <v>1175.4573737373737</v>
      </c>
      <c r="AA7" s="78">
        <f t="shared" si="3"/>
        <v>9.40365898989899E-2</v>
      </c>
      <c r="AB7" s="30">
        <v>85</v>
      </c>
      <c r="AC7" s="31">
        <f>U7+U7*AB7/100</f>
        <v>0.20737046909090909</v>
      </c>
      <c r="AD7" s="31">
        <f>AA7+AA7*AB7/100</f>
        <v>0.17396769131313133</v>
      </c>
    </row>
    <row r="8" spans="1:30" ht="14.4" x14ac:dyDescent="0.3">
      <c r="A8" s="15">
        <v>150</v>
      </c>
      <c r="B8" s="7" t="s">
        <v>6</v>
      </c>
      <c r="C8" s="22" t="s">
        <v>17</v>
      </c>
      <c r="D8" s="23">
        <v>17500</v>
      </c>
      <c r="E8" s="24">
        <v>7.0000000000000007E-2</v>
      </c>
      <c r="F8" s="25">
        <v>21</v>
      </c>
      <c r="G8" s="26">
        <f t="shared" si="4"/>
        <v>22.47</v>
      </c>
      <c r="H8" s="27">
        <f t="shared" si="5"/>
        <v>393.22500000000002</v>
      </c>
      <c r="I8" s="27">
        <f>C26</f>
        <v>1.5999999999999999</v>
      </c>
      <c r="J8" s="89">
        <f t="shared" si="6"/>
        <v>629.16</v>
      </c>
      <c r="K8" s="84">
        <f>E36</f>
        <v>1.1438383838383839E-3</v>
      </c>
      <c r="L8" s="28">
        <f t="shared" si="0"/>
        <v>20.017171717171717</v>
      </c>
      <c r="M8" s="29">
        <f>A18*B18</f>
        <v>128</v>
      </c>
      <c r="N8" s="29">
        <f>C18</f>
        <v>450</v>
      </c>
      <c r="O8" s="29">
        <f>E18+F18*D18</f>
        <v>17.5</v>
      </c>
      <c r="P8" s="29">
        <f t="shared" si="1"/>
        <v>38.888888888888886</v>
      </c>
      <c r="Q8" s="28">
        <f t="shared" si="7"/>
        <v>680.55555555555554</v>
      </c>
      <c r="R8" s="26">
        <f t="shared" si="8"/>
        <v>1457.7327272727271</v>
      </c>
      <c r="S8" s="26">
        <f>G18</f>
        <v>0.3</v>
      </c>
      <c r="T8" s="26">
        <f t="shared" si="9"/>
        <v>1895.0525454545452</v>
      </c>
      <c r="U8" s="27">
        <f t="shared" si="2"/>
        <v>0.10828871688311686</v>
      </c>
      <c r="V8" s="78">
        <f>E19+F19*D19</f>
        <v>11.25</v>
      </c>
      <c r="W8" s="78">
        <f t="shared" si="10"/>
        <v>437.49999999999994</v>
      </c>
      <c r="X8" s="92">
        <f t="shared" si="11"/>
        <v>1214.6771717171716</v>
      </c>
      <c r="Y8" s="78">
        <f>G18</f>
        <v>0.3</v>
      </c>
      <c r="Z8" s="26">
        <f t="shared" si="12"/>
        <v>1579.0803232323231</v>
      </c>
      <c r="AA8" s="78">
        <f t="shared" si="3"/>
        <v>9.0233161327561318E-2</v>
      </c>
      <c r="AB8" s="30">
        <v>80</v>
      </c>
      <c r="AC8" s="31">
        <f t="shared" ref="AC8:AC14" si="13">U8+U8*AB8/100</f>
        <v>0.19491969038961035</v>
      </c>
      <c r="AD8" s="31">
        <f t="shared" ref="AD8:AD14" si="14">AA8+AA8*AB8/100</f>
        <v>0.16241969038961038</v>
      </c>
    </row>
    <row r="9" spans="1:30" ht="14.4" x14ac:dyDescent="0.3">
      <c r="A9" s="15">
        <v>150</v>
      </c>
      <c r="B9" s="7" t="s">
        <v>7</v>
      </c>
      <c r="C9" s="22" t="s">
        <v>18</v>
      </c>
      <c r="D9" s="23">
        <v>25000</v>
      </c>
      <c r="E9" s="24">
        <v>0.05</v>
      </c>
      <c r="F9" s="25">
        <v>21</v>
      </c>
      <c r="G9" s="26">
        <f t="shared" si="4"/>
        <v>22.05</v>
      </c>
      <c r="H9" s="27">
        <f t="shared" si="5"/>
        <v>551.25</v>
      </c>
      <c r="I9" s="27">
        <f>C26</f>
        <v>1.5999999999999999</v>
      </c>
      <c r="J9" s="89">
        <f t="shared" si="6"/>
        <v>881.99999999999989</v>
      </c>
      <c r="K9" s="84">
        <f>E36</f>
        <v>1.1438383838383839E-3</v>
      </c>
      <c r="L9" s="28">
        <f t="shared" si="0"/>
        <v>28.595959595959599</v>
      </c>
      <c r="M9" s="29">
        <f>A18*B18</f>
        <v>128</v>
      </c>
      <c r="N9" s="29">
        <f>C18</f>
        <v>450</v>
      </c>
      <c r="O9" s="29">
        <f>E18+F18*D18</f>
        <v>17.5</v>
      </c>
      <c r="P9" s="29">
        <f t="shared" si="1"/>
        <v>55.555555555555557</v>
      </c>
      <c r="Q9" s="28">
        <f t="shared" si="7"/>
        <v>972.22222222222229</v>
      </c>
      <c r="R9" s="26">
        <f t="shared" si="8"/>
        <v>2010.8181818181818</v>
      </c>
      <c r="S9" s="26">
        <f>G18</f>
        <v>0.3</v>
      </c>
      <c r="T9" s="26">
        <f t="shared" si="9"/>
        <v>2614.0636363636363</v>
      </c>
      <c r="U9" s="27">
        <f t="shared" si="2"/>
        <v>0.10456254545454545</v>
      </c>
      <c r="V9" s="78">
        <f>E19+F19*D19</f>
        <v>11.25</v>
      </c>
      <c r="W9" s="78">
        <f t="shared" si="10"/>
        <v>625</v>
      </c>
      <c r="X9" s="92">
        <f t="shared" si="11"/>
        <v>1663.5959595959594</v>
      </c>
      <c r="Y9" s="78">
        <f>G18</f>
        <v>0.3</v>
      </c>
      <c r="Z9" s="26">
        <f t="shared" si="12"/>
        <v>2162.6747474747472</v>
      </c>
      <c r="AA9" s="78">
        <f t="shared" si="3"/>
        <v>8.6506989898989889E-2</v>
      </c>
      <c r="AB9" s="30">
        <v>75</v>
      </c>
      <c r="AC9" s="31">
        <f t="shared" si="13"/>
        <v>0.18298445454545453</v>
      </c>
      <c r="AD9" s="31">
        <f t="shared" si="14"/>
        <v>0.15138723232323231</v>
      </c>
    </row>
    <row r="10" spans="1:30" ht="14.4" x14ac:dyDescent="0.3">
      <c r="A10" s="15">
        <v>150</v>
      </c>
      <c r="B10" s="7" t="s">
        <v>8</v>
      </c>
      <c r="C10" s="22" t="s">
        <v>19</v>
      </c>
      <c r="D10" s="23">
        <v>35000</v>
      </c>
      <c r="E10" s="24">
        <v>0.05</v>
      </c>
      <c r="F10" s="25">
        <v>21</v>
      </c>
      <c r="G10" s="26">
        <f t="shared" si="4"/>
        <v>22.05</v>
      </c>
      <c r="H10" s="27">
        <f t="shared" si="5"/>
        <v>771.75</v>
      </c>
      <c r="I10" s="27">
        <f>C26</f>
        <v>1.5999999999999999</v>
      </c>
      <c r="J10" s="89">
        <f t="shared" si="6"/>
        <v>1234.8</v>
      </c>
      <c r="K10" s="84">
        <f>E36</f>
        <v>1.1438383838383839E-3</v>
      </c>
      <c r="L10" s="28">
        <f t="shared" si="0"/>
        <v>40.034343434343434</v>
      </c>
      <c r="M10" s="29">
        <f>A18*B18</f>
        <v>128</v>
      </c>
      <c r="N10" s="29">
        <f>C18</f>
        <v>450</v>
      </c>
      <c r="O10" s="29">
        <f>E18+F18*D18</f>
        <v>17.5</v>
      </c>
      <c r="P10" s="29">
        <f t="shared" si="1"/>
        <v>77.777777777777771</v>
      </c>
      <c r="Q10" s="28">
        <f t="shared" si="7"/>
        <v>1361.1111111111111</v>
      </c>
      <c r="R10" s="26">
        <f t="shared" si="8"/>
        <v>2763.9454545454546</v>
      </c>
      <c r="S10" s="26">
        <f>G18</f>
        <v>0.3</v>
      </c>
      <c r="T10" s="26">
        <f t="shared" si="9"/>
        <v>3593.1290909090908</v>
      </c>
      <c r="U10" s="27">
        <f t="shared" si="2"/>
        <v>0.10266083116883117</v>
      </c>
      <c r="V10" s="78">
        <f>E19+F19*D19</f>
        <v>11.25</v>
      </c>
      <c r="W10" s="78">
        <f t="shared" si="10"/>
        <v>874.99999999999989</v>
      </c>
      <c r="X10" s="92">
        <f t="shared" si="11"/>
        <v>2277.8343434343433</v>
      </c>
      <c r="Y10" s="78">
        <f>G18</f>
        <v>0.3</v>
      </c>
      <c r="Z10" s="26">
        <f t="shared" si="12"/>
        <v>2961.184646464646</v>
      </c>
      <c r="AA10" s="78">
        <f t="shared" si="3"/>
        <v>8.4605275613275605E-2</v>
      </c>
      <c r="AB10" s="30">
        <v>75</v>
      </c>
      <c r="AC10" s="31">
        <f t="shared" si="13"/>
        <v>0.17965645454545454</v>
      </c>
      <c r="AD10" s="31">
        <f t="shared" si="14"/>
        <v>0.14805923232323231</v>
      </c>
    </row>
    <row r="11" spans="1:30" ht="14.4" x14ac:dyDescent="0.3">
      <c r="A11" s="15">
        <v>150</v>
      </c>
      <c r="B11" s="7" t="s">
        <v>9</v>
      </c>
      <c r="C11" s="22" t="s">
        <v>20</v>
      </c>
      <c r="D11" s="23">
        <v>45000</v>
      </c>
      <c r="E11" s="24">
        <v>0.05</v>
      </c>
      <c r="F11" s="25">
        <v>21</v>
      </c>
      <c r="G11" s="26">
        <f t="shared" si="4"/>
        <v>22.05</v>
      </c>
      <c r="H11" s="27">
        <f t="shared" si="5"/>
        <v>992.25</v>
      </c>
      <c r="I11" s="27">
        <f>C26</f>
        <v>1.5999999999999999</v>
      </c>
      <c r="J11" s="89">
        <f t="shared" si="6"/>
        <v>1587.6</v>
      </c>
      <c r="K11" s="84">
        <f>E36</f>
        <v>1.1438383838383839E-3</v>
      </c>
      <c r="L11" s="28">
        <f t="shared" si="0"/>
        <v>51.472727272727276</v>
      </c>
      <c r="M11" s="29">
        <f>A18*B18</f>
        <v>128</v>
      </c>
      <c r="N11" s="29">
        <f>C18</f>
        <v>450</v>
      </c>
      <c r="O11" s="29">
        <f>E18+F18*D18</f>
        <v>17.5</v>
      </c>
      <c r="P11" s="29">
        <f t="shared" si="1"/>
        <v>100</v>
      </c>
      <c r="Q11" s="28">
        <f t="shared" si="7"/>
        <v>1750</v>
      </c>
      <c r="R11" s="26">
        <f t="shared" si="8"/>
        <v>3517.0727272727272</v>
      </c>
      <c r="S11" s="26">
        <f>G18</f>
        <v>0.3</v>
      </c>
      <c r="T11" s="26">
        <f t="shared" si="9"/>
        <v>4572.1945454545457</v>
      </c>
      <c r="U11" s="27">
        <f t="shared" si="2"/>
        <v>0.10160432323232324</v>
      </c>
      <c r="V11" s="78">
        <f>E19+F19*D19</f>
        <v>11.25</v>
      </c>
      <c r="W11" s="78">
        <f t="shared" si="10"/>
        <v>1125</v>
      </c>
      <c r="X11" s="92">
        <f t="shared" si="11"/>
        <v>2892.0727272727272</v>
      </c>
      <c r="Y11" s="78">
        <f>G18</f>
        <v>0.3</v>
      </c>
      <c r="Z11" s="26">
        <f t="shared" si="12"/>
        <v>3759.6945454545453</v>
      </c>
      <c r="AA11" s="78">
        <f t="shared" si="3"/>
        <v>8.354876767676768E-2</v>
      </c>
      <c r="AB11" s="30">
        <v>70</v>
      </c>
      <c r="AC11" s="31">
        <f t="shared" si="13"/>
        <v>0.1727273494949495</v>
      </c>
      <c r="AD11" s="31">
        <f t="shared" si="14"/>
        <v>0.14203290505050506</v>
      </c>
    </row>
    <row r="12" spans="1:30" ht="14.4" x14ac:dyDescent="0.3">
      <c r="A12" s="15">
        <v>150</v>
      </c>
      <c r="B12" s="7" t="s">
        <v>10</v>
      </c>
      <c r="C12" s="22" t="s">
        <v>21</v>
      </c>
      <c r="D12" s="23">
        <v>75000</v>
      </c>
      <c r="E12" s="24">
        <v>0.05</v>
      </c>
      <c r="F12" s="25">
        <v>21</v>
      </c>
      <c r="G12" s="26">
        <f t="shared" si="4"/>
        <v>22.05</v>
      </c>
      <c r="H12" s="27">
        <f t="shared" si="5"/>
        <v>1653.75</v>
      </c>
      <c r="I12" s="27">
        <f>C26</f>
        <v>1.5999999999999999</v>
      </c>
      <c r="J12" s="89">
        <f t="shared" si="6"/>
        <v>2646</v>
      </c>
      <c r="K12" s="84">
        <f>E36</f>
        <v>1.1438383838383839E-3</v>
      </c>
      <c r="L12" s="28">
        <f t="shared" si="0"/>
        <v>85.787878787878796</v>
      </c>
      <c r="M12" s="29">
        <f>A18*B18</f>
        <v>128</v>
      </c>
      <c r="N12" s="29">
        <f>C18</f>
        <v>450</v>
      </c>
      <c r="O12" s="29">
        <f>E18+F18*D18</f>
        <v>17.5</v>
      </c>
      <c r="P12" s="29">
        <f t="shared" si="1"/>
        <v>166.66666666666666</v>
      </c>
      <c r="Q12" s="28">
        <f>O12*P12</f>
        <v>2916.6666666666665</v>
      </c>
      <c r="R12" s="26">
        <f t="shared" si="8"/>
        <v>5776.454545454546</v>
      </c>
      <c r="S12" s="26">
        <f>G18</f>
        <v>0.3</v>
      </c>
      <c r="T12" s="26">
        <f t="shared" si="9"/>
        <v>7509.3909090909092</v>
      </c>
      <c r="U12" s="27">
        <f t="shared" si="2"/>
        <v>0.10012521212121213</v>
      </c>
      <c r="V12" s="78">
        <f>E19+F19*D19</f>
        <v>11.25</v>
      </c>
      <c r="W12" s="78">
        <f t="shared" si="10"/>
        <v>1875</v>
      </c>
      <c r="X12" s="92">
        <f t="shared" si="11"/>
        <v>4734.787878787879</v>
      </c>
      <c r="Y12" s="78">
        <f>G18</f>
        <v>0.3</v>
      </c>
      <c r="Z12" s="26">
        <f t="shared" si="12"/>
        <v>6155.2242424242431</v>
      </c>
      <c r="AA12" s="78">
        <f t="shared" si="3"/>
        <v>8.2069656565656582E-2</v>
      </c>
      <c r="AB12" s="30">
        <v>70</v>
      </c>
      <c r="AC12" s="31">
        <f t="shared" si="13"/>
        <v>0.17021286060606061</v>
      </c>
      <c r="AD12" s="31">
        <f t="shared" si="14"/>
        <v>0.1395184161616162</v>
      </c>
    </row>
    <row r="13" spans="1:30" ht="14.4" x14ac:dyDescent="0.3">
      <c r="A13" s="15">
        <v>150</v>
      </c>
      <c r="B13" s="7" t="s">
        <v>11</v>
      </c>
      <c r="C13" s="22" t="s">
        <v>22</v>
      </c>
      <c r="D13" s="23">
        <v>125000</v>
      </c>
      <c r="E13" s="24">
        <v>0.03</v>
      </c>
      <c r="F13" s="25">
        <v>21</v>
      </c>
      <c r="G13" s="26">
        <f t="shared" si="4"/>
        <v>21.63</v>
      </c>
      <c r="H13" s="27">
        <f t="shared" si="5"/>
        <v>2703.75</v>
      </c>
      <c r="I13" s="27">
        <f>C26</f>
        <v>1.5999999999999999</v>
      </c>
      <c r="J13" s="89">
        <f t="shared" si="6"/>
        <v>4326</v>
      </c>
      <c r="K13" s="84">
        <f>E36</f>
        <v>1.1438383838383839E-3</v>
      </c>
      <c r="L13" s="28">
        <f t="shared" si="0"/>
        <v>142.97979797979798</v>
      </c>
      <c r="M13" s="29">
        <f>A18*B18</f>
        <v>128</v>
      </c>
      <c r="N13" s="29">
        <f>C18</f>
        <v>450</v>
      </c>
      <c r="O13" s="29">
        <f>E18+F18*D18</f>
        <v>17.5</v>
      </c>
      <c r="P13" s="29">
        <f t="shared" si="1"/>
        <v>277.77777777777777</v>
      </c>
      <c r="Q13" s="28">
        <f t="shared" si="7"/>
        <v>4861.1111111111113</v>
      </c>
      <c r="R13" s="26">
        <f t="shared" si="8"/>
        <v>9458.0909090909081</v>
      </c>
      <c r="S13" s="26">
        <f>G18</f>
        <v>0.3</v>
      </c>
      <c r="T13" s="26">
        <f t="shared" si="9"/>
        <v>12295.518181818181</v>
      </c>
      <c r="U13" s="27">
        <f t="shared" si="2"/>
        <v>9.8364145454545443E-2</v>
      </c>
      <c r="V13" s="78">
        <f>E19+F19*D19</f>
        <v>11.25</v>
      </c>
      <c r="W13" s="78">
        <f t="shared" si="10"/>
        <v>3125</v>
      </c>
      <c r="X13" s="92">
        <f t="shared" si="11"/>
        <v>7721.9797979797986</v>
      </c>
      <c r="Y13" s="78">
        <f>G18</f>
        <v>0.3</v>
      </c>
      <c r="Z13" s="26">
        <f t="shared" si="12"/>
        <v>10038.573737373737</v>
      </c>
      <c r="AA13" s="78">
        <f t="shared" si="3"/>
        <v>8.0308589898989896E-2</v>
      </c>
      <c r="AB13" s="30">
        <v>65</v>
      </c>
      <c r="AC13" s="31">
        <f t="shared" si="13"/>
        <v>0.16230083999999997</v>
      </c>
      <c r="AD13" s="31">
        <f t="shared" si="14"/>
        <v>0.13250917333333334</v>
      </c>
    </row>
    <row r="14" spans="1:30" ht="15" thickBot="1" x14ac:dyDescent="0.35">
      <c r="A14" s="15">
        <v>150</v>
      </c>
      <c r="B14" s="7" t="s">
        <v>12</v>
      </c>
      <c r="C14" s="22" t="s">
        <v>23</v>
      </c>
      <c r="D14" s="23">
        <v>200000</v>
      </c>
      <c r="E14" s="24">
        <v>0.03</v>
      </c>
      <c r="F14" s="25">
        <v>21</v>
      </c>
      <c r="G14" s="26">
        <f t="shared" si="4"/>
        <v>21.63</v>
      </c>
      <c r="H14" s="27">
        <f t="shared" si="5"/>
        <v>4326</v>
      </c>
      <c r="I14" s="27">
        <f>C26</f>
        <v>1.5999999999999999</v>
      </c>
      <c r="J14" s="89">
        <f t="shared" si="6"/>
        <v>6921.5999999999995</v>
      </c>
      <c r="K14" s="84">
        <f>E36</f>
        <v>1.1438383838383839E-3</v>
      </c>
      <c r="L14" s="28">
        <f t="shared" si="0"/>
        <v>228.76767676767679</v>
      </c>
      <c r="M14" s="29">
        <f>A18*B18</f>
        <v>128</v>
      </c>
      <c r="N14" s="29">
        <f>C18</f>
        <v>450</v>
      </c>
      <c r="O14" s="29">
        <f>E18+F18*D18</f>
        <v>17.5</v>
      </c>
      <c r="P14" s="29">
        <f t="shared" si="1"/>
        <v>444.44444444444446</v>
      </c>
      <c r="Q14" s="28">
        <f t="shared" si="7"/>
        <v>7777.7777777777783</v>
      </c>
      <c r="R14" s="26">
        <f t="shared" si="8"/>
        <v>15056.145454545454</v>
      </c>
      <c r="S14" s="26">
        <f>G18</f>
        <v>0.3</v>
      </c>
      <c r="T14" s="26">
        <f t="shared" si="9"/>
        <v>19572.98909090909</v>
      </c>
      <c r="U14" s="27">
        <f t="shared" si="2"/>
        <v>9.7864945454545452E-2</v>
      </c>
      <c r="V14" s="78">
        <f>E19+F19*D19</f>
        <v>11.25</v>
      </c>
      <c r="W14" s="78">
        <f t="shared" si="10"/>
        <v>5000</v>
      </c>
      <c r="X14" s="92">
        <f t="shared" si="11"/>
        <v>12278.367676767677</v>
      </c>
      <c r="Y14" s="78">
        <f>G18</f>
        <v>0.3</v>
      </c>
      <c r="Z14" s="26">
        <f t="shared" si="12"/>
        <v>15961.877979797981</v>
      </c>
      <c r="AA14" s="78">
        <f t="shared" si="3"/>
        <v>7.9809389898989905E-2</v>
      </c>
      <c r="AB14" s="30">
        <v>60</v>
      </c>
      <c r="AC14" s="32">
        <f t="shared" si="13"/>
        <v>0.15658391272727273</v>
      </c>
      <c r="AD14" s="32">
        <f t="shared" si="14"/>
        <v>0.12769502383838385</v>
      </c>
    </row>
    <row r="15" spans="1:30" ht="14.4" thickBot="1" x14ac:dyDescent="0.35"/>
    <row r="16" spans="1:30" x14ac:dyDescent="0.3">
      <c r="A16" s="33" t="s">
        <v>27</v>
      </c>
      <c r="B16" s="34"/>
      <c r="C16" s="34"/>
      <c r="D16" s="34"/>
      <c r="E16" s="34"/>
      <c r="F16" s="34"/>
      <c r="G16" s="35"/>
      <c r="AC16" s="80"/>
    </row>
    <row r="17" spans="1:12" x14ac:dyDescent="0.3">
      <c r="A17" s="36" t="s">
        <v>28</v>
      </c>
      <c r="B17" s="37" t="s">
        <v>29</v>
      </c>
      <c r="C17" s="37" t="s">
        <v>30</v>
      </c>
      <c r="D17" s="37" t="s">
        <v>31</v>
      </c>
      <c r="E17" s="37" t="s">
        <v>32</v>
      </c>
      <c r="F17" s="37" t="s">
        <v>33</v>
      </c>
      <c r="G17" s="38" t="s">
        <v>34</v>
      </c>
      <c r="J17" s="39"/>
      <c r="K17" s="85"/>
      <c r="L17" s="14" t="s">
        <v>59</v>
      </c>
    </row>
    <row r="18" spans="1:12" ht="14.4" thickBot="1" x14ac:dyDescent="0.35">
      <c r="A18" s="40">
        <v>4</v>
      </c>
      <c r="B18" s="41">
        <v>32</v>
      </c>
      <c r="C18" s="41">
        <v>450</v>
      </c>
      <c r="D18" s="41">
        <v>0.5</v>
      </c>
      <c r="E18" s="41">
        <v>5</v>
      </c>
      <c r="F18" s="42">
        <v>25</v>
      </c>
      <c r="G18" s="43">
        <v>0.3</v>
      </c>
    </row>
    <row r="19" spans="1:12" ht="14.4" thickBot="1" x14ac:dyDescent="0.35">
      <c r="A19" s="40">
        <v>4</v>
      </c>
      <c r="B19" s="41">
        <v>32</v>
      </c>
      <c r="C19" s="41">
        <v>450</v>
      </c>
      <c r="D19" s="41">
        <v>0.25</v>
      </c>
      <c r="E19" s="41">
        <v>5</v>
      </c>
      <c r="F19" s="42">
        <v>25</v>
      </c>
      <c r="G19" s="43">
        <v>0.3</v>
      </c>
    </row>
    <row r="20" spans="1:12" ht="14.4" thickBot="1" x14ac:dyDescent="0.35">
      <c r="J20" s="44"/>
      <c r="K20" s="86"/>
      <c r="L20" s="14" t="s">
        <v>60</v>
      </c>
    </row>
    <row r="21" spans="1:12" x14ac:dyDescent="0.3">
      <c r="A21" s="45" t="s">
        <v>35</v>
      </c>
      <c r="B21" s="46"/>
      <c r="C21" s="46" t="s">
        <v>36</v>
      </c>
      <c r="D21" s="47" t="s">
        <v>37</v>
      </c>
    </row>
    <row r="22" spans="1:12" x14ac:dyDescent="0.3">
      <c r="A22" s="48" t="s">
        <v>40</v>
      </c>
      <c r="B22" s="49">
        <v>1.5</v>
      </c>
      <c r="C22" s="50">
        <v>96</v>
      </c>
      <c r="D22" s="51"/>
    </row>
    <row r="23" spans="1:12" x14ac:dyDescent="0.3">
      <c r="A23" s="48" t="s">
        <v>40</v>
      </c>
      <c r="B23" s="49">
        <v>4</v>
      </c>
      <c r="C23" s="50">
        <v>4</v>
      </c>
      <c r="D23" s="51"/>
    </row>
    <row r="24" spans="1:12" x14ac:dyDescent="0.3">
      <c r="A24" s="48" t="s">
        <v>40</v>
      </c>
      <c r="B24" s="49">
        <v>0</v>
      </c>
      <c r="C24" s="50"/>
      <c r="D24" s="51"/>
    </row>
    <row r="25" spans="1:12" ht="14.4" thickBot="1" x14ac:dyDescent="0.35">
      <c r="A25" s="48" t="s">
        <v>44</v>
      </c>
      <c r="B25" s="49">
        <v>0</v>
      </c>
      <c r="C25" s="50"/>
      <c r="D25" s="51"/>
    </row>
    <row r="26" spans="1:12" ht="14.4" thickBot="1" x14ac:dyDescent="0.35">
      <c r="A26" s="52" t="s">
        <v>45</v>
      </c>
      <c r="B26" s="53">
        <f>SUM(B22:B25)</f>
        <v>5.5</v>
      </c>
      <c r="C26" s="54">
        <f>(B22*C22/100)+(B23*C23/100)+(B24*C24/100)+(B25*C25/100)</f>
        <v>1.5999999999999999</v>
      </c>
      <c r="D26" s="55" t="s">
        <v>62</v>
      </c>
    </row>
    <row r="27" spans="1:12" ht="14.4" thickBot="1" x14ac:dyDescent="0.35"/>
    <row r="28" spans="1:12" x14ac:dyDescent="0.3">
      <c r="A28" s="56" t="s">
        <v>38</v>
      </c>
      <c r="B28" s="57"/>
      <c r="C28" s="58"/>
      <c r="D28" s="59" t="s">
        <v>39</v>
      </c>
      <c r="E28" s="60" t="s">
        <v>97</v>
      </c>
    </row>
    <row r="29" spans="1:12" x14ac:dyDescent="0.3">
      <c r="A29" s="61" t="s">
        <v>42</v>
      </c>
      <c r="B29" s="62">
        <v>1100</v>
      </c>
      <c r="C29" s="63"/>
      <c r="D29" s="64"/>
      <c r="E29" s="65"/>
    </row>
    <row r="30" spans="1:12" x14ac:dyDescent="0.3">
      <c r="A30" s="61" t="s">
        <v>86</v>
      </c>
      <c r="B30" s="62">
        <v>9</v>
      </c>
      <c r="C30" s="63" t="s">
        <v>41</v>
      </c>
      <c r="D30" s="66">
        <v>0.68100000000000005</v>
      </c>
      <c r="E30" s="65">
        <f>D30*B30</f>
        <v>6.1290000000000004</v>
      </c>
    </row>
    <row r="31" spans="1:12" x14ac:dyDescent="0.3">
      <c r="A31" s="61" t="s">
        <v>87</v>
      </c>
      <c r="B31" s="62">
        <f>B30*B29</f>
        <v>9900</v>
      </c>
      <c r="C31" s="67"/>
      <c r="D31" s="68"/>
      <c r="E31" s="65"/>
    </row>
    <row r="32" spans="1:12" x14ac:dyDescent="0.3">
      <c r="A32" s="61" t="s">
        <v>88</v>
      </c>
      <c r="B32" s="62">
        <v>9</v>
      </c>
      <c r="C32" s="63" t="s">
        <v>43</v>
      </c>
      <c r="D32" s="69">
        <v>0.13800000000000001</v>
      </c>
      <c r="E32" s="65">
        <f>D32*B32</f>
        <v>1.242</v>
      </c>
    </row>
    <row r="33" spans="1:5" x14ac:dyDescent="0.3">
      <c r="A33" s="61" t="s">
        <v>46</v>
      </c>
      <c r="B33" s="62">
        <f>B32*5</f>
        <v>45</v>
      </c>
      <c r="C33" s="63" t="s">
        <v>47</v>
      </c>
      <c r="D33" s="66">
        <v>4.3400000000000001E-2</v>
      </c>
      <c r="E33" s="65">
        <f>D33*B33</f>
        <v>1.9530000000000001</v>
      </c>
    </row>
    <row r="34" spans="1:5" ht="14.4" thickBot="1" x14ac:dyDescent="0.35">
      <c r="A34" s="70" t="s">
        <v>48</v>
      </c>
      <c r="B34" s="71" t="s">
        <v>49</v>
      </c>
      <c r="C34" s="72" t="s">
        <v>50</v>
      </c>
      <c r="D34" s="73">
        <v>2</v>
      </c>
      <c r="E34" s="74">
        <f>D34</f>
        <v>2</v>
      </c>
    </row>
    <row r="35" spans="1:5" ht="14.4" thickBot="1" x14ac:dyDescent="0.35">
      <c r="E35" s="75">
        <f>SUM(E29:E34)</f>
        <v>11.324</v>
      </c>
    </row>
    <row r="36" spans="1:5" ht="14.4" thickBot="1" x14ac:dyDescent="0.35">
      <c r="D36" s="76" t="s">
        <v>98</v>
      </c>
      <c r="E36" s="77">
        <f>E35/B31</f>
        <v>1.1438383838383839E-3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E1E59-1142-4AFF-B163-24D7786691AC}">
  <dimension ref="A2:AD36"/>
  <sheetViews>
    <sheetView topLeftCell="M1" workbookViewId="0">
      <selection activeCell="Z7" sqref="Z7"/>
    </sheetView>
  </sheetViews>
  <sheetFormatPr defaultColWidth="9.109375" defaultRowHeight="13.8" x14ac:dyDescent="0.3"/>
  <cols>
    <col min="1" max="1" width="28.6640625" style="14" bestFit="1" customWidth="1"/>
    <col min="2" max="2" width="10.109375" style="14" bestFit="1" customWidth="1"/>
    <col min="3" max="3" width="21" style="14" bestFit="1" customWidth="1"/>
    <col min="4" max="4" width="12.44140625" style="14" bestFit="1" customWidth="1"/>
    <col min="5" max="5" width="21" style="14" bestFit="1" customWidth="1"/>
    <col min="6" max="6" width="14.88671875" style="14" bestFit="1" customWidth="1"/>
    <col min="7" max="7" width="23.5546875" style="14" bestFit="1" customWidth="1"/>
    <col min="8" max="8" width="18.6640625" style="14" customWidth="1"/>
    <col min="9" max="9" width="0.109375" style="14" customWidth="1"/>
    <col min="10" max="10" width="9.5546875" style="14" bestFit="1" customWidth="1"/>
    <col min="11" max="11" width="15.33203125" style="82" customWidth="1"/>
    <col min="12" max="12" width="17.5546875" style="14" bestFit="1" customWidth="1"/>
    <col min="13" max="13" width="19.33203125" style="14" customWidth="1"/>
    <col min="14" max="14" width="9.109375" style="14" customWidth="1"/>
    <col min="15" max="15" width="22.88671875" style="14" customWidth="1"/>
    <col min="16" max="16" width="11.88671875" style="14" customWidth="1"/>
    <col min="17" max="17" width="23.5546875" style="14" bestFit="1" customWidth="1"/>
    <col min="18" max="18" width="24.33203125" style="14" customWidth="1"/>
    <col min="19" max="19" width="11" style="14" customWidth="1"/>
    <col min="20" max="20" width="35.5546875" style="14" bestFit="1" customWidth="1"/>
    <col min="21" max="21" width="14.6640625" style="14" bestFit="1" customWidth="1"/>
    <col min="22" max="27" width="14.6640625" style="14" customWidth="1"/>
    <col min="28" max="28" width="16.5546875" style="14" bestFit="1" customWidth="1"/>
    <col min="29" max="29" width="17.44140625" style="14" bestFit="1" customWidth="1"/>
    <col min="30" max="30" width="11.88671875" style="14" bestFit="1" customWidth="1"/>
    <col min="31" max="16384" width="9.109375" style="14"/>
  </cols>
  <sheetData>
    <row r="2" spans="1:30" ht="14.4" thickBot="1" x14ac:dyDescent="0.35"/>
    <row r="3" spans="1:30" ht="74.25" customHeight="1" thickBot="1" x14ac:dyDescent="0.35">
      <c r="A3" s="15" t="s">
        <v>57</v>
      </c>
      <c r="B3" s="15" t="s">
        <v>24</v>
      </c>
      <c r="C3" s="15" t="s">
        <v>25</v>
      </c>
      <c r="D3" s="15" t="s">
        <v>26</v>
      </c>
      <c r="E3" s="15" t="s">
        <v>55</v>
      </c>
      <c r="F3" s="15" t="s">
        <v>58</v>
      </c>
      <c r="G3" s="16" t="s">
        <v>51</v>
      </c>
      <c r="H3" s="17" t="s">
        <v>52</v>
      </c>
      <c r="I3" s="17" t="s">
        <v>61</v>
      </c>
      <c r="J3" s="90" t="s">
        <v>53</v>
      </c>
      <c r="K3" s="83" t="s">
        <v>99</v>
      </c>
      <c r="L3" s="18" t="s">
        <v>96</v>
      </c>
      <c r="M3" s="19" t="s">
        <v>54</v>
      </c>
      <c r="N3" s="19" t="s">
        <v>100</v>
      </c>
      <c r="O3" s="19" t="s">
        <v>108</v>
      </c>
      <c r="P3" s="19" t="s">
        <v>101</v>
      </c>
      <c r="Q3" s="91" t="s">
        <v>116</v>
      </c>
      <c r="R3" s="87" t="s">
        <v>107</v>
      </c>
      <c r="S3" s="88" t="s">
        <v>102</v>
      </c>
      <c r="T3" s="87" t="s">
        <v>104</v>
      </c>
      <c r="U3" s="87" t="s">
        <v>105</v>
      </c>
      <c r="V3" s="19" t="s">
        <v>109</v>
      </c>
      <c r="W3" s="20" t="s">
        <v>110</v>
      </c>
      <c r="X3" s="20"/>
      <c r="Y3" s="20"/>
      <c r="Z3" s="20" t="s">
        <v>111</v>
      </c>
      <c r="AA3" s="20" t="s">
        <v>112</v>
      </c>
      <c r="AB3" s="20" t="s">
        <v>103</v>
      </c>
      <c r="AC3" s="79" t="s">
        <v>106</v>
      </c>
      <c r="AD3" s="21" t="s">
        <v>113</v>
      </c>
    </row>
    <row r="4" spans="1:30" ht="14.4" x14ac:dyDescent="0.3">
      <c r="A4" s="15">
        <v>150</v>
      </c>
      <c r="B4" s="7" t="s">
        <v>2</v>
      </c>
      <c r="C4" s="22" t="s">
        <v>13</v>
      </c>
      <c r="D4" s="23">
        <v>2000</v>
      </c>
      <c r="E4" s="24">
        <v>0.1</v>
      </c>
      <c r="F4" s="25">
        <v>21</v>
      </c>
      <c r="G4" s="26">
        <f>F4+F4*E4</f>
        <v>23.1</v>
      </c>
      <c r="H4" s="27">
        <f>(G4*D4)/1000</f>
        <v>46.2</v>
      </c>
      <c r="I4" s="27">
        <f>C26</f>
        <v>2.04</v>
      </c>
      <c r="J4" s="89">
        <f>H4*I4</f>
        <v>94.248000000000005</v>
      </c>
      <c r="K4" s="84">
        <f>E36</f>
        <v>1.1438383838383839E-3</v>
      </c>
      <c r="L4" s="28">
        <f t="shared" ref="L4:L14" si="0">K4*D4</f>
        <v>2.2876767676767678</v>
      </c>
      <c r="M4" s="29">
        <f>A18*B18</f>
        <v>128</v>
      </c>
      <c r="N4" s="29">
        <f>C18</f>
        <v>450</v>
      </c>
      <c r="O4" s="29">
        <f>E18+F18*D18</f>
        <v>17.5</v>
      </c>
      <c r="P4" s="29">
        <f t="shared" ref="P4:P14" si="1">D4/N4</f>
        <v>4.4444444444444446</v>
      </c>
      <c r="Q4" s="28">
        <f>O4*P4</f>
        <v>77.777777777777786</v>
      </c>
      <c r="R4" s="26">
        <f>Q4+L4+J4+M4</f>
        <v>302.31345454545453</v>
      </c>
      <c r="S4" s="26">
        <f>G18</f>
        <v>0.3</v>
      </c>
      <c r="T4" s="26">
        <f>R4+R4*S4</f>
        <v>393.0074909090909</v>
      </c>
      <c r="U4" s="27">
        <f t="shared" ref="U4:U14" si="2">T4/D4</f>
        <v>0.19650374545454546</v>
      </c>
      <c r="V4" s="78">
        <f>E19+F19*D19</f>
        <v>11.25</v>
      </c>
      <c r="W4" s="78">
        <f>V4*P4</f>
        <v>50</v>
      </c>
      <c r="X4" s="92">
        <f>W4+M4+L4+J4</f>
        <v>274.53567676767676</v>
      </c>
      <c r="Y4" s="78">
        <f>G18</f>
        <v>0.3</v>
      </c>
      <c r="Z4" s="26">
        <f>X4+X4*Y4</f>
        <v>356.89637979797976</v>
      </c>
      <c r="AA4" s="78">
        <f t="shared" ref="AA4:AA14" si="3">Z4/D4</f>
        <v>0.17844818989898989</v>
      </c>
      <c r="AB4" s="30">
        <v>180</v>
      </c>
      <c r="AC4" s="81">
        <f>U4*2+(U4*2*80/100)</f>
        <v>0.70741348363636369</v>
      </c>
      <c r="AD4" s="81">
        <f>AA4*2+(AA4*2*80/100)</f>
        <v>0.64241348363636364</v>
      </c>
    </row>
    <row r="5" spans="1:30" ht="14.4" x14ac:dyDescent="0.3">
      <c r="A5" s="15">
        <v>150</v>
      </c>
      <c r="B5" s="7" t="s">
        <v>3</v>
      </c>
      <c r="C5" s="22" t="s">
        <v>14</v>
      </c>
      <c r="D5" s="23">
        <v>4000</v>
      </c>
      <c r="E5" s="24">
        <v>0.1</v>
      </c>
      <c r="F5" s="25">
        <v>21</v>
      </c>
      <c r="G5" s="26">
        <f t="shared" ref="G5:G14" si="4">F5+F5*E5</f>
        <v>23.1</v>
      </c>
      <c r="H5" s="27">
        <f t="shared" ref="H5:H14" si="5">(G5*D5)/1000</f>
        <v>92.4</v>
      </c>
      <c r="I5" s="27">
        <f>C26</f>
        <v>2.04</v>
      </c>
      <c r="J5" s="89">
        <f t="shared" ref="J5:J14" si="6">H5*I5</f>
        <v>188.49600000000001</v>
      </c>
      <c r="K5" s="84">
        <f>E36</f>
        <v>1.1438383838383839E-3</v>
      </c>
      <c r="L5" s="28">
        <f t="shared" si="0"/>
        <v>4.5753535353535355</v>
      </c>
      <c r="M5" s="29">
        <f>A18*B18</f>
        <v>128</v>
      </c>
      <c r="N5" s="29">
        <f>C18</f>
        <v>450</v>
      </c>
      <c r="O5" s="29">
        <f>E18+F18*D18</f>
        <v>17.5</v>
      </c>
      <c r="P5" s="29">
        <f t="shared" si="1"/>
        <v>8.8888888888888893</v>
      </c>
      <c r="Q5" s="28">
        <f t="shared" ref="Q5:Q14" si="7">O5*P5</f>
        <v>155.55555555555557</v>
      </c>
      <c r="R5" s="26">
        <f t="shared" ref="R5:R14" si="8">Q5+L5+J5+M5</f>
        <v>476.62690909090912</v>
      </c>
      <c r="S5" s="26">
        <f>G18</f>
        <v>0.3</v>
      </c>
      <c r="T5" s="26">
        <f t="shared" ref="T5:T14" si="9">R5+R5*S5</f>
        <v>619.61498181818183</v>
      </c>
      <c r="U5" s="27">
        <f t="shared" si="2"/>
        <v>0.15490374545454547</v>
      </c>
      <c r="V5" s="78">
        <f>E19+F19*D19</f>
        <v>11.25</v>
      </c>
      <c r="W5" s="78">
        <f t="shared" ref="W5:W14" si="10">V5*P5</f>
        <v>100</v>
      </c>
      <c r="X5" s="92">
        <f t="shared" ref="X5:X14" si="11">W5+M5+L5+J5</f>
        <v>421.07135353535352</v>
      </c>
      <c r="Y5" s="78">
        <f>G18</f>
        <v>0.3</v>
      </c>
      <c r="Z5" s="26">
        <f t="shared" ref="Z5:Z14" si="12">X5+X5*Y5</f>
        <v>547.39275959595955</v>
      </c>
      <c r="AA5" s="78">
        <f t="shared" si="3"/>
        <v>0.13684818989898989</v>
      </c>
      <c r="AB5" s="30">
        <v>160</v>
      </c>
      <c r="AC5" s="31">
        <f>U5*2+(U5*2*80/100)</f>
        <v>0.55765348363636369</v>
      </c>
      <c r="AD5" s="31">
        <f>AA5*2+(AA5*2*80/100)</f>
        <v>0.49265348363636363</v>
      </c>
    </row>
    <row r="6" spans="1:30" ht="14.4" x14ac:dyDescent="0.3">
      <c r="A6" s="15">
        <v>150</v>
      </c>
      <c r="B6" s="7" t="s">
        <v>4</v>
      </c>
      <c r="C6" s="22" t="s">
        <v>15</v>
      </c>
      <c r="D6" s="23">
        <v>7500</v>
      </c>
      <c r="E6" s="24">
        <v>7.0000000000000007E-2</v>
      </c>
      <c r="F6" s="25">
        <v>21</v>
      </c>
      <c r="G6" s="26">
        <f t="shared" si="4"/>
        <v>22.47</v>
      </c>
      <c r="H6" s="27">
        <f t="shared" si="5"/>
        <v>168.52500000000001</v>
      </c>
      <c r="I6" s="27">
        <f>C26</f>
        <v>2.04</v>
      </c>
      <c r="J6" s="89">
        <f t="shared" si="6"/>
        <v>343.791</v>
      </c>
      <c r="K6" s="84">
        <f>E36</f>
        <v>1.1438383838383839E-3</v>
      </c>
      <c r="L6" s="28">
        <f t="shared" si="0"/>
        <v>8.57878787878788</v>
      </c>
      <c r="M6" s="29">
        <f>A18*B18</f>
        <v>128</v>
      </c>
      <c r="N6" s="29">
        <f>C18</f>
        <v>450</v>
      </c>
      <c r="O6" s="29">
        <f>E18+F18*D18</f>
        <v>17.5</v>
      </c>
      <c r="P6" s="29">
        <f t="shared" si="1"/>
        <v>16.666666666666668</v>
      </c>
      <c r="Q6" s="28">
        <f t="shared" si="7"/>
        <v>291.66666666666669</v>
      </c>
      <c r="R6" s="26">
        <f t="shared" si="8"/>
        <v>772.03645454545449</v>
      </c>
      <c r="S6" s="26">
        <f>G18</f>
        <v>0.3</v>
      </c>
      <c r="T6" s="26">
        <f t="shared" si="9"/>
        <v>1003.6473909090909</v>
      </c>
      <c r="U6" s="27">
        <f t="shared" si="2"/>
        <v>0.13381965212121211</v>
      </c>
      <c r="V6" s="78">
        <f>E19+F19*D19</f>
        <v>11.25</v>
      </c>
      <c r="W6" s="78">
        <f t="shared" si="10"/>
        <v>187.5</v>
      </c>
      <c r="X6" s="92">
        <f t="shared" si="11"/>
        <v>667.86978787878786</v>
      </c>
      <c r="Y6" s="78">
        <f>G18</f>
        <v>0.3</v>
      </c>
      <c r="Z6" s="26">
        <f t="shared" si="12"/>
        <v>868.23072424242423</v>
      </c>
      <c r="AA6" s="78">
        <f t="shared" si="3"/>
        <v>0.11576409656565656</v>
      </c>
      <c r="AB6" s="30">
        <v>140</v>
      </c>
      <c r="AC6" s="31">
        <f>U6*2+(U6*2*80/100)</f>
        <v>0.48175074763636361</v>
      </c>
      <c r="AD6" s="31">
        <f>AA6*2+(AA6*2*80/100)</f>
        <v>0.41675074763636361</v>
      </c>
    </row>
    <row r="7" spans="1:30" ht="14.4" x14ac:dyDescent="0.3">
      <c r="A7" s="15">
        <v>150</v>
      </c>
      <c r="B7" s="7" t="s">
        <v>5</v>
      </c>
      <c r="C7" s="22" t="s">
        <v>16</v>
      </c>
      <c r="D7" s="23">
        <v>12500</v>
      </c>
      <c r="E7" s="24">
        <v>7.0000000000000007E-2</v>
      </c>
      <c r="F7" s="25">
        <v>21</v>
      </c>
      <c r="G7" s="26">
        <f t="shared" si="4"/>
        <v>22.47</v>
      </c>
      <c r="H7" s="27">
        <f t="shared" si="5"/>
        <v>280.875</v>
      </c>
      <c r="I7" s="27">
        <f>C26</f>
        <v>2.04</v>
      </c>
      <c r="J7" s="89">
        <f t="shared" si="6"/>
        <v>572.98500000000001</v>
      </c>
      <c r="K7" s="84">
        <f>E36</f>
        <v>1.1438383838383839E-3</v>
      </c>
      <c r="L7" s="28">
        <f t="shared" si="0"/>
        <v>14.297979797979799</v>
      </c>
      <c r="M7" s="29">
        <f>A18*B18</f>
        <v>128</v>
      </c>
      <c r="N7" s="29">
        <f>C18</f>
        <v>450</v>
      </c>
      <c r="O7" s="29">
        <f>E18+F18*D18</f>
        <v>17.5</v>
      </c>
      <c r="P7" s="29">
        <f t="shared" si="1"/>
        <v>27.777777777777779</v>
      </c>
      <c r="Q7" s="28">
        <f t="shared" si="7"/>
        <v>486.11111111111114</v>
      </c>
      <c r="R7" s="26">
        <f t="shared" si="8"/>
        <v>1201.3940909090909</v>
      </c>
      <c r="S7" s="26">
        <f>G18</f>
        <v>0.3</v>
      </c>
      <c r="T7" s="26">
        <f t="shared" si="9"/>
        <v>1561.8123181818182</v>
      </c>
      <c r="U7" s="27">
        <f t="shared" si="2"/>
        <v>0.12494498545454545</v>
      </c>
      <c r="V7" s="78">
        <f>E19+F19*D19</f>
        <v>11.25</v>
      </c>
      <c r="W7" s="78">
        <f t="shared" si="10"/>
        <v>312.5</v>
      </c>
      <c r="X7" s="92">
        <f t="shared" si="11"/>
        <v>1027.7829797979798</v>
      </c>
      <c r="Y7" s="78">
        <f>G18</f>
        <v>0.3</v>
      </c>
      <c r="Z7" s="26">
        <f t="shared" si="12"/>
        <v>1336.1178737373737</v>
      </c>
      <c r="AA7" s="78">
        <f t="shared" si="3"/>
        <v>0.10688942989898989</v>
      </c>
      <c r="AB7" s="30">
        <v>85</v>
      </c>
      <c r="AC7" s="31">
        <f>U7+U7*AB7/100</f>
        <v>0.2311482230909091</v>
      </c>
      <c r="AD7" s="31">
        <f>AA7+AA7*AB7/100</f>
        <v>0.19774544531313129</v>
      </c>
    </row>
    <row r="8" spans="1:30" ht="14.4" x14ac:dyDescent="0.3">
      <c r="A8" s="15">
        <v>150</v>
      </c>
      <c r="B8" s="7" t="s">
        <v>6</v>
      </c>
      <c r="C8" s="22" t="s">
        <v>17</v>
      </c>
      <c r="D8" s="23">
        <v>17500</v>
      </c>
      <c r="E8" s="24">
        <v>7.0000000000000007E-2</v>
      </c>
      <c r="F8" s="25">
        <v>21</v>
      </c>
      <c r="G8" s="26">
        <f t="shared" si="4"/>
        <v>22.47</v>
      </c>
      <c r="H8" s="27">
        <f t="shared" si="5"/>
        <v>393.22500000000002</v>
      </c>
      <c r="I8" s="27">
        <f>C26</f>
        <v>2.04</v>
      </c>
      <c r="J8" s="89">
        <f t="shared" si="6"/>
        <v>802.17900000000009</v>
      </c>
      <c r="K8" s="84">
        <f>E36</f>
        <v>1.1438383838383839E-3</v>
      </c>
      <c r="L8" s="28">
        <f t="shared" si="0"/>
        <v>20.017171717171717</v>
      </c>
      <c r="M8" s="29">
        <f>A18*B18</f>
        <v>128</v>
      </c>
      <c r="N8" s="29">
        <f>C18</f>
        <v>450</v>
      </c>
      <c r="O8" s="29">
        <f>E18+F18*D18</f>
        <v>17.5</v>
      </c>
      <c r="P8" s="29">
        <f t="shared" si="1"/>
        <v>38.888888888888886</v>
      </c>
      <c r="Q8" s="28">
        <f t="shared" si="7"/>
        <v>680.55555555555554</v>
      </c>
      <c r="R8" s="26">
        <f t="shared" si="8"/>
        <v>1630.7517272727273</v>
      </c>
      <c r="S8" s="26">
        <f>G18</f>
        <v>0.3</v>
      </c>
      <c r="T8" s="26">
        <f t="shared" si="9"/>
        <v>2119.9772454545455</v>
      </c>
      <c r="U8" s="27">
        <f t="shared" si="2"/>
        <v>0.12114155688311688</v>
      </c>
      <c r="V8" s="78">
        <f>E19+F19*D19</f>
        <v>11.25</v>
      </c>
      <c r="W8" s="78">
        <f t="shared" si="10"/>
        <v>437.49999999999994</v>
      </c>
      <c r="X8" s="92">
        <f t="shared" si="11"/>
        <v>1387.6961717171716</v>
      </c>
      <c r="Y8" s="78">
        <f>G18</f>
        <v>0.3</v>
      </c>
      <c r="Z8" s="26">
        <f t="shared" si="12"/>
        <v>1804.0050232323231</v>
      </c>
      <c r="AA8" s="78">
        <f t="shared" si="3"/>
        <v>0.10308600132756132</v>
      </c>
      <c r="AB8" s="30">
        <v>80</v>
      </c>
      <c r="AC8" s="31">
        <f t="shared" ref="AC8:AC14" si="13">U8+U8*AB8/100</f>
        <v>0.21805480238961039</v>
      </c>
      <c r="AD8" s="31">
        <f t="shared" ref="AD8:AD14" si="14">AA8+AA8*AB8/100</f>
        <v>0.18555480238961036</v>
      </c>
    </row>
    <row r="9" spans="1:30" ht="14.4" x14ac:dyDescent="0.3">
      <c r="A9" s="15">
        <v>150</v>
      </c>
      <c r="B9" s="7" t="s">
        <v>7</v>
      </c>
      <c r="C9" s="22" t="s">
        <v>18</v>
      </c>
      <c r="D9" s="23">
        <v>25000</v>
      </c>
      <c r="E9" s="24">
        <v>0.05</v>
      </c>
      <c r="F9" s="25">
        <v>21</v>
      </c>
      <c r="G9" s="26">
        <f t="shared" si="4"/>
        <v>22.05</v>
      </c>
      <c r="H9" s="27">
        <f t="shared" si="5"/>
        <v>551.25</v>
      </c>
      <c r="I9" s="27">
        <f>C26</f>
        <v>2.04</v>
      </c>
      <c r="J9" s="89">
        <f t="shared" si="6"/>
        <v>1124.55</v>
      </c>
      <c r="K9" s="84">
        <f>E36</f>
        <v>1.1438383838383839E-3</v>
      </c>
      <c r="L9" s="28">
        <f t="shared" si="0"/>
        <v>28.595959595959599</v>
      </c>
      <c r="M9" s="29">
        <f>A18*B18</f>
        <v>128</v>
      </c>
      <c r="N9" s="29">
        <f>C18</f>
        <v>450</v>
      </c>
      <c r="O9" s="29">
        <f>E18+F18*D18</f>
        <v>17.5</v>
      </c>
      <c r="P9" s="29">
        <f t="shared" si="1"/>
        <v>55.555555555555557</v>
      </c>
      <c r="Q9" s="28">
        <f t="shared" si="7"/>
        <v>972.22222222222229</v>
      </c>
      <c r="R9" s="26">
        <f t="shared" si="8"/>
        <v>2253.3681818181817</v>
      </c>
      <c r="S9" s="26">
        <f>G18</f>
        <v>0.3</v>
      </c>
      <c r="T9" s="26">
        <f t="shared" si="9"/>
        <v>2929.3786363636364</v>
      </c>
      <c r="U9" s="27">
        <f t="shared" si="2"/>
        <v>0.11717514545454545</v>
      </c>
      <c r="V9" s="78">
        <f>E19+F19*D19</f>
        <v>11.25</v>
      </c>
      <c r="W9" s="78">
        <f t="shared" si="10"/>
        <v>625</v>
      </c>
      <c r="X9" s="92">
        <f t="shared" si="11"/>
        <v>1906.1459595959595</v>
      </c>
      <c r="Y9" s="78">
        <f>G18</f>
        <v>0.3</v>
      </c>
      <c r="Z9" s="26">
        <f t="shared" si="12"/>
        <v>2477.9897474747472</v>
      </c>
      <c r="AA9" s="78">
        <f t="shared" si="3"/>
        <v>9.911958989898989E-2</v>
      </c>
      <c r="AB9" s="30">
        <v>75</v>
      </c>
      <c r="AC9" s="31">
        <f t="shared" si="13"/>
        <v>0.20505650454545454</v>
      </c>
      <c r="AD9" s="31">
        <f t="shared" si="14"/>
        <v>0.17345928232323232</v>
      </c>
    </row>
    <row r="10" spans="1:30" ht="14.4" x14ac:dyDescent="0.3">
      <c r="A10" s="15">
        <v>150</v>
      </c>
      <c r="B10" s="7" t="s">
        <v>8</v>
      </c>
      <c r="C10" s="22" t="s">
        <v>19</v>
      </c>
      <c r="D10" s="23">
        <v>35000</v>
      </c>
      <c r="E10" s="24">
        <v>0.05</v>
      </c>
      <c r="F10" s="25">
        <v>21</v>
      </c>
      <c r="G10" s="26">
        <f t="shared" si="4"/>
        <v>22.05</v>
      </c>
      <c r="H10" s="27">
        <f t="shared" si="5"/>
        <v>771.75</v>
      </c>
      <c r="I10" s="27">
        <f>C26</f>
        <v>2.04</v>
      </c>
      <c r="J10" s="89">
        <f t="shared" si="6"/>
        <v>1574.3700000000001</v>
      </c>
      <c r="K10" s="84">
        <f>E36</f>
        <v>1.1438383838383839E-3</v>
      </c>
      <c r="L10" s="28">
        <f t="shared" si="0"/>
        <v>40.034343434343434</v>
      </c>
      <c r="M10" s="29">
        <f>A18*B18</f>
        <v>128</v>
      </c>
      <c r="N10" s="29">
        <f>C18</f>
        <v>450</v>
      </c>
      <c r="O10" s="29">
        <f>E18+F18*D18</f>
        <v>17.5</v>
      </c>
      <c r="P10" s="29">
        <f t="shared" si="1"/>
        <v>77.777777777777771</v>
      </c>
      <c r="Q10" s="28">
        <f t="shared" si="7"/>
        <v>1361.1111111111111</v>
      </c>
      <c r="R10" s="26">
        <f t="shared" si="8"/>
        <v>3103.5154545454543</v>
      </c>
      <c r="S10" s="26">
        <f>G18</f>
        <v>0.3</v>
      </c>
      <c r="T10" s="26">
        <f t="shared" si="9"/>
        <v>4034.5700909090906</v>
      </c>
      <c r="U10" s="27">
        <f t="shared" si="2"/>
        <v>0.11527343116883115</v>
      </c>
      <c r="V10" s="78">
        <f>E19+F19*D19</f>
        <v>11.25</v>
      </c>
      <c r="W10" s="78">
        <f t="shared" si="10"/>
        <v>874.99999999999989</v>
      </c>
      <c r="X10" s="92">
        <f t="shared" si="11"/>
        <v>2617.4043434343434</v>
      </c>
      <c r="Y10" s="78">
        <f>G18</f>
        <v>0.3</v>
      </c>
      <c r="Z10" s="26">
        <f t="shared" si="12"/>
        <v>3402.6256464646467</v>
      </c>
      <c r="AA10" s="78">
        <f t="shared" si="3"/>
        <v>9.721787561327562E-2</v>
      </c>
      <c r="AB10" s="30">
        <v>75</v>
      </c>
      <c r="AC10" s="31">
        <f t="shared" si="13"/>
        <v>0.20172850454545449</v>
      </c>
      <c r="AD10" s="31">
        <f t="shared" si="14"/>
        <v>0.17013128232323232</v>
      </c>
    </row>
    <row r="11" spans="1:30" ht="14.4" x14ac:dyDescent="0.3">
      <c r="A11" s="15">
        <v>150</v>
      </c>
      <c r="B11" s="7" t="s">
        <v>9</v>
      </c>
      <c r="C11" s="22" t="s">
        <v>20</v>
      </c>
      <c r="D11" s="23">
        <v>45000</v>
      </c>
      <c r="E11" s="24">
        <v>0.05</v>
      </c>
      <c r="F11" s="25">
        <v>21</v>
      </c>
      <c r="G11" s="26">
        <f t="shared" si="4"/>
        <v>22.05</v>
      </c>
      <c r="H11" s="27">
        <f t="shared" si="5"/>
        <v>992.25</v>
      </c>
      <c r="I11" s="27">
        <f>C26</f>
        <v>2.04</v>
      </c>
      <c r="J11" s="89">
        <f t="shared" si="6"/>
        <v>2024.19</v>
      </c>
      <c r="K11" s="84">
        <f>E36</f>
        <v>1.1438383838383839E-3</v>
      </c>
      <c r="L11" s="28">
        <f t="shared" si="0"/>
        <v>51.472727272727276</v>
      </c>
      <c r="M11" s="29">
        <f>A18*B18</f>
        <v>128</v>
      </c>
      <c r="N11" s="29">
        <f>C18</f>
        <v>450</v>
      </c>
      <c r="O11" s="29">
        <f>E18+F18*D18</f>
        <v>17.5</v>
      </c>
      <c r="P11" s="29">
        <f t="shared" si="1"/>
        <v>100</v>
      </c>
      <c r="Q11" s="28">
        <f t="shared" si="7"/>
        <v>1750</v>
      </c>
      <c r="R11" s="26">
        <f t="shared" si="8"/>
        <v>3953.6627272727274</v>
      </c>
      <c r="S11" s="26">
        <f>G18</f>
        <v>0.3</v>
      </c>
      <c r="T11" s="26">
        <f t="shared" si="9"/>
        <v>5139.7615454545457</v>
      </c>
      <c r="U11" s="27">
        <f t="shared" si="2"/>
        <v>0.11421692323232324</v>
      </c>
      <c r="V11" s="78">
        <f>E19+F19*D19</f>
        <v>11.25</v>
      </c>
      <c r="W11" s="78">
        <f t="shared" si="10"/>
        <v>1125</v>
      </c>
      <c r="X11" s="92">
        <f t="shared" si="11"/>
        <v>3328.6627272727274</v>
      </c>
      <c r="Y11" s="78">
        <f>G18</f>
        <v>0.3</v>
      </c>
      <c r="Z11" s="26">
        <f t="shared" si="12"/>
        <v>4327.2615454545457</v>
      </c>
      <c r="AA11" s="78">
        <f t="shared" si="3"/>
        <v>9.6161367676767681E-2</v>
      </c>
      <c r="AB11" s="30">
        <v>70</v>
      </c>
      <c r="AC11" s="31">
        <f t="shared" si="13"/>
        <v>0.19416876949494949</v>
      </c>
      <c r="AD11" s="31">
        <f t="shared" si="14"/>
        <v>0.16347432505050508</v>
      </c>
    </row>
    <row r="12" spans="1:30" ht="14.4" x14ac:dyDescent="0.3">
      <c r="A12" s="15">
        <v>150</v>
      </c>
      <c r="B12" s="7" t="s">
        <v>10</v>
      </c>
      <c r="C12" s="22" t="s">
        <v>21</v>
      </c>
      <c r="D12" s="23">
        <v>75000</v>
      </c>
      <c r="E12" s="24">
        <v>0.05</v>
      </c>
      <c r="F12" s="25">
        <v>21</v>
      </c>
      <c r="G12" s="26">
        <f t="shared" si="4"/>
        <v>22.05</v>
      </c>
      <c r="H12" s="27">
        <f t="shared" si="5"/>
        <v>1653.75</v>
      </c>
      <c r="I12" s="27">
        <f>C26</f>
        <v>2.04</v>
      </c>
      <c r="J12" s="89">
        <f t="shared" si="6"/>
        <v>3373.65</v>
      </c>
      <c r="K12" s="84">
        <f>E36</f>
        <v>1.1438383838383839E-3</v>
      </c>
      <c r="L12" s="28">
        <f t="shared" si="0"/>
        <v>85.787878787878796</v>
      </c>
      <c r="M12" s="29">
        <f>A18*B18</f>
        <v>128</v>
      </c>
      <c r="N12" s="29">
        <f>C18</f>
        <v>450</v>
      </c>
      <c r="O12" s="29">
        <f>E18+F18*D18</f>
        <v>17.5</v>
      </c>
      <c r="P12" s="29">
        <f t="shared" si="1"/>
        <v>166.66666666666666</v>
      </c>
      <c r="Q12" s="28">
        <f>O12*P12</f>
        <v>2916.6666666666665</v>
      </c>
      <c r="R12" s="26">
        <f t="shared" si="8"/>
        <v>6504.1045454545456</v>
      </c>
      <c r="S12" s="26">
        <f>G18</f>
        <v>0.3</v>
      </c>
      <c r="T12" s="26">
        <f t="shared" si="9"/>
        <v>8455.3359090909089</v>
      </c>
      <c r="U12" s="27">
        <f t="shared" si="2"/>
        <v>0.11273781212121212</v>
      </c>
      <c r="V12" s="78">
        <f>E19+F19*D19</f>
        <v>11.25</v>
      </c>
      <c r="W12" s="78">
        <f t="shared" si="10"/>
        <v>1875</v>
      </c>
      <c r="X12" s="92">
        <f t="shared" si="11"/>
        <v>5462.4378787878795</v>
      </c>
      <c r="Y12" s="78">
        <f>G18</f>
        <v>0.3</v>
      </c>
      <c r="Z12" s="26">
        <f t="shared" si="12"/>
        <v>7101.1692424242428</v>
      </c>
      <c r="AA12" s="78">
        <f t="shared" si="3"/>
        <v>9.468225656565657E-2</v>
      </c>
      <c r="AB12" s="30">
        <v>70</v>
      </c>
      <c r="AC12" s="31">
        <f t="shared" si="13"/>
        <v>0.1916542806060606</v>
      </c>
      <c r="AD12" s="31">
        <f t="shared" si="14"/>
        <v>0.16095983616161619</v>
      </c>
    </row>
    <row r="13" spans="1:30" ht="14.4" x14ac:dyDescent="0.3">
      <c r="A13" s="15">
        <v>150</v>
      </c>
      <c r="B13" s="7" t="s">
        <v>11</v>
      </c>
      <c r="C13" s="22" t="s">
        <v>22</v>
      </c>
      <c r="D13" s="23">
        <v>125000</v>
      </c>
      <c r="E13" s="24">
        <v>0.03</v>
      </c>
      <c r="F13" s="25">
        <v>21</v>
      </c>
      <c r="G13" s="26">
        <f t="shared" si="4"/>
        <v>21.63</v>
      </c>
      <c r="H13" s="27">
        <f t="shared" si="5"/>
        <v>2703.75</v>
      </c>
      <c r="I13" s="27">
        <f>C26</f>
        <v>2.04</v>
      </c>
      <c r="J13" s="89">
        <f t="shared" si="6"/>
        <v>5515.6500000000005</v>
      </c>
      <c r="K13" s="84">
        <f>E36</f>
        <v>1.1438383838383839E-3</v>
      </c>
      <c r="L13" s="28">
        <f t="shared" si="0"/>
        <v>142.97979797979798</v>
      </c>
      <c r="M13" s="29">
        <f>A18*B18</f>
        <v>128</v>
      </c>
      <c r="N13" s="29">
        <f>C18</f>
        <v>450</v>
      </c>
      <c r="O13" s="29">
        <f>E18+F18*D18</f>
        <v>17.5</v>
      </c>
      <c r="P13" s="29">
        <f t="shared" si="1"/>
        <v>277.77777777777777</v>
      </c>
      <c r="Q13" s="28">
        <f t="shared" si="7"/>
        <v>4861.1111111111113</v>
      </c>
      <c r="R13" s="26">
        <f t="shared" si="8"/>
        <v>10647.74090909091</v>
      </c>
      <c r="S13" s="26">
        <f>G18</f>
        <v>0.3</v>
      </c>
      <c r="T13" s="26">
        <f t="shared" si="9"/>
        <v>13842.063181818183</v>
      </c>
      <c r="U13" s="27">
        <f t="shared" si="2"/>
        <v>0.11073650545454546</v>
      </c>
      <c r="V13" s="78">
        <f>E19+F19*D19</f>
        <v>11.25</v>
      </c>
      <c r="W13" s="78">
        <f t="shared" si="10"/>
        <v>3125</v>
      </c>
      <c r="X13" s="92">
        <f t="shared" si="11"/>
        <v>8911.6297979797982</v>
      </c>
      <c r="Y13" s="78">
        <f>G18</f>
        <v>0.3</v>
      </c>
      <c r="Z13" s="26">
        <f t="shared" si="12"/>
        <v>11585.118737373738</v>
      </c>
      <c r="AA13" s="78">
        <f t="shared" si="3"/>
        <v>9.2680949898989895E-2</v>
      </c>
      <c r="AB13" s="30">
        <v>65</v>
      </c>
      <c r="AC13" s="31">
        <f t="shared" si="13"/>
        <v>0.182715234</v>
      </c>
      <c r="AD13" s="31">
        <f t="shared" si="14"/>
        <v>0.15292356733333334</v>
      </c>
    </row>
    <row r="14" spans="1:30" ht="15" thickBot="1" x14ac:dyDescent="0.35">
      <c r="A14" s="15">
        <v>150</v>
      </c>
      <c r="B14" s="7" t="s">
        <v>12</v>
      </c>
      <c r="C14" s="22" t="s">
        <v>23</v>
      </c>
      <c r="D14" s="23">
        <v>200000</v>
      </c>
      <c r="E14" s="24">
        <v>0.03</v>
      </c>
      <c r="F14" s="25">
        <v>21</v>
      </c>
      <c r="G14" s="26">
        <f t="shared" si="4"/>
        <v>21.63</v>
      </c>
      <c r="H14" s="27">
        <f t="shared" si="5"/>
        <v>4326</v>
      </c>
      <c r="I14" s="27">
        <f>C26</f>
        <v>2.04</v>
      </c>
      <c r="J14" s="89">
        <f t="shared" si="6"/>
        <v>8825.0400000000009</v>
      </c>
      <c r="K14" s="84">
        <f>E36</f>
        <v>1.1438383838383839E-3</v>
      </c>
      <c r="L14" s="28">
        <f t="shared" si="0"/>
        <v>228.76767676767679</v>
      </c>
      <c r="M14" s="29">
        <f>A18*B18</f>
        <v>128</v>
      </c>
      <c r="N14" s="29">
        <f>C18</f>
        <v>450</v>
      </c>
      <c r="O14" s="29">
        <f>E18+F18*D18</f>
        <v>17.5</v>
      </c>
      <c r="P14" s="29">
        <f t="shared" si="1"/>
        <v>444.44444444444446</v>
      </c>
      <c r="Q14" s="28">
        <f t="shared" si="7"/>
        <v>7777.7777777777783</v>
      </c>
      <c r="R14" s="26">
        <f t="shared" si="8"/>
        <v>16959.585454545457</v>
      </c>
      <c r="S14" s="26">
        <f>G18</f>
        <v>0.3</v>
      </c>
      <c r="T14" s="26">
        <f t="shared" si="9"/>
        <v>22047.461090909092</v>
      </c>
      <c r="U14" s="27">
        <f t="shared" si="2"/>
        <v>0.11023730545454546</v>
      </c>
      <c r="V14" s="78">
        <f>E19+F19*D19</f>
        <v>11.25</v>
      </c>
      <c r="W14" s="78">
        <f t="shared" si="10"/>
        <v>5000</v>
      </c>
      <c r="X14" s="92">
        <f t="shared" si="11"/>
        <v>14181.807676767678</v>
      </c>
      <c r="Y14" s="78">
        <f>G18</f>
        <v>0.3</v>
      </c>
      <c r="Z14" s="26">
        <f t="shared" si="12"/>
        <v>18436.349979797982</v>
      </c>
      <c r="AA14" s="78">
        <f t="shared" si="3"/>
        <v>9.2181749898989904E-2</v>
      </c>
      <c r="AB14" s="30">
        <v>60</v>
      </c>
      <c r="AC14" s="32">
        <f t="shared" si="13"/>
        <v>0.17637968872727275</v>
      </c>
      <c r="AD14" s="32">
        <f t="shared" si="14"/>
        <v>0.14749079983838384</v>
      </c>
    </row>
    <row r="15" spans="1:30" ht="14.4" thickBot="1" x14ac:dyDescent="0.35"/>
    <row r="16" spans="1:30" x14ac:dyDescent="0.3">
      <c r="A16" s="33" t="s">
        <v>27</v>
      </c>
      <c r="B16" s="34"/>
      <c r="C16" s="34"/>
      <c r="D16" s="34"/>
      <c r="E16" s="34"/>
      <c r="F16" s="34"/>
      <c r="G16" s="35"/>
      <c r="AC16" s="80"/>
    </row>
    <row r="17" spans="1:12" x14ac:dyDescent="0.3">
      <c r="A17" s="36" t="s">
        <v>28</v>
      </c>
      <c r="B17" s="37" t="s">
        <v>29</v>
      </c>
      <c r="C17" s="37" t="s">
        <v>30</v>
      </c>
      <c r="D17" s="37" t="s">
        <v>31</v>
      </c>
      <c r="E17" s="37" t="s">
        <v>32</v>
      </c>
      <c r="F17" s="37" t="s">
        <v>33</v>
      </c>
      <c r="G17" s="38" t="s">
        <v>34</v>
      </c>
      <c r="J17" s="39"/>
      <c r="K17" s="85"/>
      <c r="L17" s="14" t="s">
        <v>59</v>
      </c>
    </row>
    <row r="18" spans="1:12" ht="14.4" thickBot="1" x14ac:dyDescent="0.35">
      <c r="A18" s="40">
        <v>4</v>
      </c>
      <c r="B18" s="41">
        <v>32</v>
      </c>
      <c r="C18" s="41">
        <v>450</v>
      </c>
      <c r="D18" s="41">
        <v>0.5</v>
      </c>
      <c r="E18" s="41">
        <v>5</v>
      </c>
      <c r="F18" s="42">
        <v>25</v>
      </c>
      <c r="G18" s="43">
        <v>0.3</v>
      </c>
    </row>
    <row r="19" spans="1:12" ht="14.4" thickBot="1" x14ac:dyDescent="0.35">
      <c r="A19" s="40">
        <v>4</v>
      </c>
      <c r="B19" s="41">
        <v>32</v>
      </c>
      <c r="C19" s="41">
        <v>450</v>
      </c>
      <c r="D19" s="41">
        <v>0.25</v>
      </c>
      <c r="E19" s="41">
        <v>5</v>
      </c>
      <c r="F19" s="42">
        <v>25</v>
      </c>
      <c r="G19" s="43">
        <v>0.3</v>
      </c>
    </row>
    <row r="20" spans="1:12" ht="14.4" thickBot="1" x14ac:dyDescent="0.35">
      <c r="J20" s="44"/>
      <c r="K20" s="86"/>
      <c r="L20" s="14" t="s">
        <v>60</v>
      </c>
    </row>
    <row r="21" spans="1:12" x14ac:dyDescent="0.3">
      <c r="A21" s="45" t="s">
        <v>35</v>
      </c>
      <c r="B21" s="46"/>
      <c r="C21" s="46" t="s">
        <v>36</v>
      </c>
      <c r="D21" s="47" t="s">
        <v>37</v>
      </c>
    </row>
    <row r="22" spans="1:12" x14ac:dyDescent="0.3">
      <c r="A22" s="48" t="s">
        <v>40</v>
      </c>
      <c r="B22" s="49">
        <v>1.5</v>
      </c>
      <c r="C22" s="50">
        <v>96</v>
      </c>
      <c r="D22" s="51"/>
    </row>
    <row r="23" spans="1:12" x14ac:dyDescent="0.3">
      <c r="A23" s="48" t="s">
        <v>40</v>
      </c>
      <c r="B23" s="49">
        <v>15</v>
      </c>
      <c r="C23" s="50">
        <v>4</v>
      </c>
      <c r="D23" s="51"/>
    </row>
    <row r="24" spans="1:12" x14ac:dyDescent="0.3">
      <c r="A24" s="48" t="s">
        <v>40</v>
      </c>
      <c r="B24" s="49">
        <v>0</v>
      </c>
      <c r="C24" s="50"/>
      <c r="D24" s="51"/>
    </row>
    <row r="25" spans="1:12" ht="14.4" thickBot="1" x14ac:dyDescent="0.35">
      <c r="A25" s="48" t="s">
        <v>44</v>
      </c>
      <c r="B25" s="49">
        <v>0</v>
      </c>
      <c r="C25" s="50"/>
      <c r="D25" s="51"/>
    </row>
    <row r="26" spans="1:12" ht="14.4" thickBot="1" x14ac:dyDescent="0.35">
      <c r="A26" s="52" t="s">
        <v>45</v>
      </c>
      <c r="B26" s="53">
        <f>SUM(B22:B25)</f>
        <v>16.5</v>
      </c>
      <c r="C26" s="54">
        <f>(B22*C22/100)+(B23*C23/100)+(B24*C24/100)+(B25*C25/100)</f>
        <v>2.04</v>
      </c>
      <c r="D26" s="55" t="s">
        <v>62</v>
      </c>
    </row>
    <row r="27" spans="1:12" ht="14.4" thickBot="1" x14ac:dyDescent="0.35"/>
    <row r="28" spans="1:12" x14ac:dyDescent="0.3">
      <c r="A28" s="56" t="s">
        <v>38</v>
      </c>
      <c r="B28" s="57"/>
      <c r="C28" s="58"/>
      <c r="D28" s="59" t="s">
        <v>39</v>
      </c>
      <c r="E28" s="60" t="s">
        <v>97</v>
      </c>
    </row>
    <row r="29" spans="1:12" x14ac:dyDescent="0.3">
      <c r="A29" s="61" t="s">
        <v>42</v>
      </c>
      <c r="B29" s="62">
        <v>1100</v>
      </c>
      <c r="C29" s="63"/>
      <c r="D29" s="64"/>
      <c r="E29" s="65"/>
    </row>
    <row r="30" spans="1:12" x14ac:dyDescent="0.3">
      <c r="A30" s="61" t="s">
        <v>86</v>
      </c>
      <c r="B30" s="62">
        <v>9</v>
      </c>
      <c r="C30" s="63" t="s">
        <v>41</v>
      </c>
      <c r="D30" s="66">
        <v>0.68100000000000005</v>
      </c>
      <c r="E30" s="65">
        <f>D30*B30</f>
        <v>6.1290000000000004</v>
      </c>
    </row>
    <row r="31" spans="1:12" x14ac:dyDescent="0.3">
      <c r="A31" s="61" t="s">
        <v>87</v>
      </c>
      <c r="B31" s="62">
        <f>B30*B29</f>
        <v>9900</v>
      </c>
      <c r="C31" s="67"/>
      <c r="D31" s="68"/>
      <c r="E31" s="65"/>
    </row>
    <row r="32" spans="1:12" x14ac:dyDescent="0.3">
      <c r="A32" s="61" t="s">
        <v>88</v>
      </c>
      <c r="B32" s="62">
        <v>9</v>
      </c>
      <c r="C32" s="63" t="s">
        <v>43</v>
      </c>
      <c r="D32" s="69">
        <v>0.13800000000000001</v>
      </c>
      <c r="E32" s="65">
        <f>D32*B32</f>
        <v>1.242</v>
      </c>
    </row>
    <row r="33" spans="1:5" x14ac:dyDescent="0.3">
      <c r="A33" s="61" t="s">
        <v>46</v>
      </c>
      <c r="B33" s="62">
        <f>B32*5</f>
        <v>45</v>
      </c>
      <c r="C33" s="63" t="s">
        <v>47</v>
      </c>
      <c r="D33" s="66">
        <v>4.3400000000000001E-2</v>
      </c>
      <c r="E33" s="65">
        <f>D33*B33</f>
        <v>1.9530000000000001</v>
      </c>
    </row>
    <row r="34" spans="1:5" ht="14.4" thickBot="1" x14ac:dyDescent="0.35">
      <c r="A34" s="70" t="s">
        <v>48</v>
      </c>
      <c r="B34" s="71" t="s">
        <v>49</v>
      </c>
      <c r="C34" s="72" t="s">
        <v>50</v>
      </c>
      <c r="D34" s="73">
        <v>2</v>
      </c>
      <c r="E34" s="74">
        <f>D34</f>
        <v>2</v>
      </c>
    </row>
    <row r="35" spans="1:5" ht="14.4" thickBot="1" x14ac:dyDescent="0.35">
      <c r="E35" s="75">
        <f>SUM(E29:E34)</f>
        <v>11.324</v>
      </c>
    </row>
    <row r="36" spans="1:5" ht="14.4" thickBot="1" x14ac:dyDescent="0.35">
      <c r="D36" s="76" t="s">
        <v>98</v>
      </c>
      <c r="E36" s="77">
        <f>E35/B31</f>
        <v>1.1438383838383839E-3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B84D1-17F9-4F53-954B-C08081747C09}">
  <dimension ref="A2:AF36"/>
  <sheetViews>
    <sheetView topLeftCell="T1" workbookViewId="0">
      <selection activeCell="T4" sqref="T4:T14"/>
    </sheetView>
  </sheetViews>
  <sheetFormatPr defaultColWidth="9.109375" defaultRowHeight="13.8" x14ac:dyDescent="0.3"/>
  <cols>
    <col min="1" max="1" width="28.6640625" style="14" bestFit="1" customWidth="1"/>
    <col min="2" max="2" width="10.109375" style="14" bestFit="1" customWidth="1"/>
    <col min="3" max="3" width="21" style="14" bestFit="1" customWidth="1"/>
    <col min="4" max="4" width="12.44140625" style="14" bestFit="1" customWidth="1"/>
    <col min="5" max="5" width="21" style="14" bestFit="1" customWidth="1"/>
    <col min="6" max="6" width="14.88671875" style="14" bestFit="1" customWidth="1"/>
    <col min="7" max="7" width="23.5546875" style="14" bestFit="1" customWidth="1"/>
    <col min="8" max="8" width="18.6640625" style="14" customWidth="1"/>
    <col min="9" max="9" width="0.109375" style="14" customWidth="1"/>
    <col min="10" max="10" width="9.5546875" style="14" bestFit="1" customWidth="1"/>
    <col min="11" max="11" width="15.33203125" style="82" customWidth="1"/>
    <col min="12" max="12" width="17.5546875" style="14" bestFit="1" customWidth="1"/>
    <col min="13" max="13" width="19.33203125" style="14" customWidth="1"/>
    <col min="14" max="14" width="9.109375" style="14" customWidth="1"/>
    <col min="15" max="15" width="22.88671875" style="14" customWidth="1"/>
    <col min="16" max="16" width="11.88671875" style="14" customWidth="1"/>
    <col min="17" max="17" width="23.5546875" style="14" bestFit="1" customWidth="1"/>
    <col min="18" max="18" width="24.33203125" style="14" customWidth="1"/>
    <col min="19" max="19" width="11" style="14" customWidth="1"/>
    <col min="20" max="20" width="35.5546875" style="14" bestFit="1" customWidth="1"/>
    <col min="21" max="21" width="14.6640625" style="14" bestFit="1" customWidth="1"/>
    <col min="22" max="27" width="14.6640625" style="14" customWidth="1"/>
    <col min="28" max="28" width="16.5546875" style="14" bestFit="1" customWidth="1"/>
    <col min="29" max="29" width="17.44140625" style="14" bestFit="1" customWidth="1"/>
    <col min="30" max="30" width="11.88671875" style="14" bestFit="1" customWidth="1"/>
    <col min="31" max="16384" width="9.109375" style="14"/>
  </cols>
  <sheetData>
    <row r="2" spans="1:32" ht="14.4" thickBot="1" x14ac:dyDescent="0.35"/>
    <row r="3" spans="1:32" ht="74.25" customHeight="1" thickBot="1" x14ac:dyDescent="0.35">
      <c r="A3" s="15" t="s">
        <v>57</v>
      </c>
      <c r="B3" s="15" t="s">
        <v>24</v>
      </c>
      <c r="C3" s="15" t="s">
        <v>25</v>
      </c>
      <c r="D3" s="15" t="s">
        <v>26</v>
      </c>
      <c r="E3" s="15" t="s">
        <v>55</v>
      </c>
      <c r="F3" s="15" t="s">
        <v>58</v>
      </c>
      <c r="G3" s="16" t="s">
        <v>51</v>
      </c>
      <c r="H3" s="17" t="s">
        <v>52</v>
      </c>
      <c r="I3" s="17" t="s">
        <v>61</v>
      </c>
      <c r="J3" s="90" t="s">
        <v>53</v>
      </c>
      <c r="K3" s="83" t="s">
        <v>99</v>
      </c>
      <c r="L3" s="18" t="s">
        <v>96</v>
      </c>
      <c r="M3" s="19" t="s">
        <v>54</v>
      </c>
      <c r="N3" s="19" t="s">
        <v>100</v>
      </c>
      <c r="O3" s="19" t="s">
        <v>108</v>
      </c>
      <c r="P3" s="19" t="s">
        <v>101</v>
      </c>
      <c r="Q3" s="91" t="s">
        <v>116</v>
      </c>
      <c r="R3" s="87" t="s">
        <v>107</v>
      </c>
      <c r="S3" s="88" t="s">
        <v>102</v>
      </c>
      <c r="T3" s="87" t="s">
        <v>104</v>
      </c>
      <c r="U3" s="87" t="s">
        <v>105</v>
      </c>
      <c r="V3" s="19" t="s">
        <v>109</v>
      </c>
      <c r="W3" s="20" t="s">
        <v>110</v>
      </c>
      <c r="X3" s="20"/>
      <c r="Y3" s="20"/>
      <c r="Z3" s="20" t="s">
        <v>111</v>
      </c>
      <c r="AA3" s="20" t="s">
        <v>112</v>
      </c>
      <c r="AB3" s="20" t="s">
        <v>103</v>
      </c>
      <c r="AC3" s="79" t="s">
        <v>106</v>
      </c>
      <c r="AD3" s="21" t="s">
        <v>113</v>
      </c>
      <c r="AE3" s="15" t="s">
        <v>57</v>
      </c>
      <c r="AF3" s="15" t="s">
        <v>24</v>
      </c>
    </row>
    <row r="4" spans="1:32" ht="14.4" x14ac:dyDescent="0.3">
      <c r="A4" s="15">
        <v>200</v>
      </c>
      <c r="B4" s="7" t="s">
        <v>2</v>
      </c>
      <c r="C4" s="22" t="s">
        <v>13</v>
      </c>
      <c r="D4" s="23">
        <v>2000</v>
      </c>
      <c r="E4" s="24">
        <v>0.1</v>
      </c>
      <c r="F4" s="25">
        <v>25</v>
      </c>
      <c r="G4" s="26">
        <f>F4+F4*E4</f>
        <v>27.5</v>
      </c>
      <c r="H4" s="27">
        <f>(G4*D4)/1000</f>
        <v>55</v>
      </c>
      <c r="I4" s="27">
        <f>C26</f>
        <v>2.08</v>
      </c>
      <c r="J4" s="89">
        <f>H4*I4</f>
        <v>114.4</v>
      </c>
      <c r="K4" s="84">
        <f>E36</f>
        <v>1.1438383838383839E-3</v>
      </c>
      <c r="L4" s="28">
        <f t="shared" ref="L4:L14" si="0">K4*D4</f>
        <v>2.2876767676767678</v>
      </c>
      <c r="M4" s="29">
        <f>A18*B18</f>
        <v>128</v>
      </c>
      <c r="N4" s="29">
        <f>C18</f>
        <v>450</v>
      </c>
      <c r="O4" s="29">
        <f>E18+F18*D18</f>
        <v>17.5</v>
      </c>
      <c r="P4" s="29">
        <f t="shared" ref="P4:P14" si="1">D4/N4</f>
        <v>4.4444444444444446</v>
      </c>
      <c r="Q4" s="28">
        <f>O4*P4</f>
        <v>77.777777777777786</v>
      </c>
      <c r="R4" s="26">
        <f>Q4+L4+J4+M4</f>
        <v>322.46545454545458</v>
      </c>
      <c r="S4" s="26">
        <f>G18</f>
        <v>0.3</v>
      </c>
      <c r="T4" s="26">
        <f>R4+R4*S4</f>
        <v>419.20509090909093</v>
      </c>
      <c r="U4" s="27">
        <f t="shared" ref="U4:U14" si="2">T4/D4</f>
        <v>0.20960254545454546</v>
      </c>
      <c r="V4" s="78">
        <f>E19+F19*D19</f>
        <v>11.25</v>
      </c>
      <c r="W4" s="78">
        <f>V4*P4</f>
        <v>50</v>
      </c>
      <c r="X4" s="92">
        <f>W4+M4+L4+J4</f>
        <v>294.68767676767675</v>
      </c>
      <c r="Y4" s="78">
        <f>G18</f>
        <v>0.3</v>
      </c>
      <c r="Z4" s="26">
        <f>X4+X4*Y4</f>
        <v>383.09397979797978</v>
      </c>
      <c r="AA4" s="78">
        <f t="shared" ref="AA4:AA14" si="3">Z4/D4</f>
        <v>0.19154698989898988</v>
      </c>
      <c r="AB4" s="30">
        <v>180</v>
      </c>
      <c r="AC4" s="81">
        <f>U4*2+(U4*2*80/100)</f>
        <v>0.75456916363636362</v>
      </c>
      <c r="AD4" s="81">
        <f>AA4*2+(AA4*2*80/100)</f>
        <v>0.68956916363636356</v>
      </c>
      <c r="AE4" s="15">
        <v>200</v>
      </c>
      <c r="AF4" s="7" t="s">
        <v>2</v>
      </c>
    </row>
    <row r="5" spans="1:32" ht="14.4" x14ac:dyDescent="0.3">
      <c r="A5" s="15">
        <v>200</v>
      </c>
      <c r="B5" s="7" t="s">
        <v>3</v>
      </c>
      <c r="C5" s="22" t="s">
        <v>14</v>
      </c>
      <c r="D5" s="23">
        <v>4000</v>
      </c>
      <c r="E5" s="24">
        <v>0.1</v>
      </c>
      <c r="F5" s="25">
        <v>25</v>
      </c>
      <c r="G5" s="26">
        <f t="shared" ref="G5:G14" si="4">F5+F5*E5</f>
        <v>27.5</v>
      </c>
      <c r="H5" s="27">
        <f t="shared" ref="H5:H14" si="5">(G5*D5)/1000</f>
        <v>110</v>
      </c>
      <c r="I5" s="27">
        <f>C26</f>
        <v>2.08</v>
      </c>
      <c r="J5" s="89">
        <f t="shared" ref="J5:J14" si="6">H5*I5</f>
        <v>228.8</v>
      </c>
      <c r="K5" s="84">
        <f>E36</f>
        <v>1.1438383838383839E-3</v>
      </c>
      <c r="L5" s="28">
        <f t="shared" si="0"/>
        <v>4.5753535353535355</v>
      </c>
      <c r="M5" s="29">
        <f>A18*B18</f>
        <v>128</v>
      </c>
      <c r="N5" s="29">
        <f>C18</f>
        <v>450</v>
      </c>
      <c r="O5" s="29">
        <f>E18+F18*D18</f>
        <v>17.5</v>
      </c>
      <c r="P5" s="29">
        <f t="shared" si="1"/>
        <v>8.8888888888888893</v>
      </c>
      <c r="Q5" s="28">
        <f t="shared" ref="Q5:Q14" si="7">O5*P5</f>
        <v>155.55555555555557</v>
      </c>
      <c r="R5" s="26">
        <f t="shared" ref="R5:R14" si="8">Q5+L5+J5+M5</f>
        <v>516.93090909090915</v>
      </c>
      <c r="S5" s="26">
        <f>G18</f>
        <v>0.3</v>
      </c>
      <c r="T5" s="26">
        <f t="shared" ref="T5:T14" si="9">R5+R5*S5</f>
        <v>672.01018181818188</v>
      </c>
      <c r="U5" s="27">
        <f t="shared" si="2"/>
        <v>0.16800254545454546</v>
      </c>
      <c r="V5" s="78">
        <f>E19+F19*D19</f>
        <v>11.25</v>
      </c>
      <c r="W5" s="78">
        <f t="shared" ref="W5:W14" si="10">V5*P5</f>
        <v>100</v>
      </c>
      <c r="X5" s="92">
        <f t="shared" ref="X5:X14" si="11">W5+M5+L5+J5</f>
        <v>461.37535353535355</v>
      </c>
      <c r="Y5" s="78">
        <f>G18</f>
        <v>0.3</v>
      </c>
      <c r="Z5" s="26">
        <f t="shared" ref="Z5:Z14" si="12">X5+X5*Y5</f>
        <v>599.78795959595959</v>
      </c>
      <c r="AA5" s="78">
        <f t="shared" si="3"/>
        <v>0.14994698989898989</v>
      </c>
      <c r="AB5" s="30">
        <v>160</v>
      </c>
      <c r="AC5" s="31">
        <f>U5*2+(U5*2*80/100)</f>
        <v>0.60480916363636372</v>
      </c>
      <c r="AD5" s="31">
        <f>AA5*2+(AA5*2*80/100)</f>
        <v>0.53980916363636355</v>
      </c>
      <c r="AE5" s="15">
        <v>200</v>
      </c>
      <c r="AF5" s="7" t="s">
        <v>3</v>
      </c>
    </row>
    <row r="6" spans="1:32" ht="14.4" x14ac:dyDescent="0.3">
      <c r="A6" s="15">
        <v>200</v>
      </c>
      <c r="B6" s="7" t="s">
        <v>4</v>
      </c>
      <c r="C6" s="22" t="s">
        <v>15</v>
      </c>
      <c r="D6" s="23">
        <v>7500</v>
      </c>
      <c r="E6" s="24">
        <v>7.0000000000000007E-2</v>
      </c>
      <c r="F6" s="25">
        <v>25</v>
      </c>
      <c r="G6" s="26">
        <f t="shared" si="4"/>
        <v>26.75</v>
      </c>
      <c r="H6" s="27">
        <f t="shared" si="5"/>
        <v>200.625</v>
      </c>
      <c r="I6" s="27">
        <f>C26</f>
        <v>2.08</v>
      </c>
      <c r="J6" s="89">
        <f t="shared" si="6"/>
        <v>417.3</v>
      </c>
      <c r="K6" s="84">
        <f>E36</f>
        <v>1.1438383838383839E-3</v>
      </c>
      <c r="L6" s="28">
        <f t="shared" si="0"/>
        <v>8.57878787878788</v>
      </c>
      <c r="M6" s="29">
        <f>A18*B18</f>
        <v>128</v>
      </c>
      <c r="N6" s="29">
        <f>C18</f>
        <v>450</v>
      </c>
      <c r="O6" s="29">
        <f>E18+F18*D18</f>
        <v>17.5</v>
      </c>
      <c r="P6" s="29">
        <f t="shared" si="1"/>
        <v>16.666666666666668</v>
      </c>
      <c r="Q6" s="28">
        <f t="shared" si="7"/>
        <v>291.66666666666669</v>
      </c>
      <c r="R6" s="26">
        <f t="shared" si="8"/>
        <v>845.5454545454545</v>
      </c>
      <c r="S6" s="26">
        <f>G18</f>
        <v>0.3</v>
      </c>
      <c r="T6" s="26">
        <f t="shared" si="9"/>
        <v>1099.2090909090907</v>
      </c>
      <c r="U6" s="27">
        <f t="shared" si="2"/>
        <v>0.14656121212121209</v>
      </c>
      <c r="V6" s="78">
        <f>E19+F19*D19</f>
        <v>11.25</v>
      </c>
      <c r="W6" s="78">
        <f t="shared" si="10"/>
        <v>187.5</v>
      </c>
      <c r="X6" s="92">
        <f t="shared" si="11"/>
        <v>741.37878787878788</v>
      </c>
      <c r="Y6" s="78">
        <f>G18</f>
        <v>0.3</v>
      </c>
      <c r="Z6" s="26">
        <f t="shared" si="12"/>
        <v>963.7924242424242</v>
      </c>
      <c r="AA6" s="78">
        <f t="shared" si="3"/>
        <v>0.12850565656565657</v>
      </c>
      <c r="AB6" s="30">
        <v>140</v>
      </c>
      <c r="AC6" s="31">
        <f>U6*2+(U6*2*80/100)</f>
        <v>0.52762036363636355</v>
      </c>
      <c r="AD6" s="31">
        <f>AA6*2+(AA6*2*80/100)</f>
        <v>0.46262036363636366</v>
      </c>
      <c r="AE6" s="15">
        <v>200</v>
      </c>
      <c r="AF6" s="7" t="s">
        <v>4</v>
      </c>
    </row>
    <row r="7" spans="1:32" ht="14.4" x14ac:dyDescent="0.3">
      <c r="A7" s="15">
        <v>200</v>
      </c>
      <c r="B7" s="7" t="s">
        <v>5</v>
      </c>
      <c r="C7" s="22" t="s">
        <v>16</v>
      </c>
      <c r="D7" s="23">
        <v>12500</v>
      </c>
      <c r="E7" s="24">
        <v>7.0000000000000007E-2</v>
      </c>
      <c r="F7" s="25">
        <v>25</v>
      </c>
      <c r="G7" s="26">
        <f t="shared" si="4"/>
        <v>26.75</v>
      </c>
      <c r="H7" s="27">
        <f t="shared" si="5"/>
        <v>334.375</v>
      </c>
      <c r="I7" s="27">
        <f>C26</f>
        <v>2.08</v>
      </c>
      <c r="J7" s="89">
        <f t="shared" si="6"/>
        <v>695.5</v>
      </c>
      <c r="K7" s="84">
        <f>E36</f>
        <v>1.1438383838383839E-3</v>
      </c>
      <c r="L7" s="28">
        <f t="shared" si="0"/>
        <v>14.297979797979799</v>
      </c>
      <c r="M7" s="29">
        <f>A18*B18</f>
        <v>128</v>
      </c>
      <c r="N7" s="29">
        <f>C18</f>
        <v>450</v>
      </c>
      <c r="O7" s="29">
        <f>E18+F18*D18</f>
        <v>17.5</v>
      </c>
      <c r="P7" s="29">
        <f t="shared" si="1"/>
        <v>27.777777777777779</v>
      </c>
      <c r="Q7" s="28">
        <f t="shared" si="7"/>
        <v>486.11111111111114</v>
      </c>
      <c r="R7" s="26">
        <f t="shared" si="8"/>
        <v>1323.909090909091</v>
      </c>
      <c r="S7" s="26">
        <f>G18</f>
        <v>0.3</v>
      </c>
      <c r="T7" s="26">
        <f t="shared" si="9"/>
        <v>1721.0818181818183</v>
      </c>
      <c r="U7" s="27">
        <f t="shared" si="2"/>
        <v>0.13768654545454548</v>
      </c>
      <c r="V7" s="78">
        <f>E19+F19*D19</f>
        <v>11.25</v>
      </c>
      <c r="W7" s="78">
        <f t="shared" si="10"/>
        <v>312.5</v>
      </c>
      <c r="X7" s="92">
        <f t="shared" si="11"/>
        <v>1150.2979797979797</v>
      </c>
      <c r="Y7" s="78">
        <f>G18</f>
        <v>0.3</v>
      </c>
      <c r="Z7" s="26">
        <f t="shared" si="12"/>
        <v>1495.3873737373735</v>
      </c>
      <c r="AA7" s="78">
        <f t="shared" si="3"/>
        <v>0.11963098989898989</v>
      </c>
      <c r="AB7" s="30">
        <v>85</v>
      </c>
      <c r="AC7" s="31">
        <f>U7+U7*AB7/100</f>
        <v>0.25472010909090914</v>
      </c>
      <c r="AD7" s="31">
        <f>AA7+AA7*AB7/100</f>
        <v>0.2213173313131313</v>
      </c>
      <c r="AE7" s="15">
        <v>200</v>
      </c>
      <c r="AF7" s="7" t="s">
        <v>5</v>
      </c>
    </row>
    <row r="8" spans="1:32" ht="14.4" x14ac:dyDescent="0.3">
      <c r="A8" s="15">
        <v>200</v>
      </c>
      <c r="B8" s="7" t="s">
        <v>6</v>
      </c>
      <c r="C8" s="22" t="s">
        <v>17</v>
      </c>
      <c r="D8" s="23">
        <v>17500</v>
      </c>
      <c r="E8" s="24">
        <v>7.0000000000000007E-2</v>
      </c>
      <c r="F8" s="25">
        <v>25</v>
      </c>
      <c r="G8" s="26">
        <f t="shared" si="4"/>
        <v>26.75</v>
      </c>
      <c r="H8" s="27">
        <f t="shared" si="5"/>
        <v>468.125</v>
      </c>
      <c r="I8" s="27">
        <f>C26</f>
        <v>2.08</v>
      </c>
      <c r="J8" s="89">
        <f t="shared" si="6"/>
        <v>973.7</v>
      </c>
      <c r="K8" s="84">
        <f>E36</f>
        <v>1.1438383838383839E-3</v>
      </c>
      <c r="L8" s="28">
        <f t="shared" si="0"/>
        <v>20.017171717171717</v>
      </c>
      <c r="M8" s="29">
        <f>A18*B18</f>
        <v>128</v>
      </c>
      <c r="N8" s="29">
        <f>C18</f>
        <v>450</v>
      </c>
      <c r="O8" s="29">
        <f>E18+F18*D18</f>
        <v>17.5</v>
      </c>
      <c r="P8" s="29">
        <f t="shared" si="1"/>
        <v>38.888888888888886</v>
      </c>
      <c r="Q8" s="28">
        <f t="shared" si="7"/>
        <v>680.55555555555554</v>
      </c>
      <c r="R8" s="26">
        <f t="shared" si="8"/>
        <v>1802.2727272727273</v>
      </c>
      <c r="S8" s="26">
        <f>G18</f>
        <v>0.3</v>
      </c>
      <c r="T8" s="26">
        <f t="shared" si="9"/>
        <v>2342.9545454545455</v>
      </c>
      <c r="U8" s="27">
        <f t="shared" si="2"/>
        <v>0.13388311688311688</v>
      </c>
      <c r="V8" s="78">
        <f>E19+F19*D19</f>
        <v>11.25</v>
      </c>
      <c r="W8" s="78">
        <f t="shared" si="10"/>
        <v>437.49999999999994</v>
      </c>
      <c r="X8" s="92">
        <f t="shared" si="11"/>
        <v>1559.2171717171718</v>
      </c>
      <c r="Y8" s="78">
        <f>G18</f>
        <v>0.3</v>
      </c>
      <c r="Z8" s="26">
        <f t="shared" si="12"/>
        <v>2026.9823232323233</v>
      </c>
      <c r="AA8" s="78">
        <f t="shared" si="3"/>
        <v>0.11582756132756133</v>
      </c>
      <c r="AB8" s="30">
        <v>80</v>
      </c>
      <c r="AC8" s="31">
        <f t="shared" ref="AC8:AC14" si="13">U8+U8*AB8/100</f>
        <v>0.24098961038961039</v>
      </c>
      <c r="AD8" s="31">
        <f t="shared" ref="AD8:AD14" si="14">AA8+AA8*AB8/100</f>
        <v>0.20848961038961039</v>
      </c>
      <c r="AE8" s="15">
        <v>200</v>
      </c>
      <c r="AF8" s="7" t="s">
        <v>6</v>
      </c>
    </row>
    <row r="9" spans="1:32" ht="14.4" x14ac:dyDescent="0.3">
      <c r="A9" s="15">
        <v>200</v>
      </c>
      <c r="B9" s="7" t="s">
        <v>7</v>
      </c>
      <c r="C9" s="22" t="s">
        <v>18</v>
      </c>
      <c r="D9" s="23">
        <v>25000</v>
      </c>
      <c r="E9" s="24">
        <v>0.05</v>
      </c>
      <c r="F9" s="25">
        <v>25</v>
      </c>
      <c r="G9" s="26">
        <f t="shared" si="4"/>
        <v>26.25</v>
      </c>
      <c r="H9" s="27">
        <f t="shared" si="5"/>
        <v>656.25</v>
      </c>
      <c r="I9" s="27">
        <f>C26</f>
        <v>2.08</v>
      </c>
      <c r="J9" s="89">
        <f t="shared" si="6"/>
        <v>1365</v>
      </c>
      <c r="K9" s="84">
        <f>E36</f>
        <v>1.1438383838383839E-3</v>
      </c>
      <c r="L9" s="28">
        <f t="shared" si="0"/>
        <v>28.595959595959599</v>
      </c>
      <c r="M9" s="29">
        <f>A18*B18</f>
        <v>128</v>
      </c>
      <c r="N9" s="29">
        <f>C18</f>
        <v>450</v>
      </c>
      <c r="O9" s="29">
        <f>E18+F18*D18</f>
        <v>17.5</v>
      </c>
      <c r="P9" s="29">
        <f t="shared" si="1"/>
        <v>55.555555555555557</v>
      </c>
      <c r="Q9" s="28">
        <f t="shared" si="7"/>
        <v>972.22222222222229</v>
      </c>
      <c r="R9" s="26">
        <f t="shared" si="8"/>
        <v>2493.818181818182</v>
      </c>
      <c r="S9" s="26">
        <f>G18</f>
        <v>0.3</v>
      </c>
      <c r="T9" s="26">
        <f t="shared" si="9"/>
        <v>3241.9636363636364</v>
      </c>
      <c r="U9" s="27">
        <f t="shared" si="2"/>
        <v>0.12967854545454546</v>
      </c>
      <c r="V9" s="78">
        <f>E19+F19*D19</f>
        <v>11.25</v>
      </c>
      <c r="W9" s="78">
        <f t="shared" si="10"/>
        <v>625</v>
      </c>
      <c r="X9" s="92">
        <f t="shared" si="11"/>
        <v>2146.5959595959594</v>
      </c>
      <c r="Y9" s="78">
        <f>G18</f>
        <v>0.3</v>
      </c>
      <c r="Z9" s="26">
        <f t="shared" si="12"/>
        <v>2790.5747474747473</v>
      </c>
      <c r="AA9" s="78">
        <f t="shared" si="3"/>
        <v>0.11162298989898989</v>
      </c>
      <c r="AB9" s="30">
        <v>75</v>
      </c>
      <c r="AC9" s="31">
        <f t="shared" si="13"/>
        <v>0.22693745454545455</v>
      </c>
      <c r="AD9" s="31">
        <f t="shared" si="14"/>
        <v>0.1953402323232323</v>
      </c>
      <c r="AE9" s="15">
        <v>200</v>
      </c>
      <c r="AF9" s="7" t="s">
        <v>7</v>
      </c>
    </row>
    <row r="10" spans="1:32" ht="14.4" x14ac:dyDescent="0.3">
      <c r="A10" s="15">
        <v>200</v>
      </c>
      <c r="B10" s="7" t="s">
        <v>8</v>
      </c>
      <c r="C10" s="22" t="s">
        <v>19</v>
      </c>
      <c r="D10" s="23">
        <v>35000</v>
      </c>
      <c r="E10" s="24">
        <v>0.05</v>
      </c>
      <c r="F10" s="25">
        <v>25</v>
      </c>
      <c r="G10" s="26">
        <f t="shared" si="4"/>
        <v>26.25</v>
      </c>
      <c r="H10" s="27">
        <f t="shared" si="5"/>
        <v>918.75</v>
      </c>
      <c r="I10" s="27">
        <f>C26</f>
        <v>2.08</v>
      </c>
      <c r="J10" s="89">
        <f t="shared" si="6"/>
        <v>1911</v>
      </c>
      <c r="K10" s="84">
        <f>E36</f>
        <v>1.1438383838383839E-3</v>
      </c>
      <c r="L10" s="28">
        <f t="shared" si="0"/>
        <v>40.034343434343434</v>
      </c>
      <c r="M10" s="29">
        <f>A18*B18</f>
        <v>128</v>
      </c>
      <c r="N10" s="29">
        <f>C18</f>
        <v>450</v>
      </c>
      <c r="O10" s="29">
        <f>E18+F18*D18</f>
        <v>17.5</v>
      </c>
      <c r="P10" s="29">
        <f t="shared" si="1"/>
        <v>77.777777777777771</v>
      </c>
      <c r="Q10" s="28">
        <f t="shared" si="7"/>
        <v>1361.1111111111111</v>
      </c>
      <c r="R10" s="26">
        <f t="shared" si="8"/>
        <v>3440.1454545454544</v>
      </c>
      <c r="S10" s="26">
        <f>G18</f>
        <v>0.3</v>
      </c>
      <c r="T10" s="26">
        <f t="shared" si="9"/>
        <v>4472.1890909090907</v>
      </c>
      <c r="U10" s="27">
        <f t="shared" si="2"/>
        <v>0.12777683116883115</v>
      </c>
      <c r="V10" s="78">
        <f>E19+F19*D19</f>
        <v>11.25</v>
      </c>
      <c r="W10" s="78">
        <f t="shared" si="10"/>
        <v>874.99999999999989</v>
      </c>
      <c r="X10" s="92">
        <f t="shared" si="11"/>
        <v>2954.0343434343431</v>
      </c>
      <c r="Y10" s="78">
        <f>G18</f>
        <v>0.3</v>
      </c>
      <c r="Z10" s="26">
        <f t="shared" si="12"/>
        <v>3840.2446464646459</v>
      </c>
      <c r="AA10" s="78">
        <f t="shared" si="3"/>
        <v>0.1097212756132756</v>
      </c>
      <c r="AB10" s="30">
        <v>75</v>
      </c>
      <c r="AC10" s="31">
        <f t="shared" si="13"/>
        <v>0.2236094545454545</v>
      </c>
      <c r="AD10" s="31">
        <f t="shared" si="14"/>
        <v>0.19201223232323231</v>
      </c>
      <c r="AE10" s="15">
        <v>200</v>
      </c>
      <c r="AF10" s="7" t="s">
        <v>8</v>
      </c>
    </row>
    <row r="11" spans="1:32" ht="14.4" x14ac:dyDescent="0.3">
      <c r="A11" s="15">
        <v>200</v>
      </c>
      <c r="B11" s="7" t="s">
        <v>9</v>
      </c>
      <c r="C11" s="22" t="s">
        <v>20</v>
      </c>
      <c r="D11" s="23">
        <v>45000</v>
      </c>
      <c r="E11" s="24">
        <v>0.05</v>
      </c>
      <c r="F11" s="25">
        <v>25</v>
      </c>
      <c r="G11" s="26">
        <f t="shared" si="4"/>
        <v>26.25</v>
      </c>
      <c r="H11" s="27">
        <f t="shared" si="5"/>
        <v>1181.25</v>
      </c>
      <c r="I11" s="27">
        <f>C26</f>
        <v>2.08</v>
      </c>
      <c r="J11" s="89">
        <f t="shared" si="6"/>
        <v>2457</v>
      </c>
      <c r="K11" s="84">
        <f>E36</f>
        <v>1.1438383838383839E-3</v>
      </c>
      <c r="L11" s="28">
        <f t="shared" si="0"/>
        <v>51.472727272727276</v>
      </c>
      <c r="M11" s="29">
        <f>A18*B18</f>
        <v>128</v>
      </c>
      <c r="N11" s="29">
        <f>C18</f>
        <v>450</v>
      </c>
      <c r="O11" s="29">
        <f>E18+F18*D18</f>
        <v>17.5</v>
      </c>
      <c r="P11" s="29">
        <f t="shared" si="1"/>
        <v>100</v>
      </c>
      <c r="Q11" s="28">
        <f t="shared" si="7"/>
        <v>1750</v>
      </c>
      <c r="R11" s="26">
        <f t="shared" si="8"/>
        <v>4386.4727272727268</v>
      </c>
      <c r="S11" s="26">
        <f>G18</f>
        <v>0.3</v>
      </c>
      <c r="T11" s="26">
        <f t="shared" si="9"/>
        <v>5702.4145454545451</v>
      </c>
      <c r="U11" s="27">
        <f t="shared" si="2"/>
        <v>0.12672032323232321</v>
      </c>
      <c r="V11" s="78">
        <f>E19+F19*D19</f>
        <v>11.25</v>
      </c>
      <c r="W11" s="78">
        <f t="shared" si="10"/>
        <v>1125</v>
      </c>
      <c r="X11" s="92">
        <f t="shared" si="11"/>
        <v>3761.4727272727273</v>
      </c>
      <c r="Y11" s="78">
        <f>G18</f>
        <v>0.3</v>
      </c>
      <c r="Z11" s="26">
        <f t="shared" si="12"/>
        <v>4889.9145454545451</v>
      </c>
      <c r="AA11" s="78">
        <f t="shared" si="3"/>
        <v>0.10866476767676767</v>
      </c>
      <c r="AB11" s="30">
        <v>70</v>
      </c>
      <c r="AC11" s="31">
        <f t="shared" si="13"/>
        <v>0.21542454949494946</v>
      </c>
      <c r="AD11" s="31">
        <f t="shared" si="14"/>
        <v>0.18473010505050502</v>
      </c>
      <c r="AE11" s="15">
        <v>200</v>
      </c>
      <c r="AF11" s="7" t="s">
        <v>9</v>
      </c>
    </row>
    <row r="12" spans="1:32" ht="14.4" x14ac:dyDescent="0.3">
      <c r="A12" s="15">
        <v>200</v>
      </c>
      <c r="B12" s="7" t="s">
        <v>10</v>
      </c>
      <c r="C12" s="22" t="s">
        <v>21</v>
      </c>
      <c r="D12" s="23">
        <v>75000</v>
      </c>
      <c r="E12" s="24">
        <v>0.05</v>
      </c>
      <c r="F12" s="25">
        <v>25</v>
      </c>
      <c r="G12" s="26">
        <f t="shared" si="4"/>
        <v>26.25</v>
      </c>
      <c r="H12" s="27">
        <f t="shared" si="5"/>
        <v>1968.75</v>
      </c>
      <c r="I12" s="27">
        <f>C26</f>
        <v>2.08</v>
      </c>
      <c r="J12" s="89">
        <f t="shared" si="6"/>
        <v>4095</v>
      </c>
      <c r="K12" s="84">
        <f>E36</f>
        <v>1.1438383838383839E-3</v>
      </c>
      <c r="L12" s="28">
        <f t="shared" si="0"/>
        <v>85.787878787878796</v>
      </c>
      <c r="M12" s="29">
        <f>A18*B18</f>
        <v>128</v>
      </c>
      <c r="N12" s="29">
        <f>C18</f>
        <v>450</v>
      </c>
      <c r="O12" s="29">
        <f>E18+F18*D18</f>
        <v>17.5</v>
      </c>
      <c r="P12" s="29">
        <f t="shared" si="1"/>
        <v>166.66666666666666</v>
      </c>
      <c r="Q12" s="28">
        <f>O12*P12</f>
        <v>2916.6666666666665</v>
      </c>
      <c r="R12" s="26">
        <f t="shared" si="8"/>
        <v>7225.454545454546</v>
      </c>
      <c r="S12" s="26">
        <f>G18</f>
        <v>0.3</v>
      </c>
      <c r="T12" s="26">
        <f t="shared" si="9"/>
        <v>9393.0909090909099</v>
      </c>
      <c r="U12" s="27">
        <f t="shared" si="2"/>
        <v>0.12524121212121214</v>
      </c>
      <c r="V12" s="78">
        <f>E19+F19*D19</f>
        <v>11.25</v>
      </c>
      <c r="W12" s="78">
        <f t="shared" si="10"/>
        <v>1875</v>
      </c>
      <c r="X12" s="92">
        <f t="shared" si="11"/>
        <v>6183.787878787879</v>
      </c>
      <c r="Y12" s="78">
        <f>G18</f>
        <v>0.3</v>
      </c>
      <c r="Z12" s="26">
        <f t="shared" si="12"/>
        <v>8038.924242424242</v>
      </c>
      <c r="AA12" s="78">
        <f t="shared" si="3"/>
        <v>0.10718565656565657</v>
      </c>
      <c r="AB12" s="30">
        <v>70</v>
      </c>
      <c r="AC12" s="31">
        <f t="shared" si="13"/>
        <v>0.21291006060606066</v>
      </c>
      <c r="AD12" s="31">
        <f t="shared" si="14"/>
        <v>0.18221561616161616</v>
      </c>
      <c r="AE12" s="15">
        <v>200</v>
      </c>
      <c r="AF12" s="7" t="s">
        <v>10</v>
      </c>
    </row>
    <row r="13" spans="1:32" ht="27.6" x14ac:dyDescent="0.3">
      <c r="A13" s="15">
        <v>200</v>
      </c>
      <c r="B13" s="7" t="s">
        <v>11</v>
      </c>
      <c r="C13" s="22" t="s">
        <v>22</v>
      </c>
      <c r="D13" s="23">
        <v>125000</v>
      </c>
      <c r="E13" s="24">
        <v>0.03</v>
      </c>
      <c r="F13" s="25">
        <v>25</v>
      </c>
      <c r="G13" s="26">
        <f t="shared" si="4"/>
        <v>25.75</v>
      </c>
      <c r="H13" s="27">
        <f t="shared" si="5"/>
        <v>3218.75</v>
      </c>
      <c r="I13" s="27">
        <f>C26</f>
        <v>2.08</v>
      </c>
      <c r="J13" s="89">
        <f t="shared" si="6"/>
        <v>6695</v>
      </c>
      <c r="K13" s="84">
        <f>E36</f>
        <v>1.1438383838383839E-3</v>
      </c>
      <c r="L13" s="28">
        <f t="shared" si="0"/>
        <v>142.97979797979798</v>
      </c>
      <c r="M13" s="29">
        <f>A18*B18</f>
        <v>128</v>
      </c>
      <c r="N13" s="29">
        <f>C18</f>
        <v>450</v>
      </c>
      <c r="O13" s="29">
        <f>E18+F18*D18</f>
        <v>17.5</v>
      </c>
      <c r="P13" s="29">
        <f t="shared" si="1"/>
        <v>277.77777777777777</v>
      </c>
      <c r="Q13" s="28">
        <f t="shared" si="7"/>
        <v>4861.1111111111113</v>
      </c>
      <c r="R13" s="26">
        <f t="shared" si="8"/>
        <v>11827.090909090908</v>
      </c>
      <c r="S13" s="26">
        <f>G18</f>
        <v>0.3</v>
      </c>
      <c r="T13" s="26">
        <f t="shared" si="9"/>
        <v>15375.21818181818</v>
      </c>
      <c r="U13" s="27">
        <f t="shared" si="2"/>
        <v>0.12300174545454544</v>
      </c>
      <c r="V13" s="78">
        <f>E19+F19*D19</f>
        <v>11.25</v>
      </c>
      <c r="W13" s="78">
        <f t="shared" si="10"/>
        <v>3125</v>
      </c>
      <c r="X13" s="92">
        <f t="shared" si="11"/>
        <v>10090.979797979799</v>
      </c>
      <c r="Y13" s="78">
        <f>G18</f>
        <v>0.3</v>
      </c>
      <c r="Z13" s="26">
        <f t="shared" si="12"/>
        <v>13118.273737373738</v>
      </c>
      <c r="AA13" s="78">
        <f t="shared" si="3"/>
        <v>0.10494618989898991</v>
      </c>
      <c r="AB13" s="30">
        <v>65</v>
      </c>
      <c r="AC13" s="31">
        <f t="shared" si="13"/>
        <v>0.20295287999999997</v>
      </c>
      <c r="AD13" s="31">
        <f t="shared" si="14"/>
        <v>0.17316121333333334</v>
      </c>
      <c r="AE13" s="15">
        <v>200</v>
      </c>
      <c r="AF13" s="7" t="s">
        <v>11</v>
      </c>
    </row>
    <row r="14" spans="1:32" ht="28.2" thickBot="1" x14ac:dyDescent="0.35">
      <c r="A14" s="15">
        <v>200</v>
      </c>
      <c r="B14" s="7" t="s">
        <v>12</v>
      </c>
      <c r="C14" s="22" t="s">
        <v>23</v>
      </c>
      <c r="D14" s="23">
        <v>200000</v>
      </c>
      <c r="E14" s="24">
        <v>0.03</v>
      </c>
      <c r="F14" s="25">
        <v>25</v>
      </c>
      <c r="G14" s="26">
        <f t="shared" si="4"/>
        <v>25.75</v>
      </c>
      <c r="H14" s="27">
        <f t="shared" si="5"/>
        <v>5150</v>
      </c>
      <c r="I14" s="27">
        <f>C26</f>
        <v>2.08</v>
      </c>
      <c r="J14" s="89">
        <f t="shared" si="6"/>
        <v>10712</v>
      </c>
      <c r="K14" s="84">
        <f>E36</f>
        <v>1.1438383838383839E-3</v>
      </c>
      <c r="L14" s="28">
        <f t="shared" si="0"/>
        <v>228.76767676767679</v>
      </c>
      <c r="M14" s="29">
        <f>A18*B18</f>
        <v>128</v>
      </c>
      <c r="N14" s="29">
        <f>C18</f>
        <v>450</v>
      </c>
      <c r="O14" s="29">
        <f>E18+F18*D18</f>
        <v>17.5</v>
      </c>
      <c r="P14" s="29">
        <f t="shared" si="1"/>
        <v>444.44444444444446</v>
      </c>
      <c r="Q14" s="28">
        <f t="shared" si="7"/>
        <v>7777.7777777777783</v>
      </c>
      <c r="R14" s="26">
        <f t="shared" si="8"/>
        <v>18846.545454545456</v>
      </c>
      <c r="S14" s="26">
        <f>G18</f>
        <v>0.3</v>
      </c>
      <c r="T14" s="26">
        <f t="shared" si="9"/>
        <v>24500.509090909094</v>
      </c>
      <c r="U14" s="27">
        <f t="shared" si="2"/>
        <v>0.12250254545454548</v>
      </c>
      <c r="V14" s="78">
        <f>E19+F19*D19</f>
        <v>11.25</v>
      </c>
      <c r="W14" s="78">
        <f t="shared" si="10"/>
        <v>5000</v>
      </c>
      <c r="X14" s="92">
        <f t="shared" si="11"/>
        <v>16068.767676767677</v>
      </c>
      <c r="Y14" s="78">
        <f>G18</f>
        <v>0.3</v>
      </c>
      <c r="Z14" s="26">
        <f t="shared" si="12"/>
        <v>20889.397979797977</v>
      </c>
      <c r="AA14" s="78">
        <f t="shared" si="3"/>
        <v>0.10444698989898989</v>
      </c>
      <c r="AB14" s="30">
        <v>60</v>
      </c>
      <c r="AC14" s="32">
        <f t="shared" si="13"/>
        <v>0.19600407272727277</v>
      </c>
      <c r="AD14" s="32">
        <f t="shared" si="14"/>
        <v>0.16711518383838381</v>
      </c>
      <c r="AE14" s="15">
        <v>200</v>
      </c>
      <c r="AF14" s="7" t="s">
        <v>12</v>
      </c>
    </row>
    <row r="15" spans="1:32" ht="14.4" thickBot="1" x14ac:dyDescent="0.35"/>
    <row r="16" spans="1:32" x14ac:dyDescent="0.3">
      <c r="A16" s="33" t="s">
        <v>27</v>
      </c>
      <c r="B16" s="34"/>
      <c r="C16" s="34"/>
      <c r="D16" s="34"/>
      <c r="E16" s="34"/>
      <c r="F16" s="34"/>
      <c r="G16" s="35"/>
      <c r="AC16" s="80"/>
    </row>
    <row r="17" spans="1:12" x14ac:dyDescent="0.3">
      <c r="A17" s="36" t="s">
        <v>28</v>
      </c>
      <c r="B17" s="37" t="s">
        <v>29</v>
      </c>
      <c r="C17" s="37" t="s">
        <v>30</v>
      </c>
      <c r="D17" s="37" t="s">
        <v>31</v>
      </c>
      <c r="E17" s="37" t="s">
        <v>32</v>
      </c>
      <c r="F17" s="37" t="s">
        <v>33</v>
      </c>
      <c r="G17" s="38" t="s">
        <v>34</v>
      </c>
      <c r="J17" s="39"/>
      <c r="K17" s="85"/>
      <c r="L17" s="14" t="s">
        <v>59</v>
      </c>
    </row>
    <row r="18" spans="1:12" ht="14.4" thickBot="1" x14ac:dyDescent="0.35">
      <c r="A18" s="40">
        <v>4</v>
      </c>
      <c r="B18" s="41">
        <v>32</v>
      </c>
      <c r="C18" s="41">
        <v>450</v>
      </c>
      <c r="D18" s="41">
        <v>0.5</v>
      </c>
      <c r="E18" s="41">
        <v>5</v>
      </c>
      <c r="F18" s="42">
        <v>25</v>
      </c>
      <c r="G18" s="43">
        <v>0.3</v>
      </c>
    </row>
    <row r="19" spans="1:12" ht="14.4" thickBot="1" x14ac:dyDescent="0.35">
      <c r="A19" s="40">
        <v>4</v>
      </c>
      <c r="B19" s="41">
        <v>32</v>
      </c>
      <c r="C19" s="41">
        <v>450</v>
      </c>
      <c r="D19" s="41">
        <v>0.25</v>
      </c>
      <c r="E19" s="41">
        <v>5</v>
      </c>
      <c r="F19" s="42">
        <v>25</v>
      </c>
      <c r="G19" s="43">
        <v>0.3</v>
      </c>
    </row>
    <row r="20" spans="1:12" ht="14.4" thickBot="1" x14ac:dyDescent="0.35">
      <c r="J20" s="44"/>
      <c r="K20" s="86"/>
      <c r="L20" s="14" t="s">
        <v>60</v>
      </c>
    </row>
    <row r="21" spans="1:12" x14ac:dyDescent="0.3">
      <c r="A21" s="45" t="s">
        <v>35</v>
      </c>
      <c r="B21" s="46"/>
      <c r="C21" s="46" t="s">
        <v>36</v>
      </c>
      <c r="D21" s="47" t="s">
        <v>37</v>
      </c>
    </row>
    <row r="22" spans="1:12" x14ac:dyDescent="0.3">
      <c r="A22" s="48" t="s">
        <v>40</v>
      </c>
      <c r="B22" s="49">
        <v>2</v>
      </c>
      <c r="C22" s="50">
        <v>96</v>
      </c>
      <c r="D22" s="51"/>
    </row>
    <row r="23" spans="1:12" x14ac:dyDescent="0.3">
      <c r="A23" s="48" t="s">
        <v>40</v>
      </c>
      <c r="B23" s="49">
        <v>4</v>
      </c>
      <c r="C23" s="50">
        <v>4</v>
      </c>
      <c r="D23" s="51"/>
    </row>
    <row r="24" spans="1:12" x14ac:dyDescent="0.3">
      <c r="A24" s="48" t="s">
        <v>40</v>
      </c>
      <c r="B24" s="49">
        <v>0</v>
      </c>
      <c r="C24" s="50"/>
      <c r="D24" s="51"/>
    </row>
    <row r="25" spans="1:12" ht="14.4" thickBot="1" x14ac:dyDescent="0.35">
      <c r="A25" s="48" t="s">
        <v>44</v>
      </c>
      <c r="B25" s="49">
        <v>0</v>
      </c>
      <c r="C25" s="50"/>
      <c r="D25" s="51"/>
    </row>
    <row r="26" spans="1:12" ht="14.4" thickBot="1" x14ac:dyDescent="0.35">
      <c r="A26" s="52" t="s">
        <v>45</v>
      </c>
      <c r="B26" s="53">
        <f>SUM(B22:B25)</f>
        <v>6</v>
      </c>
      <c r="C26" s="54">
        <f>(B22*C22/100)+(B23*C23/100)+(B24*C24/100)+(B25*C25/100)</f>
        <v>2.08</v>
      </c>
      <c r="D26" s="55" t="s">
        <v>62</v>
      </c>
    </row>
    <row r="27" spans="1:12" ht="14.4" thickBot="1" x14ac:dyDescent="0.35"/>
    <row r="28" spans="1:12" x14ac:dyDescent="0.3">
      <c r="A28" s="56" t="s">
        <v>38</v>
      </c>
      <c r="B28" s="57"/>
      <c r="C28" s="58"/>
      <c r="D28" s="59" t="s">
        <v>39</v>
      </c>
      <c r="E28" s="60" t="s">
        <v>97</v>
      </c>
    </row>
    <row r="29" spans="1:12" x14ac:dyDescent="0.3">
      <c r="A29" s="61" t="s">
        <v>42</v>
      </c>
      <c r="B29" s="62">
        <v>1100</v>
      </c>
      <c r="C29" s="63"/>
      <c r="D29" s="64"/>
      <c r="E29" s="65"/>
    </row>
    <row r="30" spans="1:12" x14ac:dyDescent="0.3">
      <c r="A30" s="61" t="s">
        <v>86</v>
      </c>
      <c r="B30" s="62">
        <v>9</v>
      </c>
      <c r="C30" s="63" t="s">
        <v>41</v>
      </c>
      <c r="D30" s="66">
        <v>0.68100000000000005</v>
      </c>
      <c r="E30" s="65">
        <f>D30*B30</f>
        <v>6.1290000000000004</v>
      </c>
    </row>
    <row r="31" spans="1:12" x14ac:dyDescent="0.3">
      <c r="A31" s="61" t="s">
        <v>87</v>
      </c>
      <c r="B31" s="62">
        <f>B30*B29</f>
        <v>9900</v>
      </c>
      <c r="C31" s="67"/>
      <c r="D31" s="68"/>
      <c r="E31" s="65"/>
    </row>
    <row r="32" spans="1:12" x14ac:dyDescent="0.3">
      <c r="A32" s="61" t="s">
        <v>88</v>
      </c>
      <c r="B32" s="62">
        <v>9</v>
      </c>
      <c r="C32" s="63" t="s">
        <v>43</v>
      </c>
      <c r="D32" s="69">
        <v>0.13800000000000001</v>
      </c>
      <c r="E32" s="65">
        <f>D32*B32</f>
        <v>1.242</v>
      </c>
    </row>
    <row r="33" spans="1:5" x14ac:dyDescent="0.3">
      <c r="A33" s="61" t="s">
        <v>46</v>
      </c>
      <c r="B33" s="62">
        <f>B32*5</f>
        <v>45</v>
      </c>
      <c r="C33" s="63" t="s">
        <v>47</v>
      </c>
      <c r="D33" s="66">
        <v>4.3400000000000001E-2</v>
      </c>
      <c r="E33" s="65">
        <f>D33*B33</f>
        <v>1.9530000000000001</v>
      </c>
    </row>
    <row r="34" spans="1:5" ht="14.4" thickBot="1" x14ac:dyDescent="0.35">
      <c r="A34" s="70" t="s">
        <v>48</v>
      </c>
      <c r="B34" s="71" t="s">
        <v>49</v>
      </c>
      <c r="C34" s="72" t="s">
        <v>50</v>
      </c>
      <c r="D34" s="73">
        <v>2</v>
      </c>
      <c r="E34" s="74">
        <f>D34</f>
        <v>2</v>
      </c>
    </row>
    <row r="35" spans="1:5" ht="14.4" thickBot="1" x14ac:dyDescent="0.35">
      <c r="E35" s="75">
        <f>SUM(E29:E34)</f>
        <v>11.324</v>
      </c>
    </row>
    <row r="36" spans="1:5" ht="14.4" thickBot="1" x14ac:dyDescent="0.35">
      <c r="D36" s="76" t="s">
        <v>98</v>
      </c>
      <c r="E36" s="77">
        <f>E35/B31</f>
        <v>1.1438383838383839E-3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ED5AA-A494-49CC-887A-68DC079F2F20}">
  <dimension ref="A2:AD36"/>
  <sheetViews>
    <sheetView topLeftCell="N1" workbookViewId="0">
      <selection activeCell="Z4" sqref="Z4:Z14"/>
    </sheetView>
  </sheetViews>
  <sheetFormatPr defaultColWidth="9.109375" defaultRowHeight="13.8" x14ac:dyDescent="0.3"/>
  <cols>
    <col min="1" max="1" width="28.6640625" style="14" bestFit="1" customWidth="1"/>
    <col min="2" max="2" width="10.109375" style="14" bestFit="1" customWidth="1"/>
    <col min="3" max="3" width="21" style="14" bestFit="1" customWidth="1"/>
    <col min="4" max="4" width="12.44140625" style="14" bestFit="1" customWidth="1"/>
    <col min="5" max="5" width="21" style="14" bestFit="1" customWidth="1"/>
    <col min="6" max="6" width="14.88671875" style="14" bestFit="1" customWidth="1"/>
    <col min="7" max="7" width="23.5546875" style="14" bestFit="1" customWidth="1"/>
    <col min="8" max="8" width="18.6640625" style="14" customWidth="1"/>
    <col min="9" max="9" width="0.109375" style="14" customWidth="1"/>
    <col min="10" max="10" width="9.5546875" style="14" bestFit="1" customWidth="1"/>
    <col min="11" max="11" width="15.33203125" style="82" customWidth="1"/>
    <col min="12" max="12" width="17.5546875" style="14" bestFit="1" customWidth="1"/>
    <col min="13" max="13" width="19.33203125" style="14" customWidth="1"/>
    <col min="14" max="14" width="9.109375" style="14" customWidth="1"/>
    <col min="15" max="15" width="22.88671875" style="14" customWidth="1"/>
    <col min="16" max="16" width="11.88671875" style="14" customWidth="1"/>
    <col min="17" max="17" width="23.5546875" style="14" bestFit="1" customWidth="1"/>
    <col min="18" max="18" width="24.33203125" style="14" customWidth="1"/>
    <col min="19" max="19" width="11" style="14" customWidth="1"/>
    <col min="20" max="20" width="35.5546875" style="14" bestFit="1" customWidth="1"/>
    <col min="21" max="21" width="14.6640625" style="14" bestFit="1" customWidth="1"/>
    <col min="22" max="27" width="14.6640625" style="14" customWidth="1"/>
    <col min="28" max="28" width="16.5546875" style="14" bestFit="1" customWidth="1"/>
    <col min="29" max="29" width="17.44140625" style="14" bestFit="1" customWidth="1"/>
    <col min="30" max="30" width="11.88671875" style="14" bestFit="1" customWidth="1"/>
    <col min="31" max="16384" width="9.109375" style="14"/>
  </cols>
  <sheetData>
    <row r="2" spans="1:30" ht="14.4" thickBot="1" x14ac:dyDescent="0.35"/>
    <row r="3" spans="1:30" ht="74.25" customHeight="1" thickBot="1" x14ac:dyDescent="0.35">
      <c r="A3" s="15" t="s">
        <v>57</v>
      </c>
      <c r="B3" s="15" t="s">
        <v>24</v>
      </c>
      <c r="C3" s="15" t="s">
        <v>25</v>
      </c>
      <c r="D3" s="15" t="s">
        <v>26</v>
      </c>
      <c r="E3" s="15" t="s">
        <v>55</v>
      </c>
      <c r="F3" s="15" t="s">
        <v>58</v>
      </c>
      <c r="G3" s="16" t="s">
        <v>51</v>
      </c>
      <c r="H3" s="17" t="s">
        <v>52</v>
      </c>
      <c r="I3" s="17" t="s">
        <v>61</v>
      </c>
      <c r="J3" s="90" t="s">
        <v>53</v>
      </c>
      <c r="K3" s="83" t="s">
        <v>99</v>
      </c>
      <c r="L3" s="18" t="s">
        <v>96</v>
      </c>
      <c r="M3" s="19" t="s">
        <v>54</v>
      </c>
      <c r="N3" s="19" t="s">
        <v>100</v>
      </c>
      <c r="O3" s="19" t="s">
        <v>108</v>
      </c>
      <c r="P3" s="19" t="s">
        <v>101</v>
      </c>
      <c r="Q3" s="91" t="s">
        <v>116</v>
      </c>
      <c r="R3" s="87" t="s">
        <v>107</v>
      </c>
      <c r="S3" s="88" t="s">
        <v>102</v>
      </c>
      <c r="T3" s="87" t="s">
        <v>104</v>
      </c>
      <c r="U3" s="87" t="s">
        <v>105</v>
      </c>
      <c r="V3" s="19" t="s">
        <v>109</v>
      </c>
      <c r="W3" s="20" t="s">
        <v>110</v>
      </c>
      <c r="X3" s="20"/>
      <c r="Y3" s="20"/>
      <c r="Z3" s="20" t="s">
        <v>111</v>
      </c>
      <c r="AA3" s="20" t="s">
        <v>112</v>
      </c>
      <c r="AB3" s="20" t="s">
        <v>103</v>
      </c>
      <c r="AC3" s="79" t="s">
        <v>106</v>
      </c>
      <c r="AD3" s="21" t="s">
        <v>113</v>
      </c>
    </row>
    <row r="4" spans="1:30" ht="14.4" x14ac:dyDescent="0.3">
      <c r="A4" s="15">
        <v>200</v>
      </c>
      <c r="B4" s="7" t="s">
        <v>2</v>
      </c>
      <c r="C4" s="22" t="s">
        <v>13</v>
      </c>
      <c r="D4" s="23">
        <v>2000</v>
      </c>
      <c r="E4" s="24">
        <v>0.1</v>
      </c>
      <c r="F4" s="25">
        <v>25</v>
      </c>
      <c r="G4" s="26">
        <f>F4+F4*E4</f>
        <v>27.5</v>
      </c>
      <c r="H4" s="27">
        <f>(G4*D4)/1000</f>
        <v>55</v>
      </c>
      <c r="I4" s="27">
        <f>C26</f>
        <v>2.52</v>
      </c>
      <c r="J4" s="89">
        <f>H4*I4</f>
        <v>138.6</v>
      </c>
      <c r="K4" s="84">
        <f>E36</f>
        <v>1.1438383838383839E-3</v>
      </c>
      <c r="L4" s="28">
        <f t="shared" ref="L4:L14" si="0">K4*D4</f>
        <v>2.2876767676767678</v>
      </c>
      <c r="M4" s="29">
        <f>A18*B18</f>
        <v>128</v>
      </c>
      <c r="N4" s="29">
        <f>C18</f>
        <v>450</v>
      </c>
      <c r="O4" s="29">
        <f>E18+F18*D18</f>
        <v>17.5</v>
      </c>
      <c r="P4" s="29">
        <f t="shared" ref="P4:P14" si="1">D4/N4</f>
        <v>4.4444444444444446</v>
      </c>
      <c r="Q4" s="28">
        <f>O4*P4</f>
        <v>77.777777777777786</v>
      </c>
      <c r="R4" s="26">
        <f>Q4+L4+J4+M4</f>
        <v>346.66545454545457</v>
      </c>
      <c r="S4" s="26">
        <f>G18</f>
        <v>0.3</v>
      </c>
      <c r="T4" s="26">
        <f>R4+R4*S4</f>
        <v>450.66509090909096</v>
      </c>
      <c r="U4" s="27">
        <f t="shared" ref="U4:U14" si="2">T4/D4</f>
        <v>0.22533254545454548</v>
      </c>
      <c r="V4" s="78">
        <f>E19+F19*D19</f>
        <v>11.25</v>
      </c>
      <c r="W4" s="78">
        <f>V4*P4</f>
        <v>50</v>
      </c>
      <c r="X4" s="92">
        <f>W4+M4+L4+J4</f>
        <v>318.88767676767679</v>
      </c>
      <c r="Y4" s="78">
        <f>G18</f>
        <v>0.3</v>
      </c>
      <c r="Z4" s="26">
        <f>X4+X4*Y4</f>
        <v>414.55397979797982</v>
      </c>
      <c r="AA4" s="78">
        <f t="shared" ref="AA4:AA14" si="3">Z4/D4</f>
        <v>0.20727698989898991</v>
      </c>
      <c r="AB4" s="30">
        <v>180</v>
      </c>
      <c r="AC4" s="81">
        <f>U4*2+(U4*2*80/100)</f>
        <v>0.81119716363636374</v>
      </c>
      <c r="AD4" s="81">
        <f>AA4*2+(AA4*2*80/100)</f>
        <v>0.74619716363636368</v>
      </c>
    </row>
    <row r="5" spans="1:30" ht="14.4" x14ac:dyDescent="0.3">
      <c r="A5" s="15">
        <v>200</v>
      </c>
      <c r="B5" s="7" t="s">
        <v>3</v>
      </c>
      <c r="C5" s="22" t="s">
        <v>14</v>
      </c>
      <c r="D5" s="23">
        <v>4000</v>
      </c>
      <c r="E5" s="24">
        <v>0.1</v>
      </c>
      <c r="F5" s="25">
        <v>25</v>
      </c>
      <c r="G5" s="26">
        <f t="shared" ref="G5:G14" si="4">F5+F5*E5</f>
        <v>27.5</v>
      </c>
      <c r="H5" s="27">
        <f t="shared" ref="H5:H14" si="5">(G5*D5)/1000</f>
        <v>110</v>
      </c>
      <c r="I5" s="27">
        <f>C26</f>
        <v>2.52</v>
      </c>
      <c r="J5" s="89">
        <f t="shared" ref="J5:J14" si="6">H5*I5</f>
        <v>277.2</v>
      </c>
      <c r="K5" s="84">
        <f>E36</f>
        <v>1.1438383838383839E-3</v>
      </c>
      <c r="L5" s="28">
        <f t="shared" si="0"/>
        <v>4.5753535353535355</v>
      </c>
      <c r="M5" s="29">
        <f>A18*B18</f>
        <v>128</v>
      </c>
      <c r="N5" s="29">
        <f>C18</f>
        <v>450</v>
      </c>
      <c r="O5" s="29">
        <f>E18+F18*D18</f>
        <v>17.5</v>
      </c>
      <c r="P5" s="29">
        <f t="shared" si="1"/>
        <v>8.8888888888888893</v>
      </c>
      <c r="Q5" s="28">
        <f t="shared" ref="Q5:Q14" si="7">O5*P5</f>
        <v>155.55555555555557</v>
      </c>
      <c r="R5" s="26">
        <f t="shared" ref="R5:R14" si="8">Q5+L5+J5+M5</f>
        <v>565.33090909090913</v>
      </c>
      <c r="S5" s="26">
        <f>G18</f>
        <v>0.3</v>
      </c>
      <c r="T5" s="26">
        <f t="shared" ref="T5:T14" si="9">R5+R5*S5</f>
        <v>734.93018181818184</v>
      </c>
      <c r="U5" s="27">
        <f t="shared" si="2"/>
        <v>0.18373254545454545</v>
      </c>
      <c r="V5" s="78">
        <f>E19+F19*D19</f>
        <v>11.25</v>
      </c>
      <c r="W5" s="78">
        <f t="shared" ref="W5:W14" si="10">V5*P5</f>
        <v>100</v>
      </c>
      <c r="X5" s="92">
        <f t="shared" ref="X5:X14" si="11">W5+M5+L5+J5</f>
        <v>509.77535353535353</v>
      </c>
      <c r="Y5" s="78">
        <f>G18</f>
        <v>0.3</v>
      </c>
      <c r="Z5" s="26">
        <f t="shared" ref="Z5:Z14" si="12">X5+X5*Y5</f>
        <v>662.70795959595955</v>
      </c>
      <c r="AA5" s="78">
        <f t="shared" si="3"/>
        <v>0.16567698989898988</v>
      </c>
      <c r="AB5" s="30">
        <v>160</v>
      </c>
      <c r="AC5" s="31">
        <f>U5*2+(U5*2*80/100)</f>
        <v>0.66143716363636362</v>
      </c>
      <c r="AD5" s="31">
        <f>AA5*2+(AA5*2*80/100)</f>
        <v>0.59643716363636357</v>
      </c>
    </row>
    <row r="6" spans="1:30" ht="14.4" x14ac:dyDescent="0.3">
      <c r="A6" s="15">
        <v>200</v>
      </c>
      <c r="B6" s="7" t="s">
        <v>4</v>
      </c>
      <c r="C6" s="22" t="s">
        <v>15</v>
      </c>
      <c r="D6" s="23">
        <v>7500</v>
      </c>
      <c r="E6" s="24">
        <v>7.0000000000000007E-2</v>
      </c>
      <c r="F6" s="25">
        <v>25</v>
      </c>
      <c r="G6" s="26">
        <f t="shared" si="4"/>
        <v>26.75</v>
      </c>
      <c r="H6" s="27">
        <f t="shared" si="5"/>
        <v>200.625</v>
      </c>
      <c r="I6" s="27">
        <f>C26</f>
        <v>2.52</v>
      </c>
      <c r="J6" s="89">
        <f t="shared" si="6"/>
        <v>505.57499999999999</v>
      </c>
      <c r="K6" s="84">
        <f>E36</f>
        <v>1.1438383838383839E-3</v>
      </c>
      <c r="L6" s="28">
        <f t="shared" si="0"/>
        <v>8.57878787878788</v>
      </c>
      <c r="M6" s="29">
        <f>A18*B18</f>
        <v>128</v>
      </c>
      <c r="N6" s="29">
        <f>C18</f>
        <v>450</v>
      </c>
      <c r="O6" s="29">
        <f>E18+F18*D18</f>
        <v>17.5</v>
      </c>
      <c r="P6" s="29">
        <f t="shared" si="1"/>
        <v>16.666666666666668</v>
      </c>
      <c r="Q6" s="28">
        <f t="shared" si="7"/>
        <v>291.66666666666669</v>
      </c>
      <c r="R6" s="26">
        <f t="shared" si="8"/>
        <v>933.8204545454546</v>
      </c>
      <c r="S6" s="26">
        <f>G18</f>
        <v>0.3</v>
      </c>
      <c r="T6" s="26">
        <f t="shared" si="9"/>
        <v>1213.9665909090909</v>
      </c>
      <c r="U6" s="27">
        <f t="shared" si="2"/>
        <v>0.16186221212121213</v>
      </c>
      <c r="V6" s="78">
        <f>E19+F19*D19</f>
        <v>11.25</v>
      </c>
      <c r="W6" s="78">
        <f t="shared" si="10"/>
        <v>187.5</v>
      </c>
      <c r="X6" s="92">
        <f t="shared" si="11"/>
        <v>829.65378787878785</v>
      </c>
      <c r="Y6" s="78">
        <f>G18</f>
        <v>0.3</v>
      </c>
      <c r="Z6" s="26">
        <f t="shared" si="12"/>
        <v>1078.5499242424241</v>
      </c>
      <c r="AA6" s="78">
        <f t="shared" si="3"/>
        <v>0.14380665656565655</v>
      </c>
      <c r="AB6" s="30">
        <v>140</v>
      </c>
      <c r="AC6" s="31">
        <f>U6*2+(U6*2*80/100)</f>
        <v>0.58270396363636368</v>
      </c>
      <c r="AD6" s="31">
        <f>AA6*2+(AA6*2*80/100)</f>
        <v>0.51770396363636362</v>
      </c>
    </row>
    <row r="7" spans="1:30" ht="14.4" x14ac:dyDescent="0.3">
      <c r="A7" s="15">
        <v>200</v>
      </c>
      <c r="B7" s="7" t="s">
        <v>5</v>
      </c>
      <c r="C7" s="22" t="s">
        <v>16</v>
      </c>
      <c r="D7" s="23">
        <v>12500</v>
      </c>
      <c r="E7" s="24">
        <v>7.0000000000000007E-2</v>
      </c>
      <c r="F7" s="25">
        <v>25</v>
      </c>
      <c r="G7" s="26">
        <f t="shared" si="4"/>
        <v>26.75</v>
      </c>
      <c r="H7" s="27">
        <f t="shared" si="5"/>
        <v>334.375</v>
      </c>
      <c r="I7" s="27">
        <f>C26</f>
        <v>2.52</v>
      </c>
      <c r="J7" s="89">
        <f t="shared" si="6"/>
        <v>842.625</v>
      </c>
      <c r="K7" s="84">
        <f>E36</f>
        <v>1.1438383838383839E-3</v>
      </c>
      <c r="L7" s="28">
        <f t="shared" si="0"/>
        <v>14.297979797979799</v>
      </c>
      <c r="M7" s="29">
        <f>A18*B18</f>
        <v>128</v>
      </c>
      <c r="N7" s="29">
        <f>C18</f>
        <v>450</v>
      </c>
      <c r="O7" s="29">
        <f>E18+F18*D18</f>
        <v>17.5</v>
      </c>
      <c r="P7" s="29">
        <f t="shared" si="1"/>
        <v>27.777777777777779</v>
      </c>
      <c r="Q7" s="28">
        <f t="shared" si="7"/>
        <v>486.11111111111114</v>
      </c>
      <c r="R7" s="26">
        <f t="shared" si="8"/>
        <v>1471.034090909091</v>
      </c>
      <c r="S7" s="26">
        <f>G18</f>
        <v>0.3</v>
      </c>
      <c r="T7" s="26">
        <f t="shared" si="9"/>
        <v>1912.3443181818184</v>
      </c>
      <c r="U7" s="27">
        <f t="shared" si="2"/>
        <v>0.15298754545454546</v>
      </c>
      <c r="V7" s="78">
        <f>E19+F19*D19</f>
        <v>11.25</v>
      </c>
      <c r="W7" s="78">
        <f t="shared" si="10"/>
        <v>312.5</v>
      </c>
      <c r="X7" s="92">
        <f t="shared" si="11"/>
        <v>1297.4229797979797</v>
      </c>
      <c r="Y7" s="78">
        <f>G18</f>
        <v>0.3</v>
      </c>
      <c r="Z7" s="26">
        <f t="shared" si="12"/>
        <v>1686.6498737373736</v>
      </c>
      <c r="AA7" s="78">
        <f t="shared" si="3"/>
        <v>0.13493198989898988</v>
      </c>
      <c r="AB7" s="30">
        <v>85</v>
      </c>
      <c r="AC7" s="31">
        <f>U7+U7*AB7/100</f>
        <v>0.28302695909090914</v>
      </c>
      <c r="AD7" s="31">
        <f>AA7+AA7*AB7/100</f>
        <v>0.2496241813131313</v>
      </c>
    </row>
    <row r="8" spans="1:30" ht="14.4" x14ac:dyDescent="0.3">
      <c r="A8" s="15">
        <v>200</v>
      </c>
      <c r="B8" s="7" t="s">
        <v>6</v>
      </c>
      <c r="C8" s="22" t="s">
        <v>17</v>
      </c>
      <c r="D8" s="23">
        <v>17500</v>
      </c>
      <c r="E8" s="24">
        <v>7.0000000000000007E-2</v>
      </c>
      <c r="F8" s="25">
        <v>25</v>
      </c>
      <c r="G8" s="26">
        <f t="shared" si="4"/>
        <v>26.75</v>
      </c>
      <c r="H8" s="27">
        <f t="shared" si="5"/>
        <v>468.125</v>
      </c>
      <c r="I8" s="27">
        <f>C26</f>
        <v>2.52</v>
      </c>
      <c r="J8" s="89">
        <f t="shared" si="6"/>
        <v>1179.675</v>
      </c>
      <c r="K8" s="84">
        <f>E36</f>
        <v>1.1438383838383839E-3</v>
      </c>
      <c r="L8" s="28">
        <f t="shared" si="0"/>
        <v>20.017171717171717</v>
      </c>
      <c r="M8" s="29">
        <f>A18*B18</f>
        <v>128</v>
      </c>
      <c r="N8" s="29">
        <f>C18</f>
        <v>450</v>
      </c>
      <c r="O8" s="29">
        <f>E18+F18*D18</f>
        <v>17.5</v>
      </c>
      <c r="P8" s="29">
        <f t="shared" si="1"/>
        <v>38.888888888888886</v>
      </c>
      <c r="Q8" s="28">
        <f t="shared" si="7"/>
        <v>680.55555555555554</v>
      </c>
      <c r="R8" s="26">
        <f t="shared" si="8"/>
        <v>2008.2477272727272</v>
      </c>
      <c r="S8" s="26">
        <f>G18</f>
        <v>0.3</v>
      </c>
      <c r="T8" s="26">
        <f t="shared" si="9"/>
        <v>2610.7220454545454</v>
      </c>
      <c r="U8" s="27">
        <f t="shared" si="2"/>
        <v>0.14918411688311689</v>
      </c>
      <c r="V8" s="78">
        <f>E19+F19*D19</f>
        <v>11.25</v>
      </c>
      <c r="W8" s="78">
        <f t="shared" si="10"/>
        <v>437.49999999999994</v>
      </c>
      <c r="X8" s="92">
        <f t="shared" si="11"/>
        <v>1765.1921717171717</v>
      </c>
      <c r="Y8" s="78">
        <f>G18</f>
        <v>0.3</v>
      </c>
      <c r="Z8" s="26">
        <f t="shared" si="12"/>
        <v>2294.7498232323233</v>
      </c>
      <c r="AA8" s="78">
        <f t="shared" si="3"/>
        <v>0.13112856132756132</v>
      </c>
      <c r="AB8" s="30">
        <v>80</v>
      </c>
      <c r="AC8" s="31">
        <f t="shared" ref="AC8:AC14" si="13">U8+U8*AB8/100</f>
        <v>0.26853141038961043</v>
      </c>
      <c r="AD8" s="31">
        <f t="shared" ref="AD8:AD14" si="14">AA8+AA8*AB8/100</f>
        <v>0.23603141038961037</v>
      </c>
    </row>
    <row r="9" spans="1:30" ht="14.4" x14ac:dyDescent="0.3">
      <c r="A9" s="15">
        <v>200</v>
      </c>
      <c r="B9" s="7" t="s">
        <v>7</v>
      </c>
      <c r="C9" s="22" t="s">
        <v>18</v>
      </c>
      <c r="D9" s="23">
        <v>25000</v>
      </c>
      <c r="E9" s="24">
        <v>0.05</v>
      </c>
      <c r="F9" s="25">
        <v>25</v>
      </c>
      <c r="G9" s="26">
        <f t="shared" si="4"/>
        <v>26.25</v>
      </c>
      <c r="H9" s="27">
        <f t="shared" si="5"/>
        <v>656.25</v>
      </c>
      <c r="I9" s="27">
        <f>C26</f>
        <v>2.52</v>
      </c>
      <c r="J9" s="89">
        <f t="shared" si="6"/>
        <v>1653.75</v>
      </c>
      <c r="K9" s="84">
        <f>E36</f>
        <v>1.1438383838383839E-3</v>
      </c>
      <c r="L9" s="28">
        <f t="shared" si="0"/>
        <v>28.595959595959599</v>
      </c>
      <c r="M9" s="29">
        <f>A18*B18</f>
        <v>128</v>
      </c>
      <c r="N9" s="29">
        <f>C18</f>
        <v>450</v>
      </c>
      <c r="O9" s="29">
        <f>E18+F18*D18</f>
        <v>17.5</v>
      </c>
      <c r="P9" s="29">
        <f t="shared" si="1"/>
        <v>55.555555555555557</v>
      </c>
      <c r="Q9" s="28">
        <f t="shared" si="7"/>
        <v>972.22222222222229</v>
      </c>
      <c r="R9" s="26">
        <f t="shared" si="8"/>
        <v>2782.568181818182</v>
      </c>
      <c r="S9" s="26">
        <f>G18</f>
        <v>0.3</v>
      </c>
      <c r="T9" s="26">
        <f t="shared" si="9"/>
        <v>3617.3386363636364</v>
      </c>
      <c r="U9" s="27">
        <f t="shared" si="2"/>
        <v>0.14469354545454546</v>
      </c>
      <c r="V9" s="78">
        <f>E19+F19*D19</f>
        <v>11.25</v>
      </c>
      <c r="W9" s="78">
        <f t="shared" si="10"/>
        <v>625</v>
      </c>
      <c r="X9" s="92">
        <f t="shared" si="11"/>
        <v>2435.3459595959594</v>
      </c>
      <c r="Y9" s="78">
        <f>G18</f>
        <v>0.3</v>
      </c>
      <c r="Z9" s="26">
        <f t="shared" si="12"/>
        <v>3165.9497474747473</v>
      </c>
      <c r="AA9" s="78">
        <f t="shared" si="3"/>
        <v>0.12663798989898989</v>
      </c>
      <c r="AB9" s="30">
        <v>75</v>
      </c>
      <c r="AC9" s="31">
        <f t="shared" si="13"/>
        <v>0.25321370454545455</v>
      </c>
      <c r="AD9" s="31">
        <f t="shared" si="14"/>
        <v>0.22161648232323231</v>
      </c>
    </row>
    <row r="10" spans="1:30" ht="14.4" x14ac:dyDescent="0.3">
      <c r="A10" s="15">
        <v>200</v>
      </c>
      <c r="B10" s="7" t="s">
        <v>8</v>
      </c>
      <c r="C10" s="22" t="s">
        <v>19</v>
      </c>
      <c r="D10" s="23">
        <v>35000</v>
      </c>
      <c r="E10" s="24">
        <v>0.05</v>
      </c>
      <c r="F10" s="25">
        <v>25</v>
      </c>
      <c r="G10" s="26">
        <f t="shared" si="4"/>
        <v>26.25</v>
      </c>
      <c r="H10" s="27">
        <f t="shared" si="5"/>
        <v>918.75</v>
      </c>
      <c r="I10" s="27">
        <f>C26</f>
        <v>2.52</v>
      </c>
      <c r="J10" s="89">
        <f t="shared" si="6"/>
        <v>2315.25</v>
      </c>
      <c r="K10" s="84">
        <f>E36</f>
        <v>1.1438383838383839E-3</v>
      </c>
      <c r="L10" s="28">
        <f t="shared" si="0"/>
        <v>40.034343434343434</v>
      </c>
      <c r="M10" s="29">
        <f>A18*B18</f>
        <v>128</v>
      </c>
      <c r="N10" s="29">
        <f>C18</f>
        <v>450</v>
      </c>
      <c r="O10" s="29">
        <f>E18+F18*D18</f>
        <v>17.5</v>
      </c>
      <c r="P10" s="29">
        <f t="shared" si="1"/>
        <v>77.777777777777771</v>
      </c>
      <c r="Q10" s="28">
        <f t="shared" si="7"/>
        <v>1361.1111111111111</v>
      </c>
      <c r="R10" s="26">
        <f t="shared" si="8"/>
        <v>3844.3954545454544</v>
      </c>
      <c r="S10" s="26">
        <f>G18</f>
        <v>0.3</v>
      </c>
      <c r="T10" s="26">
        <f t="shared" si="9"/>
        <v>4997.7140909090904</v>
      </c>
      <c r="U10" s="27">
        <f t="shared" si="2"/>
        <v>0.14279183116883115</v>
      </c>
      <c r="V10" s="78">
        <f>E19+F19*D19</f>
        <v>11.25</v>
      </c>
      <c r="W10" s="78">
        <f t="shared" si="10"/>
        <v>874.99999999999989</v>
      </c>
      <c r="X10" s="92">
        <f t="shared" si="11"/>
        <v>3358.2843434343431</v>
      </c>
      <c r="Y10" s="78">
        <f>G18</f>
        <v>0.3</v>
      </c>
      <c r="Z10" s="26">
        <f t="shared" si="12"/>
        <v>4365.769646464646</v>
      </c>
      <c r="AA10" s="78">
        <f t="shared" si="3"/>
        <v>0.1247362756132756</v>
      </c>
      <c r="AB10" s="30">
        <v>75</v>
      </c>
      <c r="AC10" s="31">
        <f t="shared" si="13"/>
        <v>0.2498857045454545</v>
      </c>
      <c r="AD10" s="31">
        <f t="shared" si="14"/>
        <v>0.21828848232323231</v>
      </c>
    </row>
    <row r="11" spans="1:30" ht="14.4" x14ac:dyDescent="0.3">
      <c r="A11" s="15">
        <v>200</v>
      </c>
      <c r="B11" s="7" t="s">
        <v>9</v>
      </c>
      <c r="C11" s="22" t="s">
        <v>20</v>
      </c>
      <c r="D11" s="23">
        <v>45000</v>
      </c>
      <c r="E11" s="24">
        <v>0.05</v>
      </c>
      <c r="F11" s="25">
        <v>25</v>
      </c>
      <c r="G11" s="26">
        <f t="shared" si="4"/>
        <v>26.25</v>
      </c>
      <c r="H11" s="27">
        <f t="shared" si="5"/>
        <v>1181.25</v>
      </c>
      <c r="I11" s="27">
        <f>C26</f>
        <v>2.52</v>
      </c>
      <c r="J11" s="89">
        <f t="shared" si="6"/>
        <v>2976.75</v>
      </c>
      <c r="K11" s="84">
        <f>E36</f>
        <v>1.1438383838383839E-3</v>
      </c>
      <c r="L11" s="28">
        <f t="shared" si="0"/>
        <v>51.472727272727276</v>
      </c>
      <c r="M11" s="29">
        <f>A18*B18</f>
        <v>128</v>
      </c>
      <c r="N11" s="29">
        <f>C18</f>
        <v>450</v>
      </c>
      <c r="O11" s="29">
        <f>E18+F18*D18</f>
        <v>17.5</v>
      </c>
      <c r="P11" s="29">
        <f t="shared" si="1"/>
        <v>100</v>
      </c>
      <c r="Q11" s="28">
        <f t="shared" si="7"/>
        <v>1750</v>
      </c>
      <c r="R11" s="26">
        <f t="shared" si="8"/>
        <v>4906.2227272727268</v>
      </c>
      <c r="S11" s="26">
        <f>G18</f>
        <v>0.3</v>
      </c>
      <c r="T11" s="26">
        <f t="shared" si="9"/>
        <v>6378.0895454545443</v>
      </c>
      <c r="U11" s="27">
        <f t="shared" si="2"/>
        <v>0.14173532323232321</v>
      </c>
      <c r="V11" s="78">
        <f>E19+F19*D19</f>
        <v>11.25</v>
      </c>
      <c r="W11" s="78">
        <f t="shared" si="10"/>
        <v>1125</v>
      </c>
      <c r="X11" s="92">
        <f t="shared" si="11"/>
        <v>4281.2227272727268</v>
      </c>
      <c r="Y11" s="78">
        <f>G18</f>
        <v>0.3</v>
      </c>
      <c r="Z11" s="26">
        <f t="shared" si="12"/>
        <v>5565.5895454545443</v>
      </c>
      <c r="AA11" s="78">
        <f t="shared" si="3"/>
        <v>0.12367976767676765</v>
      </c>
      <c r="AB11" s="30">
        <v>70</v>
      </c>
      <c r="AC11" s="31">
        <f t="shared" si="13"/>
        <v>0.24095004949494947</v>
      </c>
      <c r="AD11" s="31">
        <f t="shared" si="14"/>
        <v>0.210255605050505</v>
      </c>
    </row>
    <row r="12" spans="1:30" ht="14.4" x14ac:dyDescent="0.3">
      <c r="A12" s="15">
        <v>200</v>
      </c>
      <c r="B12" s="7" t="s">
        <v>10</v>
      </c>
      <c r="C12" s="22" t="s">
        <v>21</v>
      </c>
      <c r="D12" s="23">
        <v>75000</v>
      </c>
      <c r="E12" s="24">
        <v>0.05</v>
      </c>
      <c r="F12" s="25">
        <v>25</v>
      </c>
      <c r="G12" s="26">
        <f t="shared" si="4"/>
        <v>26.25</v>
      </c>
      <c r="H12" s="27">
        <f t="shared" si="5"/>
        <v>1968.75</v>
      </c>
      <c r="I12" s="27">
        <f>C26</f>
        <v>2.52</v>
      </c>
      <c r="J12" s="89">
        <f t="shared" si="6"/>
        <v>4961.25</v>
      </c>
      <c r="K12" s="84">
        <f>E36</f>
        <v>1.1438383838383839E-3</v>
      </c>
      <c r="L12" s="28">
        <f t="shared" si="0"/>
        <v>85.787878787878796</v>
      </c>
      <c r="M12" s="29">
        <f>A18*B18</f>
        <v>128</v>
      </c>
      <c r="N12" s="29">
        <f>C18</f>
        <v>450</v>
      </c>
      <c r="O12" s="29">
        <f>E18+F18*D18</f>
        <v>17.5</v>
      </c>
      <c r="P12" s="29">
        <f t="shared" si="1"/>
        <v>166.66666666666666</v>
      </c>
      <c r="Q12" s="28">
        <f>O12*P12</f>
        <v>2916.6666666666665</v>
      </c>
      <c r="R12" s="26">
        <f t="shared" si="8"/>
        <v>8091.704545454546</v>
      </c>
      <c r="S12" s="26">
        <f>G18</f>
        <v>0.3</v>
      </c>
      <c r="T12" s="26">
        <f t="shared" si="9"/>
        <v>10519.21590909091</v>
      </c>
      <c r="U12" s="27">
        <f t="shared" si="2"/>
        <v>0.14025621212121214</v>
      </c>
      <c r="V12" s="78">
        <f>E19+F19*D19</f>
        <v>11.25</v>
      </c>
      <c r="W12" s="78">
        <f t="shared" si="10"/>
        <v>1875</v>
      </c>
      <c r="X12" s="92">
        <f t="shared" si="11"/>
        <v>7050.037878787879</v>
      </c>
      <c r="Y12" s="78">
        <f>G18</f>
        <v>0.3</v>
      </c>
      <c r="Z12" s="26">
        <f t="shared" si="12"/>
        <v>9165.049242424242</v>
      </c>
      <c r="AA12" s="78">
        <f t="shared" si="3"/>
        <v>0.12220065656565655</v>
      </c>
      <c r="AB12" s="30">
        <v>70</v>
      </c>
      <c r="AC12" s="31">
        <f t="shared" si="13"/>
        <v>0.23843556060606064</v>
      </c>
      <c r="AD12" s="31">
        <f t="shared" si="14"/>
        <v>0.20774111616161614</v>
      </c>
    </row>
    <row r="13" spans="1:30" ht="14.4" x14ac:dyDescent="0.3">
      <c r="A13" s="15">
        <v>200</v>
      </c>
      <c r="B13" s="7" t="s">
        <v>11</v>
      </c>
      <c r="C13" s="22" t="s">
        <v>22</v>
      </c>
      <c r="D13" s="23">
        <v>125000</v>
      </c>
      <c r="E13" s="24">
        <v>0.03</v>
      </c>
      <c r="F13" s="25">
        <v>25</v>
      </c>
      <c r="G13" s="26">
        <f t="shared" si="4"/>
        <v>25.75</v>
      </c>
      <c r="H13" s="27">
        <f t="shared" si="5"/>
        <v>3218.75</v>
      </c>
      <c r="I13" s="27">
        <f>C26</f>
        <v>2.52</v>
      </c>
      <c r="J13" s="89">
        <f t="shared" si="6"/>
        <v>8111.25</v>
      </c>
      <c r="K13" s="84">
        <f>E36</f>
        <v>1.1438383838383839E-3</v>
      </c>
      <c r="L13" s="28">
        <f t="shared" si="0"/>
        <v>142.97979797979798</v>
      </c>
      <c r="M13" s="29">
        <f>A18*B18</f>
        <v>128</v>
      </c>
      <c r="N13" s="29">
        <f>C18</f>
        <v>450</v>
      </c>
      <c r="O13" s="29">
        <f>E18+F18*D18</f>
        <v>17.5</v>
      </c>
      <c r="P13" s="29">
        <f t="shared" si="1"/>
        <v>277.77777777777777</v>
      </c>
      <c r="Q13" s="28">
        <f t="shared" si="7"/>
        <v>4861.1111111111113</v>
      </c>
      <c r="R13" s="26">
        <f t="shared" si="8"/>
        <v>13243.340909090908</v>
      </c>
      <c r="S13" s="26">
        <f>G18</f>
        <v>0.3</v>
      </c>
      <c r="T13" s="26">
        <f t="shared" si="9"/>
        <v>17216.343181818182</v>
      </c>
      <c r="U13" s="27">
        <f t="shared" si="2"/>
        <v>0.13773074545454544</v>
      </c>
      <c r="V13" s="78">
        <f>E19+F19*D19</f>
        <v>11.25</v>
      </c>
      <c r="W13" s="78">
        <f t="shared" si="10"/>
        <v>3125</v>
      </c>
      <c r="X13" s="92">
        <f t="shared" si="11"/>
        <v>11507.229797979799</v>
      </c>
      <c r="Y13" s="78">
        <f>G18</f>
        <v>0.3</v>
      </c>
      <c r="Z13" s="26">
        <f t="shared" si="12"/>
        <v>14959.398737373738</v>
      </c>
      <c r="AA13" s="78">
        <f t="shared" si="3"/>
        <v>0.11967518989898991</v>
      </c>
      <c r="AB13" s="30">
        <v>65</v>
      </c>
      <c r="AC13" s="31">
        <f t="shared" si="13"/>
        <v>0.22725572999999999</v>
      </c>
      <c r="AD13" s="31">
        <f t="shared" si="14"/>
        <v>0.19746406333333336</v>
      </c>
    </row>
    <row r="14" spans="1:30" ht="15" thickBot="1" x14ac:dyDescent="0.35">
      <c r="A14" s="15">
        <v>200</v>
      </c>
      <c r="B14" s="7" t="s">
        <v>12</v>
      </c>
      <c r="C14" s="22" t="s">
        <v>23</v>
      </c>
      <c r="D14" s="23">
        <v>200000</v>
      </c>
      <c r="E14" s="24">
        <v>0.03</v>
      </c>
      <c r="F14" s="25">
        <v>25</v>
      </c>
      <c r="G14" s="26">
        <f t="shared" si="4"/>
        <v>25.75</v>
      </c>
      <c r="H14" s="27">
        <f t="shared" si="5"/>
        <v>5150</v>
      </c>
      <c r="I14" s="27">
        <f>C26</f>
        <v>2.52</v>
      </c>
      <c r="J14" s="89">
        <f t="shared" si="6"/>
        <v>12978</v>
      </c>
      <c r="K14" s="84">
        <f>E36</f>
        <v>1.1438383838383839E-3</v>
      </c>
      <c r="L14" s="28">
        <f t="shared" si="0"/>
        <v>228.76767676767679</v>
      </c>
      <c r="M14" s="29">
        <f>A18*B18</f>
        <v>128</v>
      </c>
      <c r="N14" s="29">
        <f>C18</f>
        <v>450</v>
      </c>
      <c r="O14" s="29">
        <f>E18+F18*D18</f>
        <v>17.5</v>
      </c>
      <c r="P14" s="29">
        <f t="shared" si="1"/>
        <v>444.44444444444446</v>
      </c>
      <c r="Q14" s="28">
        <f t="shared" si="7"/>
        <v>7777.7777777777783</v>
      </c>
      <c r="R14" s="26">
        <f t="shared" si="8"/>
        <v>21112.545454545456</v>
      </c>
      <c r="S14" s="26">
        <f>G18</f>
        <v>0.3</v>
      </c>
      <c r="T14" s="26">
        <f t="shared" si="9"/>
        <v>27446.309090909093</v>
      </c>
      <c r="U14" s="27">
        <f t="shared" si="2"/>
        <v>0.13723154545454547</v>
      </c>
      <c r="V14" s="78">
        <f>E19+F19*D19</f>
        <v>11.25</v>
      </c>
      <c r="W14" s="78">
        <f t="shared" si="10"/>
        <v>5000</v>
      </c>
      <c r="X14" s="92">
        <f t="shared" si="11"/>
        <v>18334.767676767675</v>
      </c>
      <c r="Y14" s="78">
        <f>G18</f>
        <v>0.3</v>
      </c>
      <c r="Z14" s="26">
        <f t="shared" si="12"/>
        <v>23835.197979797977</v>
      </c>
      <c r="AA14" s="78">
        <f t="shared" si="3"/>
        <v>0.11917598989898988</v>
      </c>
      <c r="AB14" s="30">
        <v>60</v>
      </c>
      <c r="AC14" s="32">
        <f t="shared" si="13"/>
        <v>0.21957047272727276</v>
      </c>
      <c r="AD14" s="32">
        <f t="shared" si="14"/>
        <v>0.19068158383838379</v>
      </c>
    </row>
    <row r="15" spans="1:30" ht="14.4" thickBot="1" x14ac:dyDescent="0.35"/>
    <row r="16" spans="1:30" x14ac:dyDescent="0.3">
      <c r="A16" s="33" t="s">
        <v>27</v>
      </c>
      <c r="B16" s="34"/>
      <c r="C16" s="34"/>
      <c r="D16" s="34"/>
      <c r="E16" s="34"/>
      <c r="F16" s="34"/>
      <c r="G16" s="35"/>
      <c r="AC16" s="80"/>
    </row>
    <row r="17" spans="1:12" x14ac:dyDescent="0.3">
      <c r="A17" s="36" t="s">
        <v>28</v>
      </c>
      <c r="B17" s="37" t="s">
        <v>29</v>
      </c>
      <c r="C17" s="37" t="s">
        <v>30</v>
      </c>
      <c r="D17" s="37" t="s">
        <v>31</v>
      </c>
      <c r="E17" s="37" t="s">
        <v>32</v>
      </c>
      <c r="F17" s="37" t="s">
        <v>33</v>
      </c>
      <c r="G17" s="38" t="s">
        <v>34</v>
      </c>
      <c r="J17" s="39"/>
      <c r="K17" s="85"/>
      <c r="L17" s="14" t="s">
        <v>59</v>
      </c>
    </row>
    <row r="18" spans="1:12" ht="14.4" thickBot="1" x14ac:dyDescent="0.35">
      <c r="A18" s="40">
        <v>4</v>
      </c>
      <c r="B18" s="41">
        <v>32</v>
      </c>
      <c r="C18" s="41">
        <v>450</v>
      </c>
      <c r="D18" s="41">
        <v>0.5</v>
      </c>
      <c r="E18" s="41">
        <v>5</v>
      </c>
      <c r="F18" s="42">
        <v>25</v>
      </c>
      <c r="G18" s="43">
        <v>0.3</v>
      </c>
    </row>
    <row r="19" spans="1:12" ht="14.4" thickBot="1" x14ac:dyDescent="0.35">
      <c r="A19" s="40">
        <v>4</v>
      </c>
      <c r="B19" s="41">
        <v>32</v>
      </c>
      <c r="C19" s="41">
        <v>450</v>
      </c>
      <c r="D19" s="41">
        <v>0.25</v>
      </c>
      <c r="E19" s="41">
        <v>5</v>
      </c>
      <c r="F19" s="42">
        <v>25</v>
      </c>
      <c r="G19" s="43">
        <v>0.3</v>
      </c>
    </row>
    <row r="20" spans="1:12" ht="14.4" thickBot="1" x14ac:dyDescent="0.35">
      <c r="J20" s="44"/>
      <c r="K20" s="86"/>
      <c r="L20" s="14" t="s">
        <v>60</v>
      </c>
    </row>
    <row r="21" spans="1:12" x14ac:dyDescent="0.3">
      <c r="A21" s="45" t="s">
        <v>35</v>
      </c>
      <c r="B21" s="46"/>
      <c r="C21" s="46" t="s">
        <v>36</v>
      </c>
      <c r="D21" s="47" t="s">
        <v>37</v>
      </c>
    </row>
    <row r="22" spans="1:12" x14ac:dyDescent="0.3">
      <c r="A22" s="48" t="s">
        <v>40</v>
      </c>
      <c r="B22" s="49">
        <v>2</v>
      </c>
      <c r="C22" s="50">
        <v>96</v>
      </c>
      <c r="D22" s="51"/>
    </row>
    <row r="23" spans="1:12" x14ac:dyDescent="0.3">
      <c r="A23" s="48" t="s">
        <v>40</v>
      </c>
      <c r="B23" s="49">
        <v>15</v>
      </c>
      <c r="C23" s="50">
        <v>4</v>
      </c>
      <c r="D23" s="51"/>
    </row>
    <row r="24" spans="1:12" x14ac:dyDescent="0.3">
      <c r="A24" s="48" t="s">
        <v>40</v>
      </c>
      <c r="B24" s="49">
        <v>0</v>
      </c>
      <c r="C24" s="50"/>
      <c r="D24" s="51"/>
    </row>
    <row r="25" spans="1:12" ht="14.4" thickBot="1" x14ac:dyDescent="0.35">
      <c r="A25" s="48" t="s">
        <v>44</v>
      </c>
      <c r="B25" s="49">
        <v>0</v>
      </c>
      <c r="C25" s="50"/>
      <c r="D25" s="51"/>
    </row>
    <row r="26" spans="1:12" ht="14.4" thickBot="1" x14ac:dyDescent="0.35">
      <c r="A26" s="52" t="s">
        <v>45</v>
      </c>
      <c r="B26" s="53">
        <f>SUM(B22:B25)</f>
        <v>17</v>
      </c>
      <c r="C26" s="54">
        <f>(B22*C22/100)+(B23*C23/100)+(B24*C24/100)+(B25*C25/100)</f>
        <v>2.52</v>
      </c>
      <c r="D26" s="55" t="s">
        <v>62</v>
      </c>
    </row>
    <row r="27" spans="1:12" ht="14.4" thickBot="1" x14ac:dyDescent="0.35"/>
    <row r="28" spans="1:12" x14ac:dyDescent="0.3">
      <c r="A28" s="56" t="s">
        <v>38</v>
      </c>
      <c r="B28" s="57"/>
      <c r="C28" s="58"/>
      <c r="D28" s="59" t="s">
        <v>39</v>
      </c>
      <c r="E28" s="60" t="s">
        <v>97</v>
      </c>
    </row>
    <row r="29" spans="1:12" x14ac:dyDescent="0.3">
      <c r="A29" s="61" t="s">
        <v>42</v>
      </c>
      <c r="B29" s="62">
        <v>1100</v>
      </c>
      <c r="C29" s="63"/>
      <c r="D29" s="64"/>
      <c r="E29" s="65"/>
    </row>
    <row r="30" spans="1:12" x14ac:dyDescent="0.3">
      <c r="A30" s="61" t="s">
        <v>86</v>
      </c>
      <c r="B30" s="62">
        <v>9</v>
      </c>
      <c r="C30" s="63" t="s">
        <v>41</v>
      </c>
      <c r="D30" s="66">
        <v>0.68100000000000005</v>
      </c>
      <c r="E30" s="65">
        <f>D30*B30</f>
        <v>6.1290000000000004</v>
      </c>
    </row>
    <row r="31" spans="1:12" x14ac:dyDescent="0.3">
      <c r="A31" s="61" t="s">
        <v>87</v>
      </c>
      <c r="B31" s="62">
        <f>B30*B29</f>
        <v>9900</v>
      </c>
      <c r="C31" s="67"/>
      <c r="D31" s="68"/>
      <c r="E31" s="65"/>
    </row>
    <row r="32" spans="1:12" x14ac:dyDescent="0.3">
      <c r="A32" s="61" t="s">
        <v>88</v>
      </c>
      <c r="B32" s="62">
        <v>9</v>
      </c>
      <c r="C32" s="63" t="s">
        <v>43</v>
      </c>
      <c r="D32" s="69">
        <v>0.13800000000000001</v>
      </c>
      <c r="E32" s="65">
        <f>D32*B32</f>
        <v>1.242</v>
      </c>
    </row>
    <row r="33" spans="1:5" x14ac:dyDescent="0.3">
      <c r="A33" s="61" t="s">
        <v>46</v>
      </c>
      <c r="B33" s="62">
        <f>B32*5</f>
        <v>45</v>
      </c>
      <c r="C33" s="63" t="s">
        <v>47</v>
      </c>
      <c r="D33" s="66">
        <v>4.3400000000000001E-2</v>
      </c>
      <c r="E33" s="65">
        <f>D33*B33</f>
        <v>1.9530000000000001</v>
      </c>
    </row>
    <row r="34" spans="1:5" ht="14.4" thickBot="1" x14ac:dyDescent="0.35">
      <c r="A34" s="70" t="s">
        <v>48</v>
      </c>
      <c r="B34" s="71" t="s">
        <v>49</v>
      </c>
      <c r="C34" s="72" t="s">
        <v>50</v>
      </c>
      <c r="D34" s="73">
        <v>2</v>
      </c>
      <c r="E34" s="74">
        <f>D34</f>
        <v>2</v>
      </c>
    </row>
    <row r="35" spans="1:5" ht="14.4" thickBot="1" x14ac:dyDescent="0.35">
      <c r="E35" s="75">
        <f>SUM(E29:E34)</f>
        <v>11.324</v>
      </c>
    </row>
    <row r="36" spans="1:5" ht="14.4" thickBot="1" x14ac:dyDescent="0.35">
      <c r="D36" s="76" t="s">
        <v>98</v>
      </c>
      <c r="E36" s="77">
        <f>E35/B31</f>
        <v>1.1438383838383839E-3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B74AA-2824-46AD-80CE-0C89A44FC46B}">
  <dimension ref="A2:AG36"/>
  <sheetViews>
    <sheetView topLeftCell="T1" workbookViewId="0">
      <selection activeCell="T4" sqref="T4:T14"/>
    </sheetView>
  </sheetViews>
  <sheetFormatPr defaultColWidth="9.109375" defaultRowHeight="13.8" x14ac:dyDescent="0.3"/>
  <cols>
    <col min="1" max="1" width="28.6640625" style="14" bestFit="1" customWidth="1"/>
    <col min="2" max="2" width="10.109375" style="14" bestFit="1" customWidth="1"/>
    <col min="3" max="3" width="21" style="14" bestFit="1" customWidth="1"/>
    <col min="4" max="4" width="12.44140625" style="14" bestFit="1" customWidth="1"/>
    <col min="5" max="5" width="21" style="14" bestFit="1" customWidth="1"/>
    <col min="6" max="6" width="14.88671875" style="14" bestFit="1" customWidth="1"/>
    <col min="7" max="7" width="23.5546875" style="14" bestFit="1" customWidth="1"/>
    <col min="8" max="8" width="18.6640625" style="14" customWidth="1"/>
    <col min="9" max="9" width="0.109375" style="14" customWidth="1"/>
    <col min="10" max="10" width="9.5546875" style="14" bestFit="1" customWidth="1"/>
    <col min="11" max="11" width="15.33203125" style="82" customWidth="1"/>
    <col min="12" max="12" width="17.5546875" style="14" bestFit="1" customWidth="1"/>
    <col min="13" max="13" width="19.33203125" style="14" customWidth="1"/>
    <col min="14" max="14" width="9.109375" style="14" customWidth="1"/>
    <col min="15" max="15" width="22.88671875" style="14" customWidth="1"/>
    <col min="16" max="16" width="11.88671875" style="14" customWidth="1"/>
    <col min="17" max="17" width="23.5546875" style="14" bestFit="1" customWidth="1"/>
    <col min="18" max="18" width="24.33203125" style="14" customWidth="1"/>
    <col min="19" max="19" width="11" style="14" customWidth="1"/>
    <col min="20" max="20" width="35.5546875" style="14" bestFit="1" customWidth="1"/>
    <col min="21" max="21" width="14.6640625" style="14" bestFit="1" customWidth="1"/>
    <col min="22" max="27" width="14.6640625" style="14" customWidth="1"/>
    <col min="28" max="28" width="16.5546875" style="14" bestFit="1" customWidth="1"/>
    <col min="29" max="29" width="17.44140625" style="14" bestFit="1" customWidth="1"/>
    <col min="30" max="30" width="11.88671875" style="14" bestFit="1" customWidth="1"/>
    <col min="31" max="16384" width="9.109375" style="14"/>
  </cols>
  <sheetData>
    <row r="2" spans="1:33" ht="14.4" thickBot="1" x14ac:dyDescent="0.35"/>
    <row r="3" spans="1:33" ht="74.25" customHeight="1" thickBot="1" x14ac:dyDescent="0.35">
      <c r="A3" s="15" t="s">
        <v>57</v>
      </c>
      <c r="B3" s="15" t="s">
        <v>24</v>
      </c>
      <c r="C3" s="15" t="s">
        <v>25</v>
      </c>
      <c r="D3" s="15" t="s">
        <v>26</v>
      </c>
      <c r="E3" s="15" t="s">
        <v>55</v>
      </c>
      <c r="F3" s="15" t="s">
        <v>58</v>
      </c>
      <c r="G3" s="16" t="s">
        <v>51</v>
      </c>
      <c r="H3" s="17" t="s">
        <v>52</v>
      </c>
      <c r="I3" s="17" t="s">
        <v>61</v>
      </c>
      <c r="J3" s="90" t="s">
        <v>53</v>
      </c>
      <c r="K3" s="83" t="s">
        <v>99</v>
      </c>
      <c r="L3" s="18" t="s">
        <v>96</v>
      </c>
      <c r="M3" s="19" t="s">
        <v>54</v>
      </c>
      <c r="N3" s="19" t="s">
        <v>100</v>
      </c>
      <c r="O3" s="19" t="s">
        <v>108</v>
      </c>
      <c r="P3" s="19" t="s">
        <v>101</v>
      </c>
      <c r="Q3" s="91" t="s">
        <v>116</v>
      </c>
      <c r="R3" s="87" t="s">
        <v>107</v>
      </c>
      <c r="S3" s="88" t="s">
        <v>102</v>
      </c>
      <c r="T3" s="87" t="s">
        <v>104</v>
      </c>
      <c r="U3" s="87" t="s">
        <v>105</v>
      </c>
      <c r="V3" s="19" t="s">
        <v>109</v>
      </c>
      <c r="W3" s="20" t="s">
        <v>110</v>
      </c>
      <c r="X3" s="20"/>
      <c r="Y3" s="20"/>
      <c r="Z3" s="20" t="s">
        <v>111</v>
      </c>
      <c r="AA3" s="20" t="s">
        <v>112</v>
      </c>
      <c r="AB3" s="20" t="s">
        <v>103</v>
      </c>
      <c r="AC3" s="79" t="s">
        <v>106</v>
      </c>
      <c r="AD3" s="21" t="s">
        <v>113</v>
      </c>
      <c r="AE3" s="15" t="s">
        <v>57</v>
      </c>
      <c r="AF3" s="15" t="s">
        <v>24</v>
      </c>
      <c r="AG3" s="15" t="s">
        <v>25</v>
      </c>
    </row>
    <row r="4" spans="1:33" ht="27.6" x14ac:dyDescent="0.3">
      <c r="A4" s="15">
        <v>200</v>
      </c>
      <c r="B4" s="7" t="s">
        <v>2</v>
      </c>
      <c r="C4" s="22" t="s">
        <v>13</v>
      </c>
      <c r="D4" s="23">
        <v>2000</v>
      </c>
      <c r="E4" s="24">
        <v>0.1</v>
      </c>
      <c r="F4" s="25">
        <v>25</v>
      </c>
      <c r="G4" s="26">
        <f>F4+F4*E4</f>
        <v>27.5</v>
      </c>
      <c r="H4" s="27">
        <f>(G4*D4)/1000</f>
        <v>55</v>
      </c>
      <c r="I4" s="27">
        <f>C26</f>
        <v>1.5999999999999999</v>
      </c>
      <c r="J4" s="89">
        <f>H4*I4</f>
        <v>87.999999999999986</v>
      </c>
      <c r="K4" s="84">
        <f>E36</f>
        <v>1.1438383838383839E-3</v>
      </c>
      <c r="L4" s="28">
        <f t="shared" ref="L4:L14" si="0">K4*D4</f>
        <v>2.2876767676767678</v>
      </c>
      <c r="M4" s="29">
        <f>A18*B18</f>
        <v>128</v>
      </c>
      <c r="N4" s="29">
        <f>C18</f>
        <v>450</v>
      </c>
      <c r="O4" s="29">
        <f>E18+F18*D18</f>
        <v>17.5</v>
      </c>
      <c r="P4" s="29">
        <f t="shared" ref="P4:P14" si="1">D4/N4</f>
        <v>4.4444444444444446</v>
      </c>
      <c r="Q4" s="28">
        <f>O4*P4</f>
        <v>77.777777777777786</v>
      </c>
      <c r="R4" s="26">
        <f>Q4+L4+J4+M4</f>
        <v>296.06545454545454</v>
      </c>
      <c r="S4" s="26">
        <f>G18</f>
        <v>0.3</v>
      </c>
      <c r="T4" s="26">
        <f>R4+R4*S4</f>
        <v>384.88509090909088</v>
      </c>
      <c r="U4" s="27">
        <f t="shared" ref="U4:U14" si="2">T4/D4</f>
        <v>0.19244254545454545</v>
      </c>
      <c r="V4" s="78">
        <f>E19+F19*D19</f>
        <v>11.25</v>
      </c>
      <c r="W4" s="78">
        <f>V4*P4</f>
        <v>50</v>
      </c>
      <c r="X4" s="92">
        <f>W4+M4+L4+J4</f>
        <v>268.28767676767677</v>
      </c>
      <c r="Y4" s="78">
        <f>G18</f>
        <v>0.3</v>
      </c>
      <c r="Z4" s="26">
        <f>X4+X4*Y4</f>
        <v>348.77397979797979</v>
      </c>
      <c r="AA4" s="78">
        <f t="shared" ref="AA4:AA14" si="3">Z4/D4</f>
        <v>0.1743869898989899</v>
      </c>
      <c r="AB4" s="30">
        <v>180</v>
      </c>
      <c r="AC4" s="81">
        <f>U4*2+(U4*2*80/100)</f>
        <v>0.69279316363636356</v>
      </c>
      <c r="AD4" s="81">
        <f>AA4*2+(AA4*2*80/100)</f>
        <v>0.62779316363636362</v>
      </c>
      <c r="AE4" s="15">
        <v>200</v>
      </c>
      <c r="AF4" s="7" t="s">
        <v>2</v>
      </c>
      <c r="AG4" s="22" t="s">
        <v>13</v>
      </c>
    </row>
    <row r="5" spans="1:33" ht="27.6" x14ac:dyDescent="0.3">
      <c r="A5" s="15">
        <v>200</v>
      </c>
      <c r="B5" s="7" t="s">
        <v>3</v>
      </c>
      <c r="C5" s="22" t="s">
        <v>14</v>
      </c>
      <c r="D5" s="23">
        <v>4000</v>
      </c>
      <c r="E5" s="24">
        <v>0.1</v>
      </c>
      <c r="F5" s="25">
        <v>25</v>
      </c>
      <c r="G5" s="26">
        <f t="shared" ref="G5:G14" si="4">F5+F5*E5</f>
        <v>27.5</v>
      </c>
      <c r="H5" s="27">
        <f t="shared" ref="H5:H14" si="5">(G5*D5)/1000</f>
        <v>110</v>
      </c>
      <c r="I5" s="27">
        <f>C26</f>
        <v>1.5999999999999999</v>
      </c>
      <c r="J5" s="89">
        <f t="shared" ref="J5:J14" si="6">H5*I5</f>
        <v>175.99999999999997</v>
      </c>
      <c r="K5" s="84">
        <f>E36</f>
        <v>1.1438383838383839E-3</v>
      </c>
      <c r="L5" s="28">
        <f t="shared" si="0"/>
        <v>4.5753535353535355</v>
      </c>
      <c r="M5" s="29">
        <f>A18*B18</f>
        <v>128</v>
      </c>
      <c r="N5" s="29">
        <f>C18</f>
        <v>450</v>
      </c>
      <c r="O5" s="29">
        <f>E18+F18*D18</f>
        <v>17.5</v>
      </c>
      <c r="P5" s="29">
        <f t="shared" si="1"/>
        <v>8.8888888888888893</v>
      </c>
      <c r="Q5" s="28">
        <f t="shared" ref="Q5:Q14" si="7">O5*P5</f>
        <v>155.55555555555557</v>
      </c>
      <c r="R5" s="26">
        <f t="shared" ref="R5:R14" si="8">Q5+L5+J5+M5</f>
        <v>464.13090909090909</v>
      </c>
      <c r="S5" s="26">
        <f>G18</f>
        <v>0.3</v>
      </c>
      <c r="T5" s="26">
        <f t="shared" ref="T5:T14" si="9">R5+R5*S5</f>
        <v>603.37018181818178</v>
      </c>
      <c r="U5" s="27">
        <f t="shared" si="2"/>
        <v>0.15084254545454545</v>
      </c>
      <c r="V5" s="78">
        <f>E19+F19*D19</f>
        <v>11.25</v>
      </c>
      <c r="W5" s="78">
        <f t="shared" ref="W5:W14" si="10">V5*P5</f>
        <v>100</v>
      </c>
      <c r="X5" s="92">
        <f t="shared" ref="X5:X14" si="11">W5+M5+L5+J5</f>
        <v>408.57535353535354</v>
      </c>
      <c r="Y5" s="78">
        <f>G18</f>
        <v>0.3</v>
      </c>
      <c r="Z5" s="26">
        <f t="shared" ref="Z5:Z14" si="12">X5+X5*Y5</f>
        <v>531.14795959595961</v>
      </c>
      <c r="AA5" s="78">
        <f t="shared" si="3"/>
        <v>0.1327869898989899</v>
      </c>
      <c r="AB5" s="30">
        <v>160</v>
      </c>
      <c r="AC5" s="31">
        <f>U5*2+(U5*2*80/100)</f>
        <v>0.54303316363636367</v>
      </c>
      <c r="AD5" s="31">
        <f>AA5*2+(AA5*2*80/100)</f>
        <v>0.47803316363636367</v>
      </c>
      <c r="AE5" s="15">
        <v>200</v>
      </c>
      <c r="AF5" s="7" t="s">
        <v>3</v>
      </c>
      <c r="AG5" s="22" t="s">
        <v>14</v>
      </c>
    </row>
    <row r="6" spans="1:33" ht="27.6" x14ac:dyDescent="0.3">
      <c r="A6" s="15">
        <v>200</v>
      </c>
      <c r="B6" s="7" t="s">
        <v>4</v>
      </c>
      <c r="C6" s="22" t="s">
        <v>15</v>
      </c>
      <c r="D6" s="23">
        <v>7500</v>
      </c>
      <c r="E6" s="24">
        <v>7.0000000000000007E-2</v>
      </c>
      <c r="F6" s="25">
        <v>25</v>
      </c>
      <c r="G6" s="26">
        <f t="shared" si="4"/>
        <v>26.75</v>
      </c>
      <c r="H6" s="27">
        <f t="shared" si="5"/>
        <v>200.625</v>
      </c>
      <c r="I6" s="27">
        <f>C26</f>
        <v>1.5999999999999999</v>
      </c>
      <c r="J6" s="89">
        <f t="shared" si="6"/>
        <v>321</v>
      </c>
      <c r="K6" s="84">
        <f>E36</f>
        <v>1.1438383838383839E-3</v>
      </c>
      <c r="L6" s="28">
        <f t="shared" si="0"/>
        <v>8.57878787878788</v>
      </c>
      <c r="M6" s="29">
        <f>A18*B18</f>
        <v>128</v>
      </c>
      <c r="N6" s="29">
        <f>C18</f>
        <v>450</v>
      </c>
      <c r="O6" s="29">
        <f>E18+F18*D18</f>
        <v>17.5</v>
      </c>
      <c r="P6" s="29">
        <f t="shared" si="1"/>
        <v>16.666666666666668</v>
      </c>
      <c r="Q6" s="28">
        <f t="shared" si="7"/>
        <v>291.66666666666669</v>
      </c>
      <c r="R6" s="26">
        <f t="shared" si="8"/>
        <v>749.24545454545455</v>
      </c>
      <c r="S6" s="26">
        <f>G18</f>
        <v>0.3</v>
      </c>
      <c r="T6" s="26">
        <f t="shared" si="9"/>
        <v>974.01909090909089</v>
      </c>
      <c r="U6" s="27">
        <f t="shared" si="2"/>
        <v>0.12986921212121211</v>
      </c>
      <c r="V6" s="78">
        <f>E19+F19*D19</f>
        <v>11.25</v>
      </c>
      <c r="W6" s="78">
        <f t="shared" si="10"/>
        <v>187.5</v>
      </c>
      <c r="X6" s="92">
        <f t="shared" si="11"/>
        <v>645.07878787878781</v>
      </c>
      <c r="Y6" s="78">
        <f>G18</f>
        <v>0.3</v>
      </c>
      <c r="Z6" s="26">
        <f t="shared" si="12"/>
        <v>838.60242424242415</v>
      </c>
      <c r="AA6" s="78">
        <f t="shared" si="3"/>
        <v>0.11181365656565655</v>
      </c>
      <c r="AB6" s="30">
        <v>140</v>
      </c>
      <c r="AC6" s="31">
        <f>U6*2+(U6*2*80/100)</f>
        <v>0.4675291636363636</v>
      </c>
      <c r="AD6" s="31">
        <f>AA6*2+(AA6*2*80/100)</f>
        <v>0.4025291636363636</v>
      </c>
      <c r="AE6" s="15">
        <v>200</v>
      </c>
      <c r="AF6" s="7" t="s">
        <v>4</v>
      </c>
      <c r="AG6" s="22" t="s">
        <v>15</v>
      </c>
    </row>
    <row r="7" spans="1:33" ht="27.6" x14ac:dyDescent="0.3">
      <c r="A7" s="15">
        <v>200</v>
      </c>
      <c r="B7" s="7" t="s">
        <v>5</v>
      </c>
      <c r="C7" s="22" t="s">
        <v>16</v>
      </c>
      <c r="D7" s="23">
        <v>12500</v>
      </c>
      <c r="E7" s="24">
        <v>7.0000000000000007E-2</v>
      </c>
      <c r="F7" s="25">
        <v>25</v>
      </c>
      <c r="G7" s="26">
        <f t="shared" si="4"/>
        <v>26.75</v>
      </c>
      <c r="H7" s="27">
        <f t="shared" si="5"/>
        <v>334.375</v>
      </c>
      <c r="I7" s="27">
        <f>C26</f>
        <v>1.5999999999999999</v>
      </c>
      <c r="J7" s="89">
        <f t="shared" si="6"/>
        <v>535</v>
      </c>
      <c r="K7" s="84">
        <f>E36</f>
        <v>1.1438383838383839E-3</v>
      </c>
      <c r="L7" s="28">
        <f t="shared" si="0"/>
        <v>14.297979797979799</v>
      </c>
      <c r="M7" s="29">
        <f>A18*B18</f>
        <v>128</v>
      </c>
      <c r="N7" s="29">
        <f>C18</f>
        <v>450</v>
      </c>
      <c r="O7" s="29">
        <f>E18+F18*D18</f>
        <v>17.5</v>
      </c>
      <c r="P7" s="29">
        <f t="shared" si="1"/>
        <v>27.777777777777779</v>
      </c>
      <c r="Q7" s="28">
        <f t="shared" si="7"/>
        <v>486.11111111111114</v>
      </c>
      <c r="R7" s="26">
        <f t="shared" si="8"/>
        <v>1163.409090909091</v>
      </c>
      <c r="S7" s="26">
        <f>G18</f>
        <v>0.3</v>
      </c>
      <c r="T7" s="26">
        <f t="shared" si="9"/>
        <v>1512.4318181818182</v>
      </c>
      <c r="U7" s="27">
        <f t="shared" si="2"/>
        <v>0.12099454545454547</v>
      </c>
      <c r="V7" s="78">
        <f>E19+F19*D19</f>
        <v>11.25</v>
      </c>
      <c r="W7" s="78">
        <f t="shared" si="10"/>
        <v>312.5</v>
      </c>
      <c r="X7" s="92">
        <f t="shared" si="11"/>
        <v>989.79797979797979</v>
      </c>
      <c r="Y7" s="78">
        <f>G18</f>
        <v>0.3</v>
      </c>
      <c r="Z7" s="26">
        <f t="shared" si="12"/>
        <v>1286.7373737373737</v>
      </c>
      <c r="AA7" s="78">
        <f t="shared" si="3"/>
        <v>0.10293898989898989</v>
      </c>
      <c r="AB7" s="30">
        <v>85</v>
      </c>
      <c r="AC7" s="31">
        <f>U7+U7*AB7/100</f>
        <v>0.22383990909090912</v>
      </c>
      <c r="AD7" s="31">
        <f>AA7+AA7*AB7/100</f>
        <v>0.19043713131313131</v>
      </c>
      <c r="AE7" s="15">
        <v>200</v>
      </c>
      <c r="AF7" s="7" t="s">
        <v>5</v>
      </c>
      <c r="AG7" s="22" t="s">
        <v>16</v>
      </c>
    </row>
    <row r="8" spans="1:33" ht="27.6" x14ac:dyDescent="0.3">
      <c r="A8" s="15">
        <v>200</v>
      </c>
      <c r="B8" s="7" t="s">
        <v>6</v>
      </c>
      <c r="C8" s="22" t="s">
        <v>17</v>
      </c>
      <c r="D8" s="23">
        <v>17500</v>
      </c>
      <c r="E8" s="24">
        <v>7.0000000000000007E-2</v>
      </c>
      <c r="F8" s="25">
        <v>25</v>
      </c>
      <c r="G8" s="26">
        <f t="shared" si="4"/>
        <v>26.75</v>
      </c>
      <c r="H8" s="27">
        <f t="shared" si="5"/>
        <v>468.125</v>
      </c>
      <c r="I8" s="27">
        <f>C26</f>
        <v>1.5999999999999999</v>
      </c>
      <c r="J8" s="89">
        <f t="shared" si="6"/>
        <v>748.99999999999989</v>
      </c>
      <c r="K8" s="84">
        <f>E36</f>
        <v>1.1438383838383839E-3</v>
      </c>
      <c r="L8" s="28">
        <f t="shared" si="0"/>
        <v>20.017171717171717</v>
      </c>
      <c r="M8" s="29">
        <f>A18*B18</f>
        <v>128</v>
      </c>
      <c r="N8" s="29">
        <f>C18</f>
        <v>450</v>
      </c>
      <c r="O8" s="29">
        <f>E18+F18*D18</f>
        <v>17.5</v>
      </c>
      <c r="P8" s="29">
        <f t="shared" si="1"/>
        <v>38.888888888888886</v>
      </c>
      <c r="Q8" s="28">
        <f t="shared" si="7"/>
        <v>680.55555555555554</v>
      </c>
      <c r="R8" s="26">
        <f t="shared" si="8"/>
        <v>1577.5727272727272</v>
      </c>
      <c r="S8" s="26">
        <f>G18</f>
        <v>0.3</v>
      </c>
      <c r="T8" s="26">
        <f t="shared" si="9"/>
        <v>2050.8445454545454</v>
      </c>
      <c r="U8" s="27">
        <f t="shared" si="2"/>
        <v>0.11719111688311688</v>
      </c>
      <c r="V8" s="78">
        <f>E19+F19*D19</f>
        <v>11.25</v>
      </c>
      <c r="W8" s="78">
        <f t="shared" si="10"/>
        <v>437.49999999999994</v>
      </c>
      <c r="X8" s="92">
        <f t="shared" si="11"/>
        <v>1334.5171717171715</v>
      </c>
      <c r="Y8" s="78">
        <f>G18</f>
        <v>0.3</v>
      </c>
      <c r="Z8" s="26">
        <f t="shared" si="12"/>
        <v>1734.872323232323</v>
      </c>
      <c r="AA8" s="78">
        <f t="shared" si="3"/>
        <v>9.9135561327561308E-2</v>
      </c>
      <c r="AB8" s="30">
        <v>80</v>
      </c>
      <c r="AC8" s="31">
        <f t="shared" ref="AC8:AC14" si="13">U8+U8*AB8/100</f>
        <v>0.21094401038961039</v>
      </c>
      <c r="AD8" s="31">
        <f t="shared" ref="AD8:AD14" si="14">AA8+AA8*AB8/100</f>
        <v>0.17844401038961036</v>
      </c>
      <c r="AE8" s="15">
        <v>200</v>
      </c>
      <c r="AF8" s="7" t="s">
        <v>6</v>
      </c>
      <c r="AG8" s="22" t="s">
        <v>17</v>
      </c>
    </row>
    <row r="9" spans="1:33" ht="27.6" x14ac:dyDescent="0.3">
      <c r="A9" s="15">
        <v>200</v>
      </c>
      <c r="B9" s="7" t="s">
        <v>7</v>
      </c>
      <c r="C9" s="22" t="s">
        <v>18</v>
      </c>
      <c r="D9" s="23">
        <v>25000</v>
      </c>
      <c r="E9" s="24">
        <v>0.05</v>
      </c>
      <c r="F9" s="25">
        <v>25</v>
      </c>
      <c r="G9" s="26">
        <f t="shared" si="4"/>
        <v>26.25</v>
      </c>
      <c r="H9" s="27">
        <f t="shared" si="5"/>
        <v>656.25</v>
      </c>
      <c r="I9" s="27">
        <f>C26</f>
        <v>1.5999999999999999</v>
      </c>
      <c r="J9" s="89">
        <f t="shared" si="6"/>
        <v>1050</v>
      </c>
      <c r="K9" s="84">
        <f>E36</f>
        <v>1.1438383838383839E-3</v>
      </c>
      <c r="L9" s="28">
        <f t="shared" si="0"/>
        <v>28.595959595959599</v>
      </c>
      <c r="M9" s="29">
        <f>A18*B18</f>
        <v>128</v>
      </c>
      <c r="N9" s="29">
        <f>C18</f>
        <v>450</v>
      </c>
      <c r="O9" s="29">
        <f>E18+F18*D18</f>
        <v>17.5</v>
      </c>
      <c r="P9" s="29">
        <f t="shared" si="1"/>
        <v>55.555555555555557</v>
      </c>
      <c r="Q9" s="28">
        <f t="shared" si="7"/>
        <v>972.22222222222229</v>
      </c>
      <c r="R9" s="26">
        <f t="shared" si="8"/>
        <v>2178.818181818182</v>
      </c>
      <c r="S9" s="26">
        <f>G18</f>
        <v>0.3</v>
      </c>
      <c r="T9" s="26">
        <f t="shared" si="9"/>
        <v>2832.4636363636364</v>
      </c>
      <c r="U9" s="27">
        <f t="shared" si="2"/>
        <v>0.11329854545454546</v>
      </c>
      <c r="V9" s="78">
        <f>E19+F19*D19</f>
        <v>11.25</v>
      </c>
      <c r="W9" s="78">
        <f t="shared" si="10"/>
        <v>625</v>
      </c>
      <c r="X9" s="92">
        <f t="shared" si="11"/>
        <v>1831.5959595959596</v>
      </c>
      <c r="Y9" s="78">
        <f>G18</f>
        <v>0.3</v>
      </c>
      <c r="Z9" s="26">
        <f t="shared" si="12"/>
        <v>2381.0747474747477</v>
      </c>
      <c r="AA9" s="78">
        <f t="shared" si="3"/>
        <v>9.524298989898991E-2</v>
      </c>
      <c r="AB9" s="30">
        <v>75</v>
      </c>
      <c r="AC9" s="31">
        <f t="shared" si="13"/>
        <v>0.19827245454545456</v>
      </c>
      <c r="AD9" s="31">
        <f t="shared" si="14"/>
        <v>0.16667523232323234</v>
      </c>
      <c r="AE9" s="15">
        <v>200</v>
      </c>
      <c r="AF9" s="7" t="s">
        <v>7</v>
      </c>
      <c r="AG9" s="22" t="s">
        <v>18</v>
      </c>
    </row>
    <row r="10" spans="1:33" ht="27.6" x14ac:dyDescent="0.3">
      <c r="A10" s="15">
        <v>200</v>
      </c>
      <c r="B10" s="7" t="s">
        <v>8</v>
      </c>
      <c r="C10" s="22" t="s">
        <v>19</v>
      </c>
      <c r="D10" s="23">
        <v>35000</v>
      </c>
      <c r="E10" s="24">
        <v>0.05</v>
      </c>
      <c r="F10" s="25">
        <v>25</v>
      </c>
      <c r="G10" s="26">
        <f t="shared" si="4"/>
        <v>26.25</v>
      </c>
      <c r="H10" s="27">
        <f t="shared" si="5"/>
        <v>918.75</v>
      </c>
      <c r="I10" s="27">
        <f>C26</f>
        <v>1.5999999999999999</v>
      </c>
      <c r="J10" s="89">
        <f t="shared" si="6"/>
        <v>1469.9999999999998</v>
      </c>
      <c r="K10" s="84">
        <f>E36</f>
        <v>1.1438383838383839E-3</v>
      </c>
      <c r="L10" s="28">
        <f t="shared" si="0"/>
        <v>40.034343434343434</v>
      </c>
      <c r="M10" s="29">
        <f>A18*B18</f>
        <v>128</v>
      </c>
      <c r="N10" s="29">
        <f>C18</f>
        <v>450</v>
      </c>
      <c r="O10" s="29">
        <f>E18+F18*D18</f>
        <v>17.5</v>
      </c>
      <c r="P10" s="29">
        <f t="shared" si="1"/>
        <v>77.777777777777771</v>
      </c>
      <c r="Q10" s="28">
        <f t="shared" si="7"/>
        <v>1361.1111111111111</v>
      </c>
      <c r="R10" s="26">
        <f t="shared" si="8"/>
        <v>2999.1454545454544</v>
      </c>
      <c r="S10" s="26">
        <f>G18</f>
        <v>0.3</v>
      </c>
      <c r="T10" s="26">
        <f t="shared" si="9"/>
        <v>3898.8890909090906</v>
      </c>
      <c r="U10" s="27">
        <f t="shared" si="2"/>
        <v>0.11139683116883116</v>
      </c>
      <c r="V10" s="78">
        <f>E19+F19*D19</f>
        <v>11.25</v>
      </c>
      <c r="W10" s="78">
        <f t="shared" si="10"/>
        <v>874.99999999999989</v>
      </c>
      <c r="X10" s="92">
        <f t="shared" si="11"/>
        <v>2513.0343434343431</v>
      </c>
      <c r="Y10" s="78">
        <f>G18</f>
        <v>0.3</v>
      </c>
      <c r="Z10" s="26">
        <f t="shared" si="12"/>
        <v>3266.9446464646462</v>
      </c>
      <c r="AA10" s="78">
        <f t="shared" si="3"/>
        <v>9.3341275613275612E-2</v>
      </c>
      <c r="AB10" s="30">
        <v>75</v>
      </c>
      <c r="AC10" s="31">
        <f t="shared" si="13"/>
        <v>0.1949444545454545</v>
      </c>
      <c r="AD10" s="31">
        <f t="shared" si="14"/>
        <v>0.16334723232323234</v>
      </c>
      <c r="AE10" s="15">
        <v>200</v>
      </c>
      <c r="AF10" s="7" t="s">
        <v>8</v>
      </c>
      <c r="AG10" s="22" t="s">
        <v>19</v>
      </c>
    </row>
    <row r="11" spans="1:33" ht="27.6" x14ac:dyDescent="0.3">
      <c r="A11" s="15">
        <v>200</v>
      </c>
      <c r="B11" s="7" t="s">
        <v>9</v>
      </c>
      <c r="C11" s="22" t="s">
        <v>20</v>
      </c>
      <c r="D11" s="23">
        <v>45000</v>
      </c>
      <c r="E11" s="24">
        <v>0.05</v>
      </c>
      <c r="F11" s="25">
        <v>25</v>
      </c>
      <c r="G11" s="26">
        <f t="shared" si="4"/>
        <v>26.25</v>
      </c>
      <c r="H11" s="27">
        <f t="shared" si="5"/>
        <v>1181.25</v>
      </c>
      <c r="I11" s="27">
        <f>C26</f>
        <v>1.5999999999999999</v>
      </c>
      <c r="J11" s="89">
        <f t="shared" si="6"/>
        <v>1889.9999999999998</v>
      </c>
      <c r="K11" s="84">
        <f>E36</f>
        <v>1.1438383838383839E-3</v>
      </c>
      <c r="L11" s="28">
        <f t="shared" si="0"/>
        <v>51.472727272727276</v>
      </c>
      <c r="M11" s="29">
        <f>A18*B18</f>
        <v>128</v>
      </c>
      <c r="N11" s="29">
        <f>C18</f>
        <v>450</v>
      </c>
      <c r="O11" s="29">
        <f>E18+F18*D18</f>
        <v>17.5</v>
      </c>
      <c r="P11" s="29">
        <f t="shared" si="1"/>
        <v>100</v>
      </c>
      <c r="Q11" s="28">
        <f t="shared" si="7"/>
        <v>1750</v>
      </c>
      <c r="R11" s="26">
        <f t="shared" si="8"/>
        <v>3819.4727272727268</v>
      </c>
      <c r="S11" s="26">
        <f>G18</f>
        <v>0.3</v>
      </c>
      <c r="T11" s="26">
        <f t="shared" si="9"/>
        <v>4965.3145454545447</v>
      </c>
      <c r="U11" s="27">
        <f t="shared" si="2"/>
        <v>0.11034032323232322</v>
      </c>
      <c r="V11" s="78">
        <f>E19+F19*D19</f>
        <v>11.25</v>
      </c>
      <c r="W11" s="78">
        <f t="shared" si="10"/>
        <v>1125</v>
      </c>
      <c r="X11" s="92">
        <f t="shared" si="11"/>
        <v>3194.4727272727268</v>
      </c>
      <c r="Y11" s="78">
        <f>G18</f>
        <v>0.3</v>
      </c>
      <c r="Z11" s="26">
        <f t="shared" si="12"/>
        <v>4152.8145454545447</v>
      </c>
      <c r="AA11" s="78">
        <f t="shared" si="3"/>
        <v>9.2284767676767659E-2</v>
      </c>
      <c r="AB11" s="30">
        <v>70</v>
      </c>
      <c r="AC11" s="31">
        <f t="shared" si="13"/>
        <v>0.18757854949494945</v>
      </c>
      <c r="AD11" s="31">
        <f t="shared" si="14"/>
        <v>0.15688410505050501</v>
      </c>
      <c r="AE11" s="15">
        <v>200</v>
      </c>
      <c r="AF11" s="7" t="s">
        <v>9</v>
      </c>
      <c r="AG11" s="22" t="s">
        <v>20</v>
      </c>
    </row>
    <row r="12" spans="1:33" ht="27.6" x14ac:dyDescent="0.3">
      <c r="A12" s="15">
        <v>200</v>
      </c>
      <c r="B12" s="7" t="s">
        <v>10</v>
      </c>
      <c r="C12" s="22" t="s">
        <v>21</v>
      </c>
      <c r="D12" s="23">
        <v>75000</v>
      </c>
      <c r="E12" s="24">
        <v>0.05</v>
      </c>
      <c r="F12" s="25">
        <v>25</v>
      </c>
      <c r="G12" s="26">
        <f t="shared" si="4"/>
        <v>26.25</v>
      </c>
      <c r="H12" s="27">
        <f t="shared" si="5"/>
        <v>1968.75</v>
      </c>
      <c r="I12" s="27">
        <f>C26</f>
        <v>1.5999999999999999</v>
      </c>
      <c r="J12" s="89">
        <f t="shared" si="6"/>
        <v>3149.9999999999995</v>
      </c>
      <c r="K12" s="84">
        <f>E36</f>
        <v>1.1438383838383839E-3</v>
      </c>
      <c r="L12" s="28">
        <f t="shared" si="0"/>
        <v>85.787878787878796</v>
      </c>
      <c r="M12" s="29">
        <f>A18*B18</f>
        <v>128</v>
      </c>
      <c r="N12" s="29">
        <f>C18</f>
        <v>450</v>
      </c>
      <c r="O12" s="29">
        <f>E18+F18*D18</f>
        <v>17.5</v>
      </c>
      <c r="P12" s="29">
        <f t="shared" si="1"/>
        <v>166.66666666666666</v>
      </c>
      <c r="Q12" s="28">
        <f>O12*P12</f>
        <v>2916.6666666666665</v>
      </c>
      <c r="R12" s="26">
        <f t="shared" si="8"/>
        <v>6280.454545454545</v>
      </c>
      <c r="S12" s="26">
        <f>G18</f>
        <v>0.3</v>
      </c>
      <c r="T12" s="26">
        <f t="shared" si="9"/>
        <v>8164.5909090909081</v>
      </c>
      <c r="U12" s="27">
        <f t="shared" si="2"/>
        <v>0.10886121212121211</v>
      </c>
      <c r="V12" s="78">
        <f>E19+F19*D19</f>
        <v>11.25</v>
      </c>
      <c r="W12" s="78">
        <f t="shared" si="10"/>
        <v>1875</v>
      </c>
      <c r="X12" s="92">
        <f t="shared" si="11"/>
        <v>5238.7878787878781</v>
      </c>
      <c r="Y12" s="78">
        <f>G18</f>
        <v>0.3</v>
      </c>
      <c r="Z12" s="26">
        <f t="shared" si="12"/>
        <v>6810.4242424242411</v>
      </c>
      <c r="AA12" s="78">
        <f t="shared" si="3"/>
        <v>9.0805656565656548E-2</v>
      </c>
      <c r="AB12" s="30">
        <v>70</v>
      </c>
      <c r="AC12" s="31">
        <f t="shared" si="13"/>
        <v>0.18506406060606057</v>
      </c>
      <c r="AD12" s="31">
        <f t="shared" si="14"/>
        <v>0.15436961616161612</v>
      </c>
      <c r="AE12" s="15">
        <v>200</v>
      </c>
      <c r="AF12" s="7" t="s">
        <v>10</v>
      </c>
      <c r="AG12" s="22" t="s">
        <v>21</v>
      </c>
    </row>
    <row r="13" spans="1:33" ht="27.6" x14ac:dyDescent="0.3">
      <c r="A13" s="15">
        <v>200</v>
      </c>
      <c r="B13" s="7" t="s">
        <v>11</v>
      </c>
      <c r="C13" s="22" t="s">
        <v>22</v>
      </c>
      <c r="D13" s="23">
        <v>125000</v>
      </c>
      <c r="E13" s="24">
        <v>0.03</v>
      </c>
      <c r="F13" s="25">
        <v>25</v>
      </c>
      <c r="G13" s="26">
        <f t="shared" si="4"/>
        <v>25.75</v>
      </c>
      <c r="H13" s="27">
        <f t="shared" si="5"/>
        <v>3218.75</v>
      </c>
      <c r="I13" s="27">
        <f>C26</f>
        <v>1.5999999999999999</v>
      </c>
      <c r="J13" s="89">
        <f t="shared" si="6"/>
        <v>5150</v>
      </c>
      <c r="K13" s="84">
        <f>E36</f>
        <v>1.1438383838383839E-3</v>
      </c>
      <c r="L13" s="28">
        <f t="shared" si="0"/>
        <v>142.97979797979798</v>
      </c>
      <c r="M13" s="29">
        <f>A18*B18</f>
        <v>128</v>
      </c>
      <c r="N13" s="29">
        <f>C18</f>
        <v>450</v>
      </c>
      <c r="O13" s="29">
        <f>E18+F18*D18</f>
        <v>17.5</v>
      </c>
      <c r="P13" s="29">
        <f t="shared" si="1"/>
        <v>277.77777777777777</v>
      </c>
      <c r="Q13" s="28">
        <f t="shared" si="7"/>
        <v>4861.1111111111113</v>
      </c>
      <c r="R13" s="26">
        <f t="shared" si="8"/>
        <v>10282.090909090908</v>
      </c>
      <c r="S13" s="26">
        <f>G18</f>
        <v>0.3</v>
      </c>
      <c r="T13" s="26">
        <f t="shared" si="9"/>
        <v>13366.71818181818</v>
      </c>
      <c r="U13" s="27">
        <f t="shared" si="2"/>
        <v>0.10693374545454544</v>
      </c>
      <c r="V13" s="78">
        <f>E19+F19*D19</f>
        <v>11.25</v>
      </c>
      <c r="W13" s="78">
        <f t="shared" si="10"/>
        <v>3125</v>
      </c>
      <c r="X13" s="92">
        <f t="shared" si="11"/>
        <v>8545.9797979797986</v>
      </c>
      <c r="Y13" s="78">
        <f>G18</f>
        <v>0.3</v>
      </c>
      <c r="Z13" s="26">
        <f t="shared" si="12"/>
        <v>11109.773737373738</v>
      </c>
      <c r="AA13" s="78">
        <f t="shared" si="3"/>
        <v>8.8878189898989907E-2</v>
      </c>
      <c r="AB13" s="30">
        <v>65</v>
      </c>
      <c r="AC13" s="31">
        <f t="shared" si="13"/>
        <v>0.17644067999999996</v>
      </c>
      <c r="AD13" s="31">
        <f t="shared" si="14"/>
        <v>0.14664901333333336</v>
      </c>
      <c r="AE13" s="15">
        <v>200</v>
      </c>
      <c r="AF13" s="7" t="s">
        <v>11</v>
      </c>
      <c r="AG13" s="22" t="s">
        <v>22</v>
      </c>
    </row>
    <row r="14" spans="1:33" ht="28.2" thickBot="1" x14ac:dyDescent="0.35">
      <c r="A14" s="15">
        <v>200</v>
      </c>
      <c r="B14" s="7" t="s">
        <v>12</v>
      </c>
      <c r="C14" s="22" t="s">
        <v>23</v>
      </c>
      <c r="D14" s="23">
        <v>200000</v>
      </c>
      <c r="E14" s="24">
        <v>0.03</v>
      </c>
      <c r="F14" s="25">
        <v>25</v>
      </c>
      <c r="G14" s="26">
        <f t="shared" si="4"/>
        <v>25.75</v>
      </c>
      <c r="H14" s="27">
        <f t="shared" si="5"/>
        <v>5150</v>
      </c>
      <c r="I14" s="27">
        <f>C26</f>
        <v>1.5999999999999999</v>
      </c>
      <c r="J14" s="89">
        <f t="shared" si="6"/>
        <v>8240</v>
      </c>
      <c r="K14" s="84">
        <f>E36</f>
        <v>1.1438383838383839E-3</v>
      </c>
      <c r="L14" s="28">
        <f t="shared" si="0"/>
        <v>228.76767676767679</v>
      </c>
      <c r="M14" s="29">
        <f>A18*B18</f>
        <v>128</v>
      </c>
      <c r="N14" s="29">
        <f>C18</f>
        <v>450</v>
      </c>
      <c r="O14" s="29">
        <f>E18+F18*D18</f>
        <v>17.5</v>
      </c>
      <c r="P14" s="29">
        <f t="shared" si="1"/>
        <v>444.44444444444446</v>
      </c>
      <c r="Q14" s="28">
        <f t="shared" si="7"/>
        <v>7777.7777777777783</v>
      </c>
      <c r="R14" s="26">
        <f t="shared" si="8"/>
        <v>16374.545454545456</v>
      </c>
      <c r="S14" s="26">
        <f>G18</f>
        <v>0.3</v>
      </c>
      <c r="T14" s="26">
        <f t="shared" si="9"/>
        <v>21286.909090909092</v>
      </c>
      <c r="U14" s="27">
        <f t="shared" si="2"/>
        <v>0.10643454545454546</v>
      </c>
      <c r="V14" s="78">
        <f>E19+F19*D19</f>
        <v>11.25</v>
      </c>
      <c r="W14" s="78">
        <f t="shared" si="10"/>
        <v>5000</v>
      </c>
      <c r="X14" s="92">
        <f t="shared" si="11"/>
        <v>13596.767676767677</v>
      </c>
      <c r="Y14" s="78">
        <f>G18</f>
        <v>0.3</v>
      </c>
      <c r="Z14" s="26">
        <f t="shared" si="12"/>
        <v>17675.797979797979</v>
      </c>
      <c r="AA14" s="78">
        <f t="shared" si="3"/>
        <v>8.8378989898989888E-2</v>
      </c>
      <c r="AB14" s="30">
        <v>60</v>
      </c>
      <c r="AC14" s="32">
        <f t="shared" si="13"/>
        <v>0.17029527272727274</v>
      </c>
      <c r="AD14" s="32">
        <f t="shared" si="14"/>
        <v>0.14140638383838383</v>
      </c>
      <c r="AE14" s="15">
        <v>200</v>
      </c>
      <c r="AF14" s="7" t="s">
        <v>12</v>
      </c>
      <c r="AG14" s="22" t="s">
        <v>23</v>
      </c>
    </row>
    <row r="15" spans="1:33" ht="14.4" thickBot="1" x14ac:dyDescent="0.35"/>
    <row r="16" spans="1:33" x14ac:dyDescent="0.3">
      <c r="A16" s="33" t="s">
        <v>27</v>
      </c>
      <c r="B16" s="34"/>
      <c r="C16" s="34"/>
      <c r="D16" s="34"/>
      <c r="E16" s="34"/>
      <c r="F16" s="34"/>
      <c r="G16" s="35"/>
      <c r="AC16" s="80"/>
    </row>
    <row r="17" spans="1:12" x14ac:dyDescent="0.3">
      <c r="A17" s="36" t="s">
        <v>28</v>
      </c>
      <c r="B17" s="37" t="s">
        <v>29</v>
      </c>
      <c r="C17" s="37" t="s">
        <v>30</v>
      </c>
      <c r="D17" s="37" t="s">
        <v>31</v>
      </c>
      <c r="E17" s="37" t="s">
        <v>32</v>
      </c>
      <c r="F17" s="37" t="s">
        <v>33</v>
      </c>
      <c r="G17" s="38" t="s">
        <v>34</v>
      </c>
      <c r="J17" s="39"/>
      <c r="K17" s="85"/>
      <c r="L17" s="14" t="s">
        <v>59</v>
      </c>
    </row>
    <row r="18" spans="1:12" ht="14.4" thickBot="1" x14ac:dyDescent="0.35">
      <c r="A18" s="40">
        <v>4</v>
      </c>
      <c r="B18" s="41">
        <v>32</v>
      </c>
      <c r="C18" s="41">
        <v>450</v>
      </c>
      <c r="D18" s="41">
        <v>0.5</v>
      </c>
      <c r="E18" s="41">
        <v>5</v>
      </c>
      <c r="F18" s="42">
        <v>25</v>
      </c>
      <c r="G18" s="43">
        <v>0.3</v>
      </c>
    </row>
    <row r="19" spans="1:12" ht="14.4" thickBot="1" x14ac:dyDescent="0.35">
      <c r="A19" s="40">
        <v>4</v>
      </c>
      <c r="B19" s="41">
        <v>32</v>
      </c>
      <c r="C19" s="41">
        <v>450</v>
      </c>
      <c r="D19" s="41">
        <v>0.25</v>
      </c>
      <c r="E19" s="41">
        <v>5</v>
      </c>
      <c r="F19" s="42">
        <v>25</v>
      </c>
      <c r="G19" s="43">
        <v>0.3</v>
      </c>
    </row>
    <row r="20" spans="1:12" ht="14.4" thickBot="1" x14ac:dyDescent="0.35">
      <c r="J20" s="44"/>
      <c r="K20" s="86"/>
      <c r="L20" s="14" t="s">
        <v>60</v>
      </c>
    </row>
    <row r="21" spans="1:12" x14ac:dyDescent="0.3">
      <c r="A21" s="45" t="s">
        <v>35</v>
      </c>
      <c r="B21" s="46"/>
      <c r="C21" s="46" t="s">
        <v>36</v>
      </c>
      <c r="D21" s="47" t="s">
        <v>37</v>
      </c>
    </row>
    <row r="22" spans="1:12" x14ac:dyDescent="0.3">
      <c r="A22" s="48" t="s">
        <v>40</v>
      </c>
      <c r="B22" s="49">
        <v>1.5</v>
      </c>
      <c r="C22" s="50">
        <v>96</v>
      </c>
      <c r="D22" s="51"/>
    </row>
    <row r="23" spans="1:12" x14ac:dyDescent="0.3">
      <c r="A23" s="48" t="s">
        <v>40</v>
      </c>
      <c r="B23" s="49">
        <v>4</v>
      </c>
      <c r="C23" s="50">
        <v>4</v>
      </c>
      <c r="D23" s="51"/>
    </row>
    <row r="24" spans="1:12" x14ac:dyDescent="0.3">
      <c r="A24" s="48" t="s">
        <v>40</v>
      </c>
      <c r="B24" s="49">
        <v>0</v>
      </c>
      <c r="C24" s="50"/>
      <c r="D24" s="51"/>
    </row>
    <row r="25" spans="1:12" ht="14.4" thickBot="1" x14ac:dyDescent="0.35">
      <c r="A25" s="48" t="s">
        <v>44</v>
      </c>
      <c r="B25" s="49">
        <v>0</v>
      </c>
      <c r="C25" s="50"/>
      <c r="D25" s="51"/>
    </row>
    <row r="26" spans="1:12" ht="14.4" thickBot="1" x14ac:dyDescent="0.35">
      <c r="A26" s="52" t="s">
        <v>45</v>
      </c>
      <c r="B26" s="53">
        <f>SUM(B22:B25)</f>
        <v>5.5</v>
      </c>
      <c r="C26" s="54">
        <f>(B22*C22/100)+(B23*C23/100)+(B24*C24/100)+(B25*C25/100)</f>
        <v>1.5999999999999999</v>
      </c>
      <c r="D26" s="55" t="s">
        <v>62</v>
      </c>
    </row>
    <row r="27" spans="1:12" ht="14.4" thickBot="1" x14ac:dyDescent="0.35"/>
    <row r="28" spans="1:12" x14ac:dyDescent="0.3">
      <c r="A28" s="56" t="s">
        <v>38</v>
      </c>
      <c r="B28" s="57"/>
      <c r="C28" s="58"/>
      <c r="D28" s="59" t="s">
        <v>39</v>
      </c>
      <c r="E28" s="60" t="s">
        <v>97</v>
      </c>
    </row>
    <row r="29" spans="1:12" x14ac:dyDescent="0.3">
      <c r="A29" s="61" t="s">
        <v>42</v>
      </c>
      <c r="B29" s="62">
        <v>1100</v>
      </c>
      <c r="C29" s="63"/>
      <c r="D29" s="64"/>
      <c r="E29" s="65"/>
    </row>
    <row r="30" spans="1:12" x14ac:dyDescent="0.3">
      <c r="A30" s="61" t="s">
        <v>86</v>
      </c>
      <c r="B30" s="62">
        <v>9</v>
      </c>
      <c r="C30" s="63" t="s">
        <v>41</v>
      </c>
      <c r="D30" s="66">
        <v>0.68100000000000005</v>
      </c>
      <c r="E30" s="65">
        <f>D30*B30</f>
        <v>6.1290000000000004</v>
      </c>
    </row>
    <row r="31" spans="1:12" x14ac:dyDescent="0.3">
      <c r="A31" s="61" t="s">
        <v>87</v>
      </c>
      <c r="B31" s="62">
        <f>B30*B29</f>
        <v>9900</v>
      </c>
      <c r="C31" s="67"/>
      <c r="D31" s="68"/>
      <c r="E31" s="65"/>
    </row>
    <row r="32" spans="1:12" x14ac:dyDescent="0.3">
      <c r="A32" s="61" t="s">
        <v>88</v>
      </c>
      <c r="B32" s="62">
        <v>9</v>
      </c>
      <c r="C32" s="63" t="s">
        <v>43</v>
      </c>
      <c r="D32" s="69">
        <v>0.13800000000000001</v>
      </c>
      <c r="E32" s="65">
        <f>D32*B32</f>
        <v>1.242</v>
      </c>
    </row>
    <row r="33" spans="1:5" x14ac:dyDescent="0.3">
      <c r="A33" s="61" t="s">
        <v>46</v>
      </c>
      <c r="B33" s="62">
        <f>B32*5</f>
        <v>45</v>
      </c>
      <c r="C33" s="63" t="s">
        <v>47</v>
      </c>
      <c r="D33" s="66">
        <v>4.3400000000000001E-2</v>
      </c>
      <c r="E33" s="65">
        <f>D33*B33</f>
        <v>1.9530000000000001</v>
      </c>
    </row>
    <row r="34" spans="1:5" ht="14.4" thickBot="1" x14ac:dyDescent="0.35">
      <c r="A34" s="70" t="s">
        <v>48</v>
      </c>
      <c r="B34" s="71" t="s">
        <v>49</v>
      </c>
      <c r="C34" s="72" t="s">
        <v>50</v>
      </c>
      <c r="D34" s="73">
        <v>2</v>
      </c>
      <c r="E34" s="74">
        <f>D34</f>
        <v>2</v>
      </c>
    </row>
    <row r="35" spans="1:5" ht="14.4" thickBot="1" x14ac:dyDescent="0.35">
      <c r="E35" s="75">
        <f>SUM(E29:E34)</f>
        <v>11.324</v>
      </c>
    </row>
    <row r="36" spans="1:5" ht="14.4" thickBot="1" x14ac:dyDescent="0.35">
      <c r="D36" s="76" t="s">
        <v>98</v>
      </c>
      <c r="E36" s="77">
        <f>E35/B31</f>
        <v>1.1438383838383839E-3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6C0A8-1344-4A95-A278-AFA2D5100764}">
  <dimension ref="A2:AD36"/>
  <sheetViews>
    <sheetView topLeftCell="M1" workbookViewId="0">
      <selection activeCell="Z9" sqref="Z9"/>
    </sheetView>
  </sheetViews>
  <sheetFormatPr defaultColWidth="9.109375" defaultRowHeight="13.8" x14ac:dyDescent="0.3"/>
  <cols>
    <col min="1" max="1" width="28.6640625" style="14" bestFit="1" customWidth="1"/>
    <col min="2" max="2" width="10.109375" style="14" bestFit="1" customWidth="1"/>
    <col min="3" max="3" width="21" style="14" bestFit="1" customWidth="1"/>
    <col min="4" max="4" width="12.44140625" style="14" bestFit="1" customWidth="1"/>
    <col min="5" max="5" width="21" style="14" bestFit="1" customWidth="1"/>
    <col min="6" max="6" width="14.88671875" style="14" bestFit="1" customWidth="1"/>
    <col min="7" max="7" width="23.5546875" style="14" bestFit="1" customWidth="1"/>
    <col min="8" max="8" width="18.6640625" style="14" customWidth="1"/>
    <col min="9" max="9" width="0.109375" style="14" customWidth="1"/>
    <col min="10" max="10" width="9.5546875" style="14" bestFit="1" customWidth="1"/>
    <col min="11" max="11" width="15.33203125" style="82" customWidth="1"/>
    <col min="12" max="12" width="17.5546875" style="14" bestFit="1" customWidth="1"/>
    <col min="13" max="13" width="19.33203125" style="14" customWidth="1"/>
    <col min="14" max="14" width="9.109375" style="14" customWidth="1"/>
    <col min="15" max="15" width="22.88671875" style="14" customWidth="1"/>
    <col min="16" max="16" width="11.88671875" style="14" customWidth="1"/>
    <col min="17" max="17" width="23.5546875" style="14" bestFit="1" customWidth="1"/>
    <col min="18" max="18" width="24.33203125" style="14" customWidth="1"/>
    <col min="19" max="19" width="11" style="14" customWidth="1"/>
    <col min="20" max="20" width="35.5546875" style="14" bestFit="1" customWidth="1"/>
    <col min="21" max="21" width="14.6640625" style="14" bestFit="1" customWidth="1"/>
    <col min="22" max="27" width="14.6640625" style="14" customWidth="1"/>
    <col min="28" max="28" width="16.5546875" style="14" bestFit="1" customWidth="1"/>
    <col min="29" max="29" width="17.44140625" style="14" bestFit="1" customWidth="1"/>
    <col min="30" max="30" width="11.88671875" style="14" bestFit="1" customWidth="1"/>
    <col min="31" max="16384" width="9.109375" style="14"/>
  </cols>
  <sheetData>
    <row r="2" spans="1:30" ht="14.4" thickBot="1" x14ac:dyDescent="0.35"/>
    <row r="3" spans="1:30" ht="74.25" customHeight="1" thickBot="1" x14ac:dyDescent="0.35">
      <c r="A3" s="15" t="s">
        <v>57</v>
      </c>
      <c r="B3" s="15" t="s">
        <v>24</v>
      </c>
      <c r="C3" s="15" t="s">
        <v>25</v>
      </c>
      <c r="D3" s="15" t="s">
        <v>26</v>
      </c>
      <c r="E3" s="15" t="s">
        <v>55</v>
      </c>
      <c r="F3" s="15" t="s">
        <v>58</v>
      </c>
      <c r="G3" s="16" t="s">
        <v>51</v>
      </c>
      <c r="H3" s="17" t="s">
        <v>52</v>
      </c>
      <c r="I3" s="17" t="s">
        <v>61</v>
      </c>
      <c r="J3" s="90" t="s">
        <v>53</v>
      </c>
      <c r="K3" s="83" t="s">
        <v>99</v>
      </c>
      <c r="L3" s="18" t="s">
        <v>96</v>
      </c>
      <c r="M3" s="19" t="s">
        <v>54</v>
      </c>
      <c r="N3" s="19" t="s">
        <v>100</v>
      </c>
      <c r="O3" s="19" t="s">
        <v>108</v>
      </c>
      <c r="P3" s="19" t="s">
        <v>101</v>
      </c>
      <c r="Q3" s="91" t="s">
        <v>116</v>
      </c>
      <c r="R3" s="87" t="s">
        <v>107</v>
      </c>
      <c r="S3" s="88" t="s">
        <v>102</v>
      </c>
      <c r="T3" s="87" t="s">
        <v>104</v>
      </c>
      <c r="U3" s="87" t="s">
        <v>105</v>
      </c>
      <c r="V3" s="19" t="s">
        <v>109</v>
      </c>
      <c r="W3" s="20" t="s">
        <v>110</v>
      </c>
      <c r="X3" s="20"/>
      <c r="Y3" s="20"/>
      <c r="Z3" s="20" t="s">
        <v>111</v>
      </c>
      <c r="AA3" s="20" t="s">
        <v>112</v>
      </c>
      <c r="AB3" s="20" t="s">
        <v>103</v>
      </c>
      <c r="AC3" s="79" t="s">
        <v>106</v>
      </c>
      <c r="AD3" s="21" t="s">
        <v>113</v>
      </c>
    </row>
    <row r="4" spans="1:30" ht="14.4" x14ac:dyDescent="0.3">
      <c r="A4" s="15">
        <v>200</v>
      </c>
      <c r="B4" s="7" t="s">
        <v>2</v>
      </c>
      <c r="C4" s="22" t="s">
        <v>13</v>
      </c>
      <c r="D4" s="23">
        <v>2000</v>
      </c>
      <c r="E4" s="24">
        <v>0.1</v>
      </c>
      <c r="F4" s="25">
        <v>25</v>
      </c>
      <c r="G4" s="26">
        <f>F4+F4*E4</f>
        <v>27.5</v>
      </c>
      <c r="H4" s="27">
        <f>(G4*D4)/1000</f>
        <v>55</v>
      </c>
      <c r="I4" s="27">
        <f>C26</f>
        <v>2.04</v>
      </c>
      <c r="J4" s="89">
        <f>H4*I4</f>
        <v>112.2</v>
      </c>
      <c r="K4" s="84">
        <f>E36</f>
        <v>1.1438383838383839E-3</v>
      </c>
      <c r="L4" s="28">
        <f t="shared" ref="L4:L14" si="0">K4*D4</f>
        <v>2.2876767676767678</v>
      </c>
      <c r="M4" s="29">
        <f>A18*B18</f>
        <v>128</v>
      </c>
      <c r="N4" s="29">
        <f>C18</f>
        <v>450</v>
      </c>
      <c r="O4" s="29">
        <f>E18+F18*D18</f>
        <v>17.5</v>
      </c>
      <c r="P4" s="29">
        <f t="shared" ref="P4:P14" si="1">D4/N4</f>
        <v>4.4444444444444446</v>
      </c>
      <c r="Q4" s="28">
        <f>O4*P4</f>
        <v>77.777777777777786</v>
      </c>
      <c r="R4" s="26">
        <f>Q4+L4+J4+M4</f>
        <v>320.26545454545453</v>
      </c>
      <c r="S4" s="26">
        <f>G18</f>
        <v>0.3</v>
      </c>
      <c r="T4" s="26">
        <f>R4+R4*S4</f>
        <v>416.34509090909091</v>
      </c>
      <c r="U4" s="27">
        <f t="shared" ref="U4:U14" si="2">T4/D4</f>
        <v>0.20817254545454544</v>
      </c>
      <c r="V4" s="78">
        <f>E19+F19*D19</f>
        <v>11.25</v>
      </c>
      <c r="W4" s="78">
        <f>V4*P4</f>
        <v>50</v>
      </c>
      <c r="X4" s="92">
        <f>W4+M4+L4+J4</f>
        <v>292.48767676767676</v>
      </c>
      <c r="Y4" s="78">
        <f>G18</f>
        <v>0.3</v>
      </c>
      <c r="Z4" s="26">
        <f>X4+X4*Y4</f>
        <v>380.23397979797977</v>
      </c>
      <c r="AA4" s="78">
        <f t="shared" ref="AA4:AA14" si="3">Z4/D4</f>
        <v>0.1901169898989899</v>
      </c>
      <c r="AB4" s="30">
        <v>180</v>
      </c>
      <c r="AC4" s="81">
        <f>U4*2+(U4*2*80/100)</f>
        <v>0.74942116363636357</v>
      </c>
      <c r="AD4" s="81">
        <f>AA4*2+(AA4*2*80/100)</f>
        <v>0.68442116363636363</v>
      </c>
    </row>
    <row r="5" spans="1:30" ht="14.4" x14ac:dyDescent="0.3">
      <c r="A5" s="15">
        <v>200</v>
      </c>
      <c r="B5" s="7" t="s">
        <v>3</v>
      </c>
      <c r="C5" s="22" t="s">
        <v>14</v>
      </c>
      <c r="D5" s="23">
        <v>4000</v>
      </c>
      <c r="E5" s="24">
        <v>0.1</v>
      </c>
      <c r="F5" s="25">
        <v>25</v>
      </c>
      <c r="G5" s="26">
        <f t="shared" ref="G5:G14" si="4">F5+F5*E5</f>
        <v>27.5</v>
      </c>
      <c r="H5" s="27">
        <f t="shared" ref="H5:H14" si="5">(G5*D5)/1000</f>
        <v>110</v>
      </c>
      <c r="I5" s="27">
        <f>C26</f>
        <v>2.04</v>
      </c>
      <c r="J5" s="89">
        <f t="shared" ref="J5:J14" si="6">H5*I5</f>
        <v>224.4</v>
      </c>
      <c r="K5" s="84">
        <f>E36</f>
        <v>1.1438383838383839E-3</v>
      </c>
      <c r="L5" s="28">
        <f t="shared" si="0"/>
        <v>4.5753535353535355</v>
      </c>
      <c r="M5" s="29">
        <f>A18*B18</f>
        <v>128</v>
      </c>
      <c r="N5" s="29">
        <f>C18</f>
        <v>450</v>
      </c>
      <c r="O5" s="29">
        <f>E18+F18*D18</f>
        <v>17.5</v>
      </c>
      <c r="P5" s="29">
        <f t="shared" si="1"/>
        <v>8.8888888888888893</v>
      </c>
      <c r="Q5" s="28">
        <f t="shared" ref="Q5:Q14" si="7">O5*P5</f>
        <v>155.55555555555557</v>
      </c>
      <c r="R5" s="26">
        <f t="shared" ref="R5:R14" si="8">Q5+L5+J5+M5</f>
        <v>512.53090909090906</v>
      </c>
      <c r="S5" s="26">
        <f>G18</f>
        <v>0.3</v>
      </c>
      <c r="T5" s="26">
        <f t="shared" ref="T5:T14" si="9">R5+R5*S5</f>
        <v>666.29018181818174</v>
      </c>
      <c r="U5" s="27">
        <f t="shared" si="2"/>
        <v>0.16657254545454545</v>
      </c>
      <c r="V5" s="78">
        <f>E19+F19*D19</f>
        <v>11.25</v>
      </c>
      <c r="W5" s="78">
        <f t="shared" ref="W5:W14" si="10">V5*P5</f>
        <v>100</v>
      </c>
      <c r="X5" s="92">
        <f t="shared" ref="X5:X14" si="11">W5+M5+L5+J5</f>
        <v>456.97535353535352</v>
      </c>
      <c r="Y5" s="78">
        <f>G18</f>
        <v>0.3</v>
      </c>
      <c r="Z5" s="26">
        <f t="shared" ref="Z5:Z14" si="12">X5+X5*Y5</f>
        <v>594.06795959595956</v>
      </c>
      <c r="AA5" s="78">
        <f t="shared" si="3"/>
        <v>0.1485169898989899</v>
      </c>
      <c r="AB5" s="30">
        <v>160</v>
      </c>
      <c r="AC5" s="31">
        <f>U5*2+(U5*2*80/100)</f>
        <v>0.59966116363636357</v>
      </c>
      <c r="AD5" s="31">
        <f>AA5*2+(AA5*2*80/100)</f>
        <v>0.53466116363636362</v>
      </c>
    </row>
    <row r="6" spans="1:30" ht="14.4" x14ac:dyDescent="0.3">
      <c r="A6" s="15">
        <v>200</v>
      </c>
      <c r="B6" s="7" t="s">
        <v>4</v>
      </c>
      <c r="C6" s="22" t="s">
        <v>15</v>
      </c>
      <c r="D6" s="23">
        <v>7500</v>
      </c>
      <c r="E6" s="24">
        <v>7.0000000000000007E-2</v>
      </c>
      <c r="F6" s="25">
        <v>25</v>
      </c>
      <c r="G6" s="26">
        <f t="shared" si="4"/>
        <v>26.75</v>
      </c>
      <c r="H6" s="27">
        <f t="shared" si="5"/>
        <v>200.625</v>
      </c>
      <c r="I6" s="27">
        <f>C26</f>
        <v>2.04</v>
      </c>
      <c r="J6" s="89">
        <f t="shared" si="6"/>
        <v>409.27500000000003</v>
      </c>
      <c r="K6" s="84">
        <f>E36</f>
        <v>1.1438383838383839E-3</v>
      </c>
      <c r="L6" s="28">
        <f t="shared" si="0"/>
        <v>8.57878787878788</v>
      </c>
      <c r="M6" s="29">
        <f>A18*B18</f>
        <v>128</v>
      </c>
      <c r="N6" s="29">
        <f>C18</f>
        <v>450</v>
      </c>
      <c r="O6" s="29">
        <f>E18+F18*D18</f>
        <v>17.5</v>
      </c>
      <c r="P6" s="29">
        <f t="shared" si="1"/>
        <v>16.666666666666668</v>
      </c>
      <c r="Q6" s="28">
        <f t="shared" si="7"/>
        <v>291.66666666666669</v>
      </c>
      <c r="R6" s="26">
        <f t="shared" si="8"/>
        <v>837.52045454545464</v>
      </c>
      <c r="S6" s="26">
        <f>G18</f>
        <v>0.3</v>
      </c>
      <c r="T6" s="26">
        <f t="shared" si="9"/>
        <v>1088.7765909090911</v>
      </c>
      <c r="U6" s="27">
        <f t="shared" si="2"/>
        <v>0.14517021212121214</v>
      </c>
      <c r="V6" s="78">
        <f>E19+F19*D19</f>
        <v>11.25</v>
      </c>
      <c r="W6" s="78">
        <f t="shared" si="10"/>
        <v>187.5</v>
      </c>
      <c r="X6" s="92">
        <f t="shared" si="11"/>
        <v>733.3537878787879</v>
      </c>
      <c r="Y6" s="78">
        <f>G18</f>
        <v>0.3</v>
      </c>
      <c r="Z6" s="26">
        <f t="shared" si="12"/>
        <v>953.35992424242431</v>
      </c>
      <c r="AA6" s="78">
        <f t="shared" si="3"/>
        <v>0.12711465656565657</v>
      </c>
      <c r="AB6" s="30">
        <v>140</v>
      </c>
      <c r="AC6" s="31">
        <f>U6*2+(U6*2*80/100)</f>
        <v>0.52261276363636378</v>
      </c>
      <c r="AD6" s="31">
        <f>AA6*2+(AA6*2*80/100)</f>
        <v>0.45761276363636366</v>
      </c>
    </row>
    <row r="7" spans="1:30" ht="14.4" x14ac:dyDescent="0.3">
      <c r="A7" s="15">
        <v>200</v>
      </c>
      <c r="B7" s="7" t="s">
        <v>5</v>
      </c>
      <c r="C7" s="22" t="s">
        <v>16</v>
      </c>
      <c r="D7" s="23">
        <v>12500</v>
      </c>
      <c r="E7" s="24">
        <v>7.0000000000000007E-2</v>
      </c>
      <c r="F7" s="25">
        <v>25</v>
      </c>
      <c r="G7" s="26">
        <f t="shared" si="4"/>
        <v>26.75</v>
      </c>
      <c r="H7" s="27">
        <f t="shared" si="5"/>
        <v>334.375</v>
      </c>
      <c r="I7" s="27">
        <f>C26</f>
        <v>2.04</v>
      </c>
      <c r="J7" s="89">
        <f t="shared" si="6"/>
        <v>682.125</v>
      </c>
      <c r="K7" s="84">
        <f>E36</f>
        <v>1.1438383838383839E-3</v>
      </c>
      <c r="L7" s="28">
        <f t="shared" si="0"/>
        <v>14.297979797979799</v>
      </c>
      <c r="M7" s="29">
        <f>A18*B18</f>
        <v>128</v>
      </c>
      <c r="N7" s="29">
        <f>C18</f>
        <v>450</v>
      </c>
      <c r="O7" s="29">
        <f>E18+F18*D18</f>
        <v>17.5</v>
      </c>
      <c r="P7" s="29">
        <f t="shared" si="1"/>
        <v>27.777777777777779</v>
      </c>
      <c r="Q7" s="28">
        <f t="shared" si="7"/>
        <v>486.11111111111114</v>
      </c>
      <c r="R7" s="26">
        <f t="shared" si="8"/>
        <v>1310.534090909091</v>
      </c>
      <c r="S7" s="26">
        <f>G18</f>
        <v>0.3</v>
      </c>
      <c r="T7" s="26">
        <f t="shared" si="9"/>
        <v>1703.6943181818183</v>
      </c>
      <c r="U7" s="27">
        <f t="shared" si="2"/>
        <v>0.13629554545454547</v>
      </c>
      <c r="V7" s="78">
        <f>E19+F19*D19</f>
        <v>11.25</v>
      </c>
      <c r="W7" s="78">
        <f t="shared" si="10"/>
        <v>312.5</v>
      </c>
      <c r="X7" s="92">
        <f t="shared" si="11"/>
        <v>1136.9229797979797</v>
      </c>
      <c r="Y7" s="78">
        <f>G18</f>
        <v>0.3</v>
      </c>
      <c r="Z7" s="26">
        <f t="shared" si="12"/>
        <v>1477.9998737373735</v>
      </c>
      <c r="AA7" s="78">
        <f t="shared" si="3"/>
        <v>0.11823998989898989</v>
      </c>
      <c r="AB7" s="30">
        <v>85</v>
      </c>
      <c r="AC7" s="31">
        <f>U7+U7*AB7/100</f>
        <v>0.25214675909090911</v>
      </c>
      <c r="AD7" s="31">
        <f>AA7+AA7*AB7/100</f>
        <v>0.21874398131313127</v>
      </c>
    </row>
    <row r="8" spans="1:30" ht="14.4" x14ac:dyDescent="0.3">
      <c r="A8" s="15">
        <v>200</v>
      </c>
      <c r="B8" s="7" t="s">
        <v>6</v>
      </c>
      <c r="C8" s="22" t="s">
        <v>17</v>
      </c>
      <c r="D8" s="23">
        <v>17500</v>
      </c>
      <c r="E8" s="24">
        <v>7.0000000000000007E-2</v>
      </c>
      <c r="F8" s="25">
        <v>25</v>
      </c>
      <c r="G8" s="26">
        <f t="shared" si="4"/>
        <v>26.75</v>
      </c>
      <c r="H8" s="27">
        <f t="shared" si="5"/>
        <v>468.125</v>
      </c>
      <c r="I8" s="27">
        <f>C26</f>
        <v>2.04</v>
      </c>
      <c r="J8" s="89">
        <f t="shared" si="6"/>
        <v>954.97500000000002</v>
      </c>
      <c r="K8" s="84">
        <f>E36</f>
        <v>1.1438383838383839E-3</v>
      </c>
      <c r="L8" s="28">
        <f t="shared" si="0"/>
        <v>20.017171717171717</v>
      </c>
      <c r="M8" s="29">
        <f>A18*B18</f>
        <v>128</v>
      </c>
      <c r="N8" s="29">
        <f>C18</f>
        <v>450</v>
      </c>
      <c r="O8" s="29">
        <f>E18+F18*D18</f>
        <v>17.5</v>
      </c>
      <c r="P8" s="29">
        <f t="shared" si="1"/>
        <v>38.888888888888886</v>
      </c>
      <c r="Q8" s="28">
        <f t="shared" si="7"/>
        <v>680.55555555555554</v>
      </c>
      <c r="R8" s="26">
        <f t="shared" si="8"/>
        <v>1783.5477272727271</v>
      </c>
      <c r="S8" s="26">
        <f>G18</f>
        <v>0.3</v>
      </c>
      <c r="T8" s="26">
        <f t="shared" si="9"/>
        <v>2318.6120454545453</v>
      </c>
      <c r="U8" s="27">
        <f t="shared" si="2"/>
        <v>0.13249211688311688</v>
      </c>
      <c r="V8" s="78">
        <f>E19+F19*D19</f>
        <v>11.25</v>
      </c>
      <c r="W8" s="78">
        <f t="shared" si="10"/>
        <v>437.49999999999994</v>
      </c>
      <c r="X8" s="92">
        <f t="shared" si="11"/>
        <v>1540.4921717171717</v>
      </c>
      <c r="Y8" s="78">
        <f>G18</f>
        <v>0.3</v>
      </c>
      <c r="Z8" s="26">
        <f t="shared" si="12"/>
        <v>2002.6398232323231</v>
      </c>
      <c r="AA8" s="78">
        <f t="shared" si="3"/>
        <v>0.11443656132756132</v>
      </c>
      <c r="AB8" s="30">
        <v>80</v>
      </c>
      <c r="AC8" s="31">
        <f t="shared" ref="AC8:AC14" si="13">U8+U8*AB8/100</f>
        <v>0.23848581038961039</v>
      </c>
      <c r="AD8" s="31">
        <f t="shared" ref="AD8:AD14" si="14">AA8+AA8*AB8/100</f>
        <v>0.20598581038961039</v>
      </c>
    </row>
    <row r="9" spans="1:30" ht="14.4" x14ac:dyDescent="0.3">
      <c r="A9" s="15">
        <v>200</v>
      </c>
      <c r="B9" s="7" t="s">
        <v>7</v>
      </c>
      <c r="C9" s="22" t="s">
        <v>18</v>
      </c>
      <c r="D9" s="23">
        <v>25000</v>
      </c>
      <c r="E9" s="24">
        <v>0.05</v>
      </c>
      <c r="F9" s="25">
        <v>25</v>
      </c>
      <c r="G9" s="26">
        <f t="shared" si="4"/>
        <v>26.25</v>
      </c>
      <c r="H9" s="27">
        <f t="shared" si="5"/>
        <v>656.25</v>
      </c>
      <c r="I9" s="27">
        <f>C26</f>
        <v>2.04</v>
      </c>
      <c r="J9" s="89">
        <f t="shared" si="6"/>
        <v>1338.75</v>
      </c>
      <c r="K9" s="84">
        <f>E36</f>
        <v>1.1438383838383839E-3</v>
      </c>
      <c r="L9" s="28">
        <f t="shared" si="0"/>
        <v>28.595959595959599</v>
      </c>
      <c r="M9" s="29">
        <f>A18*B18</f>
        <v>128</v>
      </c>
      <c r="N9" s="29">
        <f>C18</f>
        <v>450</v>
      </c>
      <c r="O9" s="29">
        <f>E18+F18*D18</f>
        <v>17.5</v>
      </c>
      <c r="P9" s="29">
        <f t="shared" si="1"/>
        <v>55.555555555555557</v>
      </c>
      <c r="Q9" s="28">
        <f t="shared" si="7"/>
        <v>972.22222222222229</v>
      </c>
      <c r="R9" s="26">
        <f t="shared" si="8"/>
        <v>2467.568181818182</v>
      </c>
      <c r="S9" s="26">
        <f>G18</f>
        <v>0.3</v>
      </c>
      <c r="T9" s="26">
        <f t="shared" si="9"/>
        <v>3207.8386363636364</v>
      </c>
      <c r="U9" s="27">
        <f t="shared" si="2"/>
        <v>0.12831354545454546</v>
      </c>
      <c r="V9" s="78">
        <f>E19+F19*D19</f>
        <v>11.25</v>
      </c>
      <c r="W9" s="78">
        <f t="shared" si="10"/>
        <v>625</v>
      </c>
      <c r="X9" s="92">
        <f t="shared" si="11"/>
        <v>2120.3459595959594</v>
      </c>
      <c r="Y9" s="78">
        <f>G18</f>
        <v>0.3</v>
      </c>
      <c r="Z9" s="26">
        <f t="shared" si="12"/>
        <v>2756.4497474747473</v>
      </c>
      <c r="AA9" s="78">
        <f t="shared" si="3"/>
        <v>0.1102579898989899</v>
      </c>
      <c r="AB9" s="30">
        <v>75</v>
      </c>
      <c r="AC9" s="31">
        <f t="shared" si="13"/>
        <v>0.22454870454545456</v>
      </c>
      <c r="AD9" s="31">
        <f t="shared" si="14"/>
        <v>0.19295148232323234</v>
      </c>
    </row>
    <row r="10" spans="1:30" ht="14.4" x14ac:dyDescent="0.3">
      <c r="A10" s="15">
        <v>200</v>
      </c>
      <c r="B10" s="7" t="s">
        <v>8</v>
      </c>
      <c r="C10" s="22" t="s">
        <v>19</v>
      </c>
      <c r="D10" s="23">
        <v>35000</v>
      </c>
      <c r="E10" s="24">
        <v>0.05</v>
      </c>
      <c r="F10" s="25">
        <v>25</v>
      </c>
      <c r="G10" s="26">
        <f t="shared" si="4"/>
        <v>26.25</v>
      </c>
      <c r="H10" s="27">
        <f t="shared" si="5"/>
        <v>918.75</v>
      </c>
      <c r="I10" s="27">
        <f>C26</f>
        <v>2.04</v>
      </c>
      <c r="J10" s="89">
        <f t="shared" si="6"/>
        <v>1874.25</v>
      </c>
      <c r="K10" s="84">
        <f>E36</f>
        <v>1.1438383838383839E-3</v>
      </c>
      <c r="L10" s="28">
        <f t="shared" si="0"/>
        <v>40.034343434343434</v>
      </c>
      <c r="M10" s="29">
        <f>A18*B18</f>
        <v>128</v>
      </c>
      <c r="N10" s="29">
        <f>C18</f>
        <v>450</v>
      </c>
      <c r="O10" s="29">
        <f>E18+F18*D18</f>
        <v>17.5</v>
      </c>
      <c r="P10" s="29">
        <f t="shared" si="1"/>
        <v>77.777777777777771</v>
      </c>
      <c r="Q10" s="28">
        <f t="shared" si="7"/>
        <v>1361.1111111111111</v>
      </c>
      <c r="R10" s="26">
        <f t="shared" si="8"/>
        <v>3403.3954545454544</v>
      </c>
      <c r="S10" s="26">
        <f>G18</f>
        <v>0.3</v>
      </c>
      <c r="T10" s="26">
        <f t="shared" si="9"/>
        <v>4424.4140909090911</v>
      </c>
      <c r="U10" s="27">
        <f t="shared" si="2"/>
        <v>0.12641183116883117</v>
      </c>
      <c r="V10" s="78">
        <f>E19+F19*D19</f>
        <v>11.25</v>
      </c>
      <c r="W10" s="78">
        <f t="shared" si="10"/>
        <v>874.99999999999989</v>
      </c>
      <c r="X10" s="92">
        <f t="shared" si="11"/>
        <v>2917.2843434343431</v>
      </c>
      <c r="Y10" s="78">
        <f>G18</f>
        <v>0.3</v>
      </c>
      <c r="Z10" s="26">
        <f t="shared" si="12"/>
        <v>3792.4696464646458</v>
      </c>
      <c r="AA10" s="78">
        <f t="shared" si="3"/>
        <v>0.1083562756132756</v>
      </c>
      <c r="AB10" s="30">
        <v>75</v>
      </c>
      <c r="AC10" s="31">
        <f t="shared" si="13"/>
        <v>0.22122070454545456</v>
      </c>
      <c r="AD10" s="31">
        <f t="shared" si="14"/>
        <v>0.18962348232323228</v>
      </c>
    </row>
    <row r="11" spans="1:30" ht="14.4" x14ac:dyDescent="0.3">
      <c r="A11" s="15">
        <v>200</v>
      </c>
      <c r="B11" s="7" t="s">
        <v>9</v>
      </c>
      <c r="C11" s="22" t="s">
        <v>20</v>
      </c>
      <c r="D11" s="23">
        <v>45000</v>
      </c>
      <c r="E11" s="24">
        <v>0.05</v>
      </c>
      <c r="F11" s="25">
        <v>25</v>
      </c>
      <c r="G11" s="26">
        <f t="shared" si="4"/>
        <v>26.25</v>
      </c>
      <c r="H11" s="27">
        <f t="shared" si="5"/>
        <v>1181.25</v>
      </c>
      <c r="I11" s="27">
        <f>C26</f>
        <v>2.04</v>
      </c>
      <c r="J11" s="89">
        <f t="shared" si="6"/>
        <v>2409.75</v>
      </c>
      <c r="K11" s="84">
        <f>E36</f>
        <v>1.1438383838383839E-3</v>
      </c>
      <c r="L11" s="28">
        <f t="shared" si="0"/>
        <v>51.472727272727276</v>
      </c>
      <c r="M11" s="29">
        <f>A18*B18</f>
        <v>128</v>
      </c>
      <c r="N11" s="29">
        <f>C18</f>
        <v>450</v>
      </c>
      <c r="O11" s="29">
        <f>E18+F18*D18</f>
        <v>17.5</v>
      </c>
      <c r="P11" s="29">
        <f t="shared" si="1"/>
        <v>100</v>
      </c>
      <c r="Q11" s="28">
        <f t="shared" si="7"/>
        <v>1750</v>
      </c>
      <c r="R11" s="26">
        <f t="shared" si="8"/>
        <v>4339.2227272727268</v>
      </c>
      <c r="S11" s="26">
        <f>G18</f>
        <v>0.3</v>
      </c>
      <c r="T11" s="26">
        <f t="shared" si="9"/>
        <v>5640.9895454545449</v>
      </c>
      <c r="U11" s="27">
        <f t="shared" si="2"/>
        <v>0.12535532323232321</v>
      </c>
      <c r="V11" s="78">
        <f>E19+F19*D19</f>
        <v>11.25</v>
      </c>
      <c r="W11" s="78">
        <f t="shared" si="10"/>
        <v>1125</v>
      </c>
      <c r="X11" s="92">
        <f t="shared" si="11"/>
        <v>3714.2227272727273</v>
      </c>
      <c r="Y11" s="78">
        <f>G18</f>
        <v>0.3</v>
      </c>
      <c r="Z11" s="26">
        <f t="shared" si="12"/>
        <v>4828.4895454545458</v>
      </c>
      <c r="AA11" s="78">
        <f t="shared" si="3"/>
        <v>0.10729976767676769</v>
      </c>
      <c r="AB11" s="30">
        <v>70</v>
      </c>
      <c r="AC11" s="31">
        <f t="shared" si="13"/>
        <v>0.21310404949494943</v>
      </c>
      <c r="AD11" s="31">
        <f t="shared" si="14"/>
        <v>0.18240960505050507</v>
      </c>
    </row>
    <row r="12" spans="1:30" ht="14.4" x14ac:dyDescent="0.3">
      <c r="A12" s="15">
        <v>200</v>
      </c>
      <c r="B12" s="7" t="s">
        <v>10</v>
      </c>
      <c r="C12" s="22" t="s">
        <v>21</v>
      </c>
      <c r="D12" s="23">
        <v>75000</v>
      </c>
      <c r="E12" s="24">
        <v>0.05</v>
      </c>
      <c r="F12" s="25">
        <v>25</v>
      </c>
      <c r="G12" s="26">
        <f t="shared" si="4"/>
        <v>26.25</v>
      </c>
      <c r="H12" s="27">
        <f t="shared" si="5"/>
        <v>1968.75</v>
      </c>
      <c r="I12" s="27">
        <f>C26</f>
        <v>2.04</v>
      </c>
      <c r="J12" s="89">
        <f t="shared" si="6"/>
        <v>4016.25</v>
      </c>
      <c r="K12" s="84">
        <f>E36</f>
        <v>1.1438383838383839E-3</v>
      </c>
      <c r="L12" s="28">
        <f t="shared" si="0"/>
        <v>85.787878787878796</v>
      </c>
      <c r="M12" s="29">
        <f>A18*B18</f>
        <v>128</v>
      </c>
      <c r="N12" s="29">
        <f>C18</f>
        <v>450</v>
      </c>
      <c r="O12" s="29">
        <f>E18+F18*D18</f>
        <v>17.5</v>
      </c>
      <c r="P12" s="29">
        <f t="shared" si="1"/>
        <v>166.66666666666666</v>
      </c>
      <c r="Q12" s="28">
        <f>O12*P12</f>
        <v>2916.6666666666665</v>
      </c>
      <c r="R12" s="26">
        <f t="shared" si="8"/>
        <v>7146.704545454546</v>
      </c>
      <c r="S12" s="26">
        <f>G18</f>
        <v>0.3</v>
      </c>
      <c r="T12" s="26">
        <f t="shared" si="9"/>
        <v>9290.7159090909099</v>
      </c>
      <c r="U12" s="27">
        <f t="shared" si="2"/>
        <v>0.12387621212121214</v>
      </c>
      <c r="V12" s="78">
        <f>E19+F19*D19</f>
        <v>11.25</v>
      </c>
      <c r="W12" s="78">
        <f t="shared" si="10"/>
        <v>1875</v>
      </c>
      <c r="X12" s="92">
        <f t="shared" si="11"/>
        <v>6105.037878787879</v>
      </c>
      <c r="Y12" s="78">
        <f>G18</f>
        <v>0.3</v>
      </c>
      <c r="Z12" s="26">
        <f t="shared" si="12"/>
        <v>7936.5492424242429</v>
      </c>
      <c r="AA12" s="78">
        <f t="shared" si="3"/>
        <v>0.10582065656565658</v>
      </c>
      <c r="AB12" s="30">
        <v>70</v>
      </c>
      <c r="AC12" s="31">
        <f t="shared" si="13"/>
        <v>0.21058956060606066</v>
      </c>
      <c r="AD12" s="31">
        <f t="shared" si="14"/>
        <v>0.17989511616161619</v>
      </c>
    </row>
    <row r="13" spans="1:30" ht="14.4" x14ac:dyDescent="0.3">
      <c r="A13" s="15">
        <v>200</v>
      </c>
      <c r="B13" s="7" t="s">
        <v>11</v>
      </c>
      <c r="C13" s="22" t="s">
        <v>22</v>
      </c>
      <c r="D13" s="23">
        <v>125000</v>
      </c>
      <c r="E13" s="24">
        <v>0.03</v>
      </c>
      <c r="F13" s="25">
        <v>25</v>
      </c>
      <c r="G13" s="26">
        <f t="shared" si="4"/>
        <v>25.75</v>
      </c>
      <c r="H13" s="27">
        <f t="shared" si="5"/>
        <v>3218.75</v>
      </c>
      <c r="I13" s="27">
        <f>C26</f>
        <v>2.04</v>
      </c>
      <c r="J13" s="89">
        <f t="shared" si="6"/>
        <v>6566.25</v>
      </c>
      <c r="K13" s="84">
        <f>E36</f>
        <v>1.1438383838383839E-3</v>
      </c>
      <c r="L13" s="28">
        <f t="shared" si="0"/>
        <v>142.97979797979798</v>
      </c>
      <c r="M13" s="29">
        <f>A18*B18</f>
        <v>128</v>
      </c>
      <c r="N13" s="29">
        <f>C18</f>
        <v>450</v>
      </c>
      <c r="O13" s="29">
        <f>E18+F18*D18</f>
        <v>17.5</v>
      </c>
      <c r="P13" s="29">
        <f t="shared" si="1"/>
        <v>277.77777777777777</v>
      </c>
      <c r="Q13" s="28">
        <f t="shared" si="7"/>
        <v>4861.1111111111113</v>
      </c>
      <c r="R13" s="26">
        <f t="shared" si="8"/>
        <v>11698.340909090908</v>
      </c>
      <c r="S13" s="26">
        <f>G18</f>
        <v>0.3</v>
      </c>
      <c r="T13" s="26">
        <f t="shared" si="9"/>
        <v>15207.84318181818</v>
      </c>
      <c r="U13" s="27">
        <f t="shared" si="2"/>
        <v>0.12166274545454543</v>
      </c>
      <c r="V13" s="78">
        <f>E19+F19*D19</f>
        <v>11.25</v>
      </c>
      <c r="W13" s="78">
        <f t="shared" si="10"/>
        <v>3125</v>
      </c>
      <c r="X13" s="92">
        <f t="shared" si="11"/>
        <v>9962.2297979797986</v>
      </c>
      <c r="Y13" s="78">
        <f>G18</f>
        <v>0.3</v>
      </c>
      <c r="Z13" s="26">
        <f t="shared" si="12"/>
        <v>12950.898737373738</v>
      </c>
      <c r="AA13" s="78">
        <f t="shared" si="3"/>
        <v>0.1036071898989899</v>
      </c>
      <c r="AB13" s="30">
        <v>65</v>
      </c>
      <c r="AC13" s="31">
        <f t="shared" si="13"/>
        <v>0.20074352999999995</v>
      </c>
      <c r="AD13" s="31">
        <f t="shared" si="14"/>
        <v>0.17095186333333334</v>
      </c>
    </row>
    <row r="14" spans="1:30" ht="15" thickBot="1" x14ac:dyDescent="0.35">
      <c r="A14" s="15">
        <v>200</v>
      </c>
      <c r="B14" s="7" t="s">
        <v>12</v>
      </c>
      <c r="C14" s="22" t="s">
        <v>23</v>
      </c>
      <c r="D14" s="23">
        <v>200000</v>
      </c>
      <c r="E14" s="24">
        <v>0.03</v>
      </c>
      <c r="F14" s="25">
        <v>25</v>
      </c>
      <c r="G14" s="26">
        <f t="shared" si="4"/>
        <v>25.75</v>
      </c>
      <c r="H14" s="27">
        <f t="shared" si="5"/>
        <v>5150</v>
      </c>
      <c r="I14" s="27">
        <f>C26</f>
        <v>2.04</v>
      </c>
      <c r="J14" s="89">
        <f t="shared" si="6"/>
        <v>10506</v>
      </c>
      <c r="K14" s="84">
        <f>E36</f>
        <v>1.1438383838383839E-3</v>
      </c>
      <c r="L14" s="28">
        <f t="shared" si="0"/>
        <v>228.76767676767679</v>
      </c>
      <c r="M14" s="29">
        <f>A18*B18</f>
        <v>128</v>
      </c>
      <c r="N14" s="29">
        <f>C18</f>
        <v>450</v>
      </c>
      <c r="O14" s="29">
        <f>E18+F18*D18</f>
        <v>17.5</v>
      </c>
      <c r="P14" s="29">
        <f t="shared" si="1"/>
        <v>444.44444444444446</v>
      </c>
      <c r="Q14" s="28">
        <f t="shared" si="7"/>
        <v>7777.7777777777783</v>
      </c>
      <c r="R14" s="26">
        <f t="shared" si="8"/>
        <v>18640.545454545456</v>
      </c>
      <c r="S14" s="26">
        <f>G18</f>
        <v>0.3</v>
      </c>
      <c r="T14" s="26">
        <f t="shared" si="9"/>
        <v>24232.709090909091</v>
      </c>
      <c r="U14" s="27">
        <f t="shared" si="2"/>
        <v>0.12116354545454545</v>
      </c>
      <c r="V14" s="78">
        <f>E19+F19*D19</f>
        <v>11.25</v>
      </c>
      <c r="W14" s="78">
        <f t="shared" si="10"/>
        <v>5000</v>
      </c>
      <c r="X14" s="92">
        <f t="shared" si="11"/>
        <v>15862.767676767677</v>
      </c>
      <c r="Y14" s="78">
        <f>G18</f>
        <v>0.3</v>
      </c>
      <c r="Z14" s="26">
        <f t="shared" si="12"/>
        <v>20621.597979797982</v>
      </c>
      <c r="AA14" s="78">
        <f t="shared" si="3"/>
        <v>0.10310798989898991</v>
      </c>
      <c r="AB14" s="30">
        <v>60</v>
      </c>
      <c r="AC14" s="32">
        <f t="shared" si="13"/>
        <v>0.19386167272727273</v>
      </c>
      <c r="AD14" s="32">
        <f t="shared" si="14"/>
        <v>0.16497278383838385</v>
      </c>
    </row>
    <row r="15" spans="1:30" ht="14.4" thickBot="1" x14ac:dyDescent="0.35"/>
    <row r="16" spans="1:30" x14ac:dyDescent="0.3">
      <c r="A16" s="33" t="s">
        <v>27</v>
      </c>
      <c r="B16" s="34"/>
      <c r="C16" s="34"/>
      <c r="D16" s="34"/>
      <c r="E16" s="34"/>
      <c r="F16" s="34"/>
      <c r="G16" s="35"/>
      <c r="AC16" s="80"/>
    </row>
    <row r="17" spans="1:12" x14ac:dyDescent="0.3">
      <c r="A17" s="36" t="s">
        <v>28</v>
      </c>
      <c r="B17" s="37" t="s">
        <v>29</v>
      </c>
      <c r="C17" s="37" t="s">
        <v>30</v>
      </c>
      <c r="D17" s="37" t="s">
        <v>31</v>
      </c>
      <c r="E17" s="37" t="s">
        <v>32</v>
      </c>
      <c r="F17" s="37" t="s">
        <v>33</v>
      </c>
      <c r="G17" s="38" t="s">
        <v>34</v>
      </c>
      <c r="J17" s="39"/>
      <c r="K17" s="85"/>
      <c r="L17" s="14" t="s">
        <v>59</v>
      </c>
    </row>
    <row r="18" spans="1:12" ht="14.4" thickBot="1" x14ac:dyDescent="0.35">
      <c r="A18" s="40">
        <v>4</v>
      </c>
      <c r="B18" s="41">
        <v>32</v>
      </c>
      <c r="C18" s="41">
        <v>450</v>
      </c>
      <c r="D18" s="41">
        <v>0.5</v>
      </c>
      <c r="E18" s="41">
        <v>5</v>
      </c>
      <c r="F18" s="42">
        <v>25</v>
      </c>
      <c r="G18" s="43">
        <v>0.3</v>
      </c>
    </row>
    <row r="19" spans="1:12" ht="14.4" thickBot="1" x14ac:dyDescent="0.35">
      <c r="A19" s="40">
        <v>4</v>
      </c>
      <c r="B19" s="41">
        <v>32</v>
      </c>
      <c r="C19" s="41">
        <v>450</v>
      </c>
      <c r="D19" s="41">
        <v>0.25</v>
      </c>
      <c r="E19" s="41">
        <v>5</v>
      </c>
      <c r="F19" s="42">
        <v>25</v>
      </c>
      <c r="G19" s="43">
        <v>0.3</v>
      </c>
    </row>
    <row r="20" spans="1:12" ht="14.4" thickBot="1" x14ac:dyDescent="0.35">
      <c r="J20" s="44"/>
      <c r="K20" s="86"/>
      <c r="L20" s="14" t="s">
        <v>60</v>
      </c>
    </row>
    <row r="21" spans="1:12" x14ac:dyDescent="0.3">
      <c r="A21" s="45" t="s">
        <v>35</v>
      </c>
      <c r="B21" s="46"/>
      <c r="C21" s="46" t="s">
        <v>36</v>
      </c>
      <c r="D21" s="47" t="s">
        <v>37</v>
      </c>
    </row>
    <row r="22" spans="1:12" x14ac:dyDescent="0.3">
      <c r="A22" s="48" t="s">
        <v>40</v>
      </c>
      <c r="B22" s="49">
        <v>1.5</v>
      </c>
      <c r="C22" s="50">
        <v>96</v>
      </c>
      <c r="D22" s="51"/>
    </row>
    <row r="23" spans="1:12" x14ac:dyDescent="0.3">
      <c r="A23" s="48" t="s">
        <v>40</v>
      </c>
      <c r="B23" s="49">
        <v>15</v>
      </c>
      <c r="C23" s="50">
        <v>4</v>
      </c>
      <c r="D23" s="51"/>
    </row>
    <row r="24" spans="1:12" x14ac:dyDescent="0.3">
      <c r="A24" s="48" t="s">
        <v>40</v>
      </c>
      <c r="B24" s="49">
        <v>0</v>
      </c>
      <c r="C24" s="50"/>
      <c r="D24" s="51"/>
    </row>
    <row r="25" spans="1:12" ht="14.4" thickBot="1" x14ac:dyDescent="0.35">
      <c r="A25" s="48" t="s">
        <v>44</v>
      </c>
      <c r="B25" s="49">
        <v>0</v>
      </c>
      <c r="C25" s="50"/>
      <c r="D25" s="51"/>
    </row>
    <row r="26" spans="1:12" ht="14.4" thickBot="1" x14ac:dyDescent="0.35">
      <c r="A26" s="52" t="s">
        <v>45</v>
      </c>
      <c r="B26" s="53">
        <f>SUM(B22:B25)</f>
        <v>16.5</v>
      </c>
      <c r="C26" s="54">
        <f>(B22*C22/100)+(B23*C23/100)+(B24*C24/100)+(B25*C25/100)</f>
        <v>2.04</v>
      </c>
      <c r="D26" s="55" t="s">
        <v>62</v>
      </c>
    </row>
    <row r="27" spans="1:12" ht="14.4" thickBot="1" x14ac:dyDescent="0.35"/>
    <row r="28" spans="1:12" x14ac:dyDescent="0.3">
      <c r="A28" s="56" t="s">
        <v>38</v>
      </c>
      <c r="B28" s="57"/>
      <c r="C28" s="58"/>
      <c r="D28" s="59" t="s">
        <v>39</v>
      </c>
      <c r="E28" s="60" t="s">
        <v>97</v>
      </c>
    </row>
    <row r="29" spans="1:12" x14ac:dyDescent="0.3">
      <c r="A29" s="61" t="s">
        <v>42</v>
      </c>
      <c r="B29" s="62">
        <v>1100</v>
      </c>
      <c r="C29" s="63"/>
      <c r="D29" s="64"/>
      <c r="E29" s="65"/>
    </row>
    <row r="30" spans="1:12" x14ac:dyDescent="0.3">
      <c r="A30" s="61" t="s">
        <v>86</v>
      </c>
      <c r="B30" s="62">
        <v>9</v>
      </c>
      <c r="C30" s="63" t="s">
        <v>41</v>
      </c>
      <c r="D30" s="66">
        <v>0.68100000000000005</v>
      </c>
      <c r="E30" s="65">
        <f>D30*B30</f>
        <v>6.1290000000000004</v>
      </c>
    </row>
    <row r="31" spans="1:12" x14ac:dyDescent="0.3">
      <c r="A31" s="61" t="s">
        <v>87</v>
      </c>
      <c r="B31" s="62">
        <f>B30*B29</f>
        <v>9900</v>
      </c>
      <c r="C31" s="67"/>
      <c r="D31" s="68"/>
      <c r="E31" s="65"/>
    </row>
    <row r="32" spans="1:12" x14ac:dyDescent="0.3">
      <c r="A32" s="61" t="s">
        <v>88</v>
      </c>
      <c r="B32" s="62">
        <v>9</v>
      </c>
      <c r="C32" s="63" t="s">
        <v>43</v>
      </c>
      <c r="D32" s="69">
        <v>0.13800000000000001</v>
      </c>
      <c r="E32" s="65">
        <f>D32*B32</f>
        <v>1.242</v>
      </c>
    </row>
    <row r="33" spans="1:5" x14ac:dyDescent="0.3">
      <c r="A33" s="61" t="s">
        <v>46</v>
      </c>
      <c r="B33" s="62">
        <f>B32*5</f>
        <v>45</v>
      </c>
      <c r="C33" s="63" t="s">
        <v>47</v>
      </c>
      <c r="D33" s="66">
        <v>4.3400000000000001E-2</v>
      </c>
      <c r="E33" s="65">
        <f>D33*B33</f>
        <v>1.9530000000000001</v>
      </c>
    </row>
    <row r="34" spans="1:5" ht="14.4" thickBot="1" x14ac:dyDescent="0.35">
      <c r="A34" s="70" t="s">
        <v>48</v>
      </c>
      <c r="B34" s="71" t="s">
        <v>49</v>
      </c>
      <c r="C34" s="72" t="s">
        <v>50</v>
      </c>
      <c r="D34" s="73">
        <v>2</v>
      </c>
      <c r="E34" s="74">
        <f>D34</f>
        <v>2</v>
      </c>
    </row>
    <row r="35" spans="1:5" ht="14.4" thickBot="1" x14ac:dyDescent="0.35">
      <c r="E35" s="75">
        <f>SUM(E29:E34)</f>
        <v>11.324</v>
      </c>
    </row>
    <row r="36" spans="1:5" ht="14.4" thickBot="1" x14ac:dyDescent="0.35">
      <c r="D36" s="76" t="s">
        <v>98</v>
      </c>
      <c r="E36" s="77">
        <f>E35/B31</f>
        <v>1.1438383838383839E-3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C22B1-4503-49EE-8CE5-1EF139D8E0D9}">
  <dimension ref="A2:AD36"/>
  <sheetViews>
    <sheetView topLeftCell="N1" workbookViewId="0">
      <selection activeCell="Z12" sqref="Z12"/>
    </sheetView>
  </sheetViews>
  <sheetFormatPr defaultColWidth="9.109375" defaultRowHeight="13.8" x14ac:dyDescent="0.3"/>
  <cols>
    <col min="1" max="1" width="28.6640625" style="14" bestFit="1" customWidth="1"/>
    <col min="2" max="2" width="10.109375" style="14" bestFit="1" customWidth="1"/>
    <col min="3" max="3" width="21" style="14" bestFit="1" customWidth="1"/>
    <col min="4" max="4" width="12.44140625" style="14" bestFit="1" customWidth="1"/>
    <col min="5" max="5" width="21" style="14" bestFit="1" customWidth="1"/>
    <col min="6" max="6" width="14.88671875" style="14" bestFit="1" customWidth="1"/>
    <col min="7" max="7" width="23.5546875" style="14" bestFit="1" customWidth="1"/>
    <col min="8" max="8" width="18.6640625" style="14" customWidth="1"/>
    <col min="9" max="9" width="0.109375" style="14" customWidth="1"/>
    <col min="10" max="10" width="9.5546875" style="14" bestFit="1" customWidth="1"/>
    <col min="11" max="11" width="15.33203125" style="82" customWidth="1"/>
    <col min="12" max="12" width="17.5546875" style="14" bestFit="1" customWidth="1"/>
    <col min="13" max="13" width="19.33203125" style="14" customWidth="1"/>
    <col min="14" max="14" width="9.109375" style="14" customWidth="1"/>
    <col min="15" max="15" width="22.88671875" style="14" customWidth="1"/>
    <col min="16" max="16" width="11.88671875" style="14" customWidth="1"/>
    <col min="17" max="17" width="23.5546875" style="14" bestFit="1" customWidth="1"/>
    <col min="18" max="18" width="24.33203125" style="14" customWidth="1"/>
    <col min="19" max="19" width="11" style="14" customWidth="1"/>
    <col min="20" max="20" width="35.5546875" style="14" bestFit="1" customWidth="1"/>
    <col min="21" max="21" width="14.6640625" style="14" bestFit="1" customWidth="1"/>
    <col min="22" max="27" width="14.6640625" style="14" customWidth="1"/>
    <col min="28" max="28" width="16.5546875" style="14" bestFit="1" customWidth="1"/>
    <col min="29" max="29" width="17.44140625" style="14" bestFit="1" customWidth="1"/>
    <col min="30" max="30" width="11.88671875" style="14" bestFit="1" customWidth="1"/>
    <col min="31" max="16384" width="9.109375" style="14"/>
  </cols>
  <sheetData>
    <row r="2" spans="1:30" ht="14.4" thickBot="1" x14ac:dyDescent="0.35"/>
    <row r="3" spans="1:30" ht="74.25" customHeight="1" thickBot="1" x14ac:dyDescent="0.35">
      <c r="A3" s="15" t="s">
        <v>57</v>
      </c>
      <c r="B3" s="15" t="s">
        <v>24</v>
      </c>
      <c r="C3" s="15" t="s">
        <v>25</v>
      </c>
      <c r="D3" s="15" t="s">
        <v>26</v>
      </c>
      <c r="E3" s="15" t="s">
        <v>55</v>
      </c>
      <c r="F3" s="15" t="s">
        <v>58</v>
      </c>
      <c r="G3" s="16" t="s">
        <v>51</v>
      </c>
      <c r="H3" s="17" t="s">
        <v>52</v>
      </c>
      <c r="I3" s="17" t="s">
        <v>61</v>
      </c>
      <c r="J3" s="90" t="s">
        <v>53</v>
      </c>
      <c r="K3" s="83" t="s">
        <v>99</v>
      </c>
      <c r="L3" s="18" t="s">
        <v>96</v>
      </c>
      <c r="M3" s="19" t="s">
        <v>54</v>
      </c>
      <c r="N3" s="19" t="s">
        <v>100</v>
      </c>
      <c r="O3" s="19" t="s">
        <v>108</v>
      </c>
      <c r="P3" s="19" t="s">
        <v>101</v>
      </c>
      <c r="Q3" s="91" t="s">
        <v>116</v>
      </c>
      <c r="R3" s="87" t="s">
        <v>107</v>
      </c>
      <c r="S3" s="88" t="s">
        <v>102</v>
      </c>
      <c r="T3" s="87" t="s">
        <v>104</v>
      </c>
      <c r="U3" s="87" t="s">
        <v>105</v>
      </c>
      <c r="V3" s="19" t="s">
        <v>109</v>
      </c>
      <c r="W3" s="20" t="s">
        <v>110</v>
      </c>
      <c r="X3" s="20"/>
      <c r="Y3" s="20"/>
      <c r="Z3" s="20" t="s">
        <v>111</v>
      </c>
      <c r="AA3" s="20" t="s">
        <v>112</v>
      </c>
      <c r="AB3" s="20" t="s">
        <v>103</v>
      </c>
      <c r="AC3" s="79" t="s">
        <v>106</v>
      </c>
      <c r="AD3" s="21" t="s">
        <v>113</v>
      </c>
    </row>
    <row r="4" spans="1:30" ht="14.4" x14ac:dyDescent="0.3">
      <c r="A4" s="15">
        <v>250</v>
      </c>
      <c r="B4" s="7" t="s">
        <v>2</v>
      </c>
      <c r="C4" s="22" t="s">
        <v>13</v>
      </c>
      <c r="D4" s="23">
        <v>2000</v>
      </c>
      <c r="E4" s="24">
        <v>0.1</v>
      </c>
      <c r="F4" s="25">
        <v>28</v>
      </c>
      <c r="G4" s="26">
        <f>F4+F4*E4</f>
        <v>30.8</v>
      </c>
      <c r="H4" s="27">
        <f>(G4*D4)/1000</f>
        <v>61.6</v>
      </c>
      <c r="I4" s="27">
        <f>C26</f>
        <v>2.08</v>
      </c>
      <c r="J4" s="89">
        <f>H4*I4</f>
        <v>128.12800000000001</v>
      </c>
      <c r="K4" s="84">
        <f>E36</f>
        <v>1.1438383838383839E-3</v>
      </c>
      <c r="L4" s="28">
        <f t="shared" ref="L4:L14" si="0">K4*D4</f>
        <v>2.2876767676767678</v>
      </c>
      <c r="M4" s="29">
        <f>A18*B18</f>
        <v>128</v>
      </c>
      <c r="N4" s="29">
        <f>C18</f>
        <v>450</v>
      </c>
      <c r="O4" s="29">
        <f>E18+F18*D18</f>
        <v>17.5</v>
      </c>
      <c r="P4" s="29">
        <f t="shared" ref="P4:P14" si="1">D4/N4</f>
        <v>4.4444444444444446</v>
      </c>
      <c r="Q4" s="28">
        <f>O4*P4</f>
        <v>77.777777777777786</v>
      </c>
      <c r="R4" s="26">
        <f>Q4+L4+J4+M4</f>
        <v>336.19345454545459</v>
      </c>
      <c r="S4" s="26">
        <f>G18</f>
        <v>0.3</v>
      </c>
      <c r="T4" s="26">
        <f>R4+R4*S4</f>
        <v>437.05149090909094</v>
      </c>
      <c r="U4" s="27">
        <f t="shared" ref="U4:U14" si="2">T4/D4</f>
        <v>0.21852574545454548</v>
      </c>
      <c r="V4" s="78">
        <f>E19+F19*D19</f>
        <v>11.25</v>
      </c>
      <c r="W4" s="78">
        <f>V4*P4</f>
        <v>50</v>
      </c>
      <c r="X4" s="92">
        <f>W4+M4+L4+J4</f>
        <v>308.41567676767681</v>
      </c>
      <c r="Y4" s="78">
        <f>G18</f>
        <v>0.3</v>
      </c>
      <c r="Z4" s="26">
        <f>X4+X4*Y4</f>
        <v>400.94037979797986</v>
      </c>
      <c r="AA4" s="78">
        <f t="shared" ref="AA4:AA14" si="3">Z4/D4</f>
        <v>0.20047018989898993</v>
      </c>
      <c r="AB4" s="30">
        <v>180</v>
      </c>
      <c r="AC4" s="81">
        <f>U4*2+(U4*2*80/100)</f>
        <v>0.78669268363636369</v>
      </c>
      <c r="AD4" s="81">
        <f>AA4*2+(AA4*2*80/100)</f>
        <v>0.72169268363636374</v>
      </c>
    </row>
    <row r="5" spans="1:30" ht="14.4" x14ac:dyDescent="0.3">
      <c r="A5" s="15">
        <v>250</v>
      </c>
      <c r="B5" s="7" t="s">
        <v>3</v>
      </c>
      <c r="C5" s="22" t="s">
        <v>14</v>
      </c>
      <c r="D5" s="23">
        <v>4000</v>
      </c>
      <c r="E5" s="24">
        <v>0.1</v>
      </c>
      <c r="F5" s="25">
        <v>28</v>
      </c>
      <c r="G5" s="26">
        <f t="shared" ref="G5:G14" si="4">F5+F5*E5</f>
        <v>30.8</v>
      </c>
      <c r="H5" s="27">
        <f t="shared" ref="H5:H14" si="5">(G5*D5)/1000</f>
        <v>123.2</v>
      </c>
      <c r="I5" s="27">
        <f>C26</f>
        <v>2.08</v>
      </c>
      <c r="J5" s="89">
        <f t="shared" ref="J5:J14" si="6">H5*I5</f>
        <v>256.25600000000003</v>
      </c>
      <c r="K5" s="84">
        <f>E36</f>
        <v>1.1438383838383839E-3</v>
      </c>
      <c r="L5" s="28">
        <f t="shared" si="0"/>
        <v>4.5753535353535355</v>
      </c>
      <c r="M5" s="29">
        <f>A18*B18</f>
        <v>128</v>
      </c>
      <c r="N5" s="29">
        <f>C18</f>
        <v>450</v>
      </c>
      <c r="O5" s="29">
        <f>E18+F18*D18</f>
        <v>17.5</v>
      </c>
      <c r="P5" s="29">
        <f t="shared" si="1"/>
        <v>8.8888888888888893</v>
      </c>
      <c r="Q5" s="28">
        <f t="shared" ref="Q5:Q14" si="7">O5*P5</f>
        <v>155.55555555555557</v>
      </c>
      <c r="R5" s="26">
        <f t="shared" ref="R5:R14" si="8">Q5+L5+J5+M5</f>
        <v>544.38690909090917</v>
      </c>
      <c r="S5" s="26">
        <f>G18</f>
        <v>0.3</v>
      </c>
      <c r="T5" s="26">
        <f t="shared" ref="T5:T14" si="9">R5+R5*S5</f>
        <v>707.70298181818191</v>
      </c>
      <c r="U5" s="27">
        <f t="shared" si="2"/>
        <v>0.17692574545454548</v>
      </c>
      <c r="V5" s="78">
        <f>E19+F19*D19</f>
        <v>11.25</v>
      </c>
      <c r="W5" s="78">
        <f t="shared" ref="W5:W14" si="10">V5*P5</f>
        <v>100</v>
      </c>
      <c r="X5" s="92">
        <f t="shared" ref="X5:X14" si="11">W5+M5+L5+J5</f>
        <v>488.83135353535357</v>
      </c>
      <c r="Y5" s="78">
        <f>G18</f>
        <v>0.3</v>
      </c>
      <c r="Z5" s="26">
        <f t="shared" ref="Z5:Z14" si="12">X5+X5*Y5</f>
        <v>635.48075959595963</v>
      </c>
      <c r="AA5" s="78">
        <f t="shared" si="3"/>
        <v>0.15887018989898991</v>
      </c>
      <c r="AB5" s="30">
        <v>160</v>
      </c>
      <c r="AC5" s="31">
        <f>U5*2+(U5*2*80/100)</f>
        <v>0.63693268363636368</v>
      </c>
      <c r="AD5" s="31">
        <f>AA5*2+(AA5*2*80/100)</f>
        <v>0.57193268363636363</v>
      </c>
    </row>
    <row r="6" spans="1:30" ht="14.4" x14ac:dyDescent="0.3">
      <c r="A6" s="15">
        <v>250</v>
      </c>
      <c r="B6" s="7" t="s">
        <v>4</v>
      </c>
      <c r="C6" s="22" t="s">
        <v>15</v>
      </c>
      <c r="D6" s="23">
        <v>7500</v>
      </c>
      <c r="E6" s="24">
        <v>7.0000000000000007E-2</v>
      </c>
      <c r="F6" s="25">
        <v>28</v>
      </c>
      <c r="G6" s="26">
        <f t="shared" si="4"/>
        <v>29.96</v>
      </c>
      <c r="H6" s="27">
        <f t="shared" si="5"/>
        <v>224.7</v>
      </c>
      <c r="I6" s="27">
        <f>C26</f>
        <v>2.08</v>
      </c>
      <c r="J6" s="89">
        <f t="shared" si="6"/>
        <v>467.37599999999998</v>
      </c>
      <c r="K6" s="84">
        <f>E36</f>
        <v>1.1438383838383839E-3</v>
      </c>
      <c r="L6" s="28">
        <f t="shared" si="0"/>
        <v>8.57878787878788</v>
      </c>
      <c r="M6" s="29">
        <f>A18*B18</f>
        <v>128</v>
      </c>
      <c r="N6" s="29">
        <f>C18</f>
        <v>450</v>
      </c>
      <c r="O6" s="29">
        <f>E18+F18*D18</f>
        <v>17.5</v>
      </c>
      <c r="P6" s="29">
        <f t="shared" si="1"/>
        <v>16.666666666666668</v>
      </c>
      <c r="Q6" s="28">
        <f t="shared" si="7"/>
        <v>291.66666666666669</v>
      </c>
      <c r="R6" s="26">
        <f t="shared" si="8"/>
        <v>895.62145454545453</v>
      </c>
      <c r="S6" s="26">
        <f>G18</f>
        <v>0.3</v>
      </c>
      <c r="T6" s="26">
        <f t="shared" si="9"/>
        <v>1164.3078909090909</v>
      </c>
      <c r="U6" s="27">
        <f t="shared" si="2"/>
        <v>0.15524105212121211</v>
      </c>
      <c r="V6" s="78">
        <f>E19+F19*D19</f>
        <v>11.25</v>
      </c>
      <c r="W6" s="78">
        <f t="shared" si="10"/>
        <v>187.5</v>
      </c>
      <c r="X6" s="92">
        <f t="shared" si="11"/>
        <v>791.45478787878778</v>
      </c>
      <c r="Y6" s="78">
        <f>G18</f>
        <v>0.3</v>
      </c>
      <c r="Z6" s="26">
        <f t="shared" si="12"/>
        <v>1028.8912242424242</v>
      </c>
      <c r="AA6" s="78">
        <f t="shared" si="3"/>
        <v>0.13718549656565657</v>
      </c>
      <c r="AB6" s="30">
        <v>140</v>
      </c>
      <c r="AC6" s="31">
        <f>U6*2+(U6*2*80/100)</f>
        <v>0.55886778763636358</v>
      </c>
      <c r="AD6" s="31">
        <f>AA6*2+(AA6*2*80/100)</f>
        <v>0.49386778763636363</v>
      </c>
    </row>
    <row r="7" spans="1:30" ht="14.4" x14ac:dyDescent="0.3">
      <c r="A7" s="15">
        <v>250</v>
      </c>
      <c r="B7" s="7" t="s">
        <v>5</v>
      </c>
      <c r="C7" s="22" t="s">
        <v>16</v>
      </c>
      <c r="D7" s="23">
        <v>12500</v>
      </c>
      <c r="E7" s="24">
        <v>7.0000000000000007E-2</v>
      </c>
      <c r="F7" s="25">
        <v>28</v>
      </c>
      <c r="G7" s="26">
        <f t="shared" si="4"/>
        <v>29.96</v>
      </c>
      <c r="H7" s="27">
        <f t="shared" si="5"/>
        <v>374.5</v>
      </c>
      <c r="I7" s="27">
        <f>C26</f>
        <v>2.08</v>
      </c>
      <c r="J7" s="89">
        <f t="shared" si="6"/>
        <v>778.96</v>
      </c>
      <c r="K7" s="84">
        <f>E36</f>
        <v>1.1438383838383839E-3</v>
      </c>
      <c r="L7" s="28">
        <f t="shared" si="0"/>
        <v>14.297979797979799</v>
      </c>
      <c r="M7" s="29">
        <f>A18*B18</f>
        <v>128</v>
      </c>
      <c r="N7" s="29">
        <f>C18</f>
        <v>450</v>
      </c>
      <c r="O7" s="29">
        <f>E18+F18*D18</f>
        <v>17.5</v>
      </c>
      <c r="P7" s="29">
        <f t="shared" si="1"/>
        <v>27.777777777777779</v>
      </c>
      <c r="Q7" s="28">
        <f t="shared" si="7"/>
        <v>486.11111111111114</v>
      </c>
      <c r="R7" s="26">
        <f t="shared" si="8"/>
        <v>1407.369090909091</v>
      </c>
      <c r="S7" s="26">
        <f>G18</f>
        <v>0.3</v>
      </c>
      <c r="T7" s="26">
        <f t="shared" si="9"/>
        <v>1829.5798181818184</v>
      </c>
      <c r="U7" s="27">
        <f t="shared" si="2"/>
        <v>0.14636638545454547</v>
      </c>
      <c r="V7" s="78">
        <f>E19+F19*D19</f>
        <v>11.25</v>
      </c>
      <c r="W7" s="78">
        <f t="shared" si="10"/>
        <v>312.5</v>
      </c>
      <c r="X7" s="92">
        <f t="shared" si="11"/>
        <v>1233.7579797979797</v>
      </c>
      <c r="Y7" s="78">
        <f>G18</f>
        <v>0.3</v>
      </c>
      <c r="Z7" s="26">
        <f t="shared" si="12"/>
        <v>1603.8853737373736</v>
      </c>
      <c r="AA7" s="78">
        <f t="shared" si="3"/>
        <v>0.1283108298989899</v>
      </c>
      <c r="AB7" s="30">
        <v>85</v>
      </c>
      <c r="AC7" s="31">
        <f>U7+U7*AB7/100</f>
        <v>0.27077781309090915</v>
      </c>
      <c r="AD7" s="31">
        <f>AA7+AA7*AB7/100</f>
        <v>0.23737503531313131</v>
      </c>
    </row>
    <row r="8" spans="1:30" ht="14.4" x14ac:dyDescent="0.3">
      <c r="A8" s="15">
        <v>250</v>
      </c>
      <c r="B8" s="7" t="s">
        <v>6</v>
      </c>
      <c r="C8" s="22" t="s">
        <v>17</v>
      </c>
      <c r="D8" s="23">
        <v>17500</v>
      </c>
      <c r="E8" s="24">
        <v>7.0000000000000007E-2</v>
      </c>
      <c r="F8" s="25">
        <v>28</v>
      </c>
      <c r="G8" s="26">
        <f t="shared" si="4"/>
        <v>29.96</v>
      </c>
      <c r="H8" s="27">
        <f t="shared" si="5"/>
        <v>524.29999999999995</v>
      </c>
      <c r="I8" s="27">
        <f>C26</f>
        <v>2.08</v>
      </c>
      <c r="J8" s="89">
        <f t="shared" si="6"/>
        <v>1090.5439999999999</v>
      </c>
      <c r="K8" s="84">
        <f>E36</f>
        <v>1.1438383838383839E-3</v>
      </c>
      <c r="L8" s="28">
        <f t="shared" si="0"/>
        <v>20.017171717171717</v>
      </c>
      <c r="M8" s="29">
        <f>A18*B18</f>
        <v>128</v>
      </c>
      <c r="N8" s="29">
        <f>C18</f>
        <v>450</v>
      </c>
      <c r="O8" s="29">
        <f>E18+F18*D18</f>
        <v>17.5</v>
      </c>
      <c r="P8" s="29">
        <f t="shared" si="1"/>
        <v>38.888888888888886</v>
      </c>
      <c r="Q8" s="28">
        <f t="shared" si="7"/>
        <v>680.55555555555554</v>
      </c>
      <c r="R8" s="26">
        <f t="shared" si="8"/>
        <v>1919.1167272727271</v>
      </c>
      <c r="S8" s="26">
        <f>G18</f>
        <v>0.3</v>
      </c>
      <c r="T8" s="26">
        <f t="shared" si="9"/>
        <v>2494.8517454545454</v>
      </c>
      <c r="U8" s="27">
        <f t="shared" si="2"/>
        <v>0.14256295688311688</v>
      </c>
      <c r="V8" s="78">
        <f>E19+F19*D19</f>
        <v>11.25</v>
      </c>
      <c r="W8" s="78">
        <f t="shared" si="10"/>
        <v>437.49999999999994</v>
      </c>
      <c r="X8" s="92">
        <f t="shared" si="11"/>
        <v>1676.0611717171714</v>
      </c>
      <c r="Y8" s="78">
        <f>G18</f>
        <v>0.3</v>
      </c>
      <c r="Z8" s="26">
        <f t="shared" si="12"/>
        <v>2178.8795232323228</v>
      </c>
      <c r="AA8" s="78">
        <f t="shared" si="3"/>
        <v>0.1245074013275613</v>
      </c>
      <c r="AB8" s="30">
        <v>80</v>
      </c>
      <c r="AC8" s="31">
        <f t="shared" ref="AC8:AC14" si="13">U8+U8*AB8/100</f>
        <v>0.25661332238961038</v>
      </c>
      <c r="AD8" s="31">
        <f t="shared" ref="AD8:AD14" si="14">AA8+AA8*AB8/100</f>
        <v>0.22411332238961035</v>
      </c>
    </row>
    <row r="9" spans="1:30" ht="14.4" x14ac:dyDescent="0.3">
      <c r="A9" s="15">
        <v>250</v>
      </c>
      <c r="B9" s="7" t="s">
        <v>7</v>
      </c>
      <c r="C9" s="22" t="s">
        <v>18</v>
      </c>
      <c r="D9" s="23">
        <v>25000</v>
      </c>
      <c r="E9" s="24">
        <v>0.05</v>
      </c>
      <c r="F9" s="25">
        <v>28</v>
      </c>
      <c r="G9" s="26">
        <f t="shared" si="4"/>
        <v>29.4</v>
      </c>
      <c r="H9" s="27">
        <f t="shared" si="5"/>
        <v>735</v>
      </c>
      <c r="I9" s="27">
        <f>C26</f>
        <v>2.08</v>
      </c>
      <c r="J9" s="89">
        <f t="shared" si="6"/>
        <v>1528.8</v>
      </c>
      <c r="K9" s="84">
        <f>E36</f>
        <v>1.1438383838383839E-3</v>
      </c>
      <c r="L9" s="28">
        <f t="shared" si="0"/>
        <v>28.595959595959599</v>
      </c>
      <c r="M9" s="29">
        <f>A18*B18</f>
        <v>128</v>
      </c>
      <c r="N9" s="29">
        <f>C18</f>
        <v>450</v>
      </c>
      <c r="O9" s="29">
        <f>E18+F18*D18</f>
        <v>17.5</v>
      </c>
      <c r="P9" s="29">
        <f t="shared" si="1"/>
        <v>55.555555555555557</v>
      </c>
      <c r="Q9" s="28">
        <f t="shared" si="7"/>
        <v>972.22222222222229</v>
      </c>
      <c r="R9" s="26">
        <f t="shared" si="8"/>
        <v>2657.6181818181817</v>
      </c>
      <c r="S9" s="26">
        <f>G18</f>
        <v>0.3</v>
      </c>
      <c r="T9" s="26">
        <f t="shared" si="9"/>
        <v>3454.903636363636</v>
      </c>
      <c r="U9" s="27">
        <f t="shared" si="2"/>
        <v>0.13819614545454545</v>
      </c>
      <c r="V9" s="78">
        <f>E19+F19*D19</f>
        <v>11.25</v>
      </c>
      <c r="W9" s="78">
        <f t="shared" si="10"/>
        <v>625</v>
      </c>
      <c r="X9" s="92">
        <f t="shared" si="11"/>
        <v>2310.3959595959595</v>
      </c>
      <c r="Y9" s="78">
        <f>G18</f>
        <v>0.3</v>
      </c>
      <c r="Z9" s="26">
        <f t="shared" si="12"/>
        <v>3003.5147474747473</v>
      </c>
      <c r="AA9" s="78">
        <f t="shared" si="3"/>
        <v>0.12014058989898989</v>
      </c>
      <c r="AB9" s="30">
        <v>75</v>
      </c>
      <c r="AC9" s="31">
        <f t="shared" si="13"/>
        <v>0.24184325454545452</v>
      </c>
      <c r="AD9" s="31">
        <f t="shared" si="14"/>
        <v>0.2102460323232323</v>
      </c>
    </row>
    <row r="10" spans="1:30" ht="14.4" x14ac:dyDescent="0.3">
      <c r="A10" s="15">
        <v>250</v>
      </c>
      <c r="B10" s="7" t="s">
        <v>8</v>
      </c>
      <c r="C10" s="22" t="s">
        <v>19</v>
      </c>
      <c r="D10" s="23">
        <v>35000</v>
      </c>
      <c r="E10" s="24">
        <v>0.05</v>
      </c>
      <c r="F10" s="25">
        <v>28</v>
      </c>
      <c r="G10" s="26">
        <f t="shared" si="4"/>
        <v>29.4</v>
      </c>
      <c r="H10" s="27">
        <f t="shared" si="5"/>
        <v>1029</v>
      </c>
      <c r="I10" s="27">
        <f>C26</f>
        <v>2.08</v>
      </c>
      <c r="J10" s="89">
        <f t="shared" si="6"/>
        <v>2140.3200000000002</v>
      </c>
      <c r="K10" s="84">
        <f>E36</f>
        <v>1.1438383838383839E-3</v>
      </c>
      <c r="L10" s="28">
        <f t="shared" si="0"/>
        <v>40.034343434343434</v>
      </c>
      <c r="M10" s="29">
        <f>A18*B18</f>
        <v>128</v>
      </c>
      <c r="N10" s="29">
        <f>C18</f>
        <v>450</v>
      </c>
      <c r="O10" s="29">
        <f>E18+F18*D18</f>
        <v>17.5</v>
      </c>
      <c r="P10" s="29">
        <f t="shared" si="1"/>
        <v>77.777777777777771</v>
      </c>
      <c r="Q10" s="28">
        <f t="shared" si="7"/>
        <v>1361.1111111111111</v>
      </c>
      <c r="R10" s="26">
        <f t="shared" si="8"/>
        <v>3669.4654545454546</v>
      </c>
      <c r="S10" s="26">
        <f>G18</f>
        <v>0.3</v>
      </c>
      <c r="T10" s="26">
        <f t="shared" si="9"/>
        <v>4770.3050909090907</v>
      </c>
      <c r="U10" s="27">
        <f t="shared" si="2"/>
        <v>0.13629443116883116</v>
      </c>
      <c r="V10" s="78">
        <f>E19+F19*D19</f>
        <v>11.25</v>
      </c>
      <c r="W10" s="78">
        <f t="shared" si="10"/>
        <v>874.99999999999989</v>
      </c>
      <c r="X10" s="92">
        <f t="shared" si="11"/>
        <v>3183.3543434343437</v>
      </c>
      <c r="Y10" s="78">
        <f>G18</f>
        <v>0.3</v>
      </c>
      <c r="Z10" s="26">
        <f t="shared" si="12"/>
        <v>4138.3606464646473</v>
      </c>
      <c r="AA10" s="78">
        <f t="shared" si="3"/>
        <v>0.11823887561327563</v>
      </c>
      <c r="AB10" s="30">
        <v>75</v>
      </c>
      <c r="AC10" s="31">
        <f t="shared" si="13"/>
        <v>0.23851525454545452</v>
      </c>
      <c r="AD10" s="31">
        <f t="shared" si="14"/>
        <v>0.20691803232323236</v>
      </c>
    </row>
    <row r="11" spans="1:30" ht="14.4" x14ac:dyDescent="0.3">
      <c r="A11" s="15">
        <v>250</v>
      </c>
      <c r="B11" s="7" t="s">
        <v>9</v>
      </c>
      <c r="C11" s="22" t="s">
        <v>20</v>
      </c>
      <c r="D11" s="23">
        <v>45000</v>
      </c>
      <c r="E11" s="24">
        <v>0.05</v>
      </c>
      <c r="F11" s="25">
        <v>28</v>
      </c>
      <c r="G11" s="26">
        <f t="shared" si="4"/>
        <v>29.4</v>
      </c>
      <c r="H11" s="27">
        <f t="shared" si="5"/>
        <v>1323</v>
      </c>
      <c r="I11" s="27">
        <f>C26</f>
        <v>2.08</v>
      </c>
      <c r="J11" s="89">
        <f t="shared" si="6"/>
        <v>2751.84</v>
      </c>
      <c r="K11" s="84">
        <f>E36</f>
        <v>1.1438383838383839E-3</v>
      </c>
      <c r="L11" s="28">
        <f t="shared" si="0"/>
        <v>51.472727272727276</v>
      </c>
      <c r="M11" s="29">
        <f>A18*B18</f>
        <v>128</v>
      </c>
      <c r="N11" s="29">
        <f>C18</f>
        <v>450</v>
      </c>
      <c r="O11" s="29">
        <f>E18+F18*D18</f>
        <v>17.5</v>
      </c>
      <c r="P11" s="29">
        <f t="shared" si="1"/>
        <v>100</v>
      </c>
      <c r="Q11" s="28">
        <f t="shared" si="7"/>
        <v>1750</v>
      </c>
      <c r="R11" s="26">
        <f t="shared" si="8"/>
        <v>4681.312727272727</v>
      </c>
      <c r="S11" s="26">
        <f>G18</f>
        <v>0.3</v>
      </c>
      <c r="T11" s="26">
        <f t="shared" si="9"/>
        <v>6085.7065454545445</v>
      </c>
      <c r="U11" s="27">
        <f t="shared" si="2"/>
        <v>0.1352379232323232</v>
      </c>
      <c r="V11" s="78">
        <f>E19+F19*D19</f>
        <v>11.25</v>
      </c>
      <c r="W11" s="78">
        <f t="shared" si="10"/>
        <v>1125</v>
      </c>
      <c r="X11" s="92">
        <f t="shared" si="11"/>
        <v>4056.3127272727274</v>
      </c>
      <c r="Y11" s="78">
        <f>G18</f>
        <v>0.3</v>
      </c>
      <c r="Z11" s="26">
        <f t="shared" si="12"/>
        <v>5273.2065454545454</v>
      </c>
      <c r="AA11" s="78">
        <f t="shared" si="3"/>
        <v>0.11718236767676768</v>
      </c>
      <c r="AB11" s="30">
        <v>70</v>
      </c>
      <c r="AC11" s="31">
        <f t="shared" si="13"/>
        <v>0.22990446949494944</v>
      </c>
      <c r="AD11" s="31">
        <f t="shared" si="14"/>
        <v>0.19921002505050506</v>
      </c>
    </row>
    <row r="12" spans="1:30" ht="14.4" x14ac:dyDescent="0.3">
      <c r="A12" s="15">
        <v>250</v>
      </c>
      <c r="B12" s="7" t="s">
        <v>10</v>
      </c>
      <c r="C12" s="22" t="s">
        <v>21</v>
      </c>
      <c r="D12" s="23">
        <v>75000</v>
      </c>
      <c r="E12" s="24">
        <v>0.05</v>
      </c>
      <c r="F12" s="25">
        <v>28</v>
      </c>
      <c r="G12" s="26">
        <f t="shared" si="4"/>
        <v>29.4</v>
      </c>
      <c r="H12" s="27">
        <f t="shared" si="5"/>
        <v>2205</v>
      </c>
      <c r="I12" s="27">
        <f>C26</f>
        <v>2.08</v>
      </c>
      <c r="J12" s="89">
        <f t="shared" si="6"/>
        <v>4586.4000000000005</v>
      </c>
      <c r="K12" s="84">
        <f>E36</f>
        <v>1.1438383838383839E-3</v>
      </c>
      <c r="L12" s="28">
        <f t="shared" si="0"/>
        <v>85.787878787878796</v>
      </c>
      <c r="M12" s="29">
        <f>A18*B18</f>
        <v>128</v>
      </c>
      <c r="N12" s="29">
        <f>C18</f>
        <v>450</v>
      </c>
      <c r="O12" s="29">
        <f>E18+F18*D18</f>
        <v>17.5</v>
      </c>
      <c r="P12" s="29">
        <f t="shared" si="1"/>
        <v>166.66666666666666</v>
      </c>
      <c r="Q12" s="28">
        <f>O12*P12</f>
        <v>2916.6666666666665</v>
      </c>
      <c r="R12" s="26">
        <f t="shared" si="8"/>
        <v>7716.8545454545456</v>
      </c>
      <c r="S12" s="26">
        <f>G18</f>
        <v>0.3</v>
      </c>
      <c r="T12" s="26">
        <f t="shared" si="9"/>
        <v>10031.91090909091</v>
      </c>
      <c r="U12" s="27">
        <f t="shared" si="2"/>
        <v>0.13375881212121213</v>
      </c>
      <c r="V12" s="78">
        <f>E19+F19*D19</f>
        <v>11.25</v>
      </c>
      <c r="W12" s="78">
        <f t="shared" si="10"/>
        <v>1875</v>
      </c>
      <c r="X12" s="92">
        <f t="shared" si="11"/>
        <v>6675.1878787878795</v>
      </c>
      <c r="Y12" s="78">
        <f>G18</f>
        <v>0.3</v>
      </c>
      <c r="Z12" s="26">
        <f t="shared" si="12"/>
        <v>8677.7442424242436</v>
      </c>
      <c r="AA12" s="78">
        <f t="shared" si="3"/>
        <v>0.11570325656565658</v>
      </c>
      <c r="AB12" s="30">
        <v>70</v>
      </c>
      <c r="AC12" s="31">
        <f t="shared" si="13"/>
        <v>0.22738998060606061</v>
      </c>
      <c r="AD12" s="31">
        <f t="shared" si="14"/>
        <v>0.1966955361616162</v>
      </c>
    </row>
    <row r="13" spans="1:30" ht="14.4" x14ac:dyDescent="0.3">
      <c r="A13" s="15">
        <v>250</v>
      </c>
      <c r="B13" s="7" t="s">
        <v>11</v>
      </c>
      <c r="C13" s="22" t="s">
        <v>22</v>
      </c>
      <c r="D13" s="23">
        <v>125000</v>
      </c>
      <c r="E13" s="24">
        <v>0.03</v>
      </c>
      <c r="F13" s="25">
        <v>28</v>
      </c>
      <c r="G13" s="26">
        <f t="shared" si="4"/>
        <v>28.84</v>
      </c>
      <c r="H13" s="27">
        <f t="shared" si="5"/>
        <v>3605</v>
      </c>
      <c r="I13" s="27">
        <f>C26</f>
        <v>2.08</v>
      </c>
      <c r="J13" s="89">
        <f t="shared" si="6"/>
        <v>7498.4000000000005</v>
      </c>
      <c r="K13" s="84">
        <f>E36</f>
        <v>1.1438383838383839E-3</v>
      </c>
      <c r="L13" s="28">
        <f t="shared" si="0"/>
        <v>142.97979797979798</v>
      </c>
      <c r="M13" s="29">
        <f>A18*B18</f>
        <v>128</v>
      </c>
      <c r="N13" s="29">
        <f>C18</f>
        <v>450</v>
      </c>
      <c r="O13" s="29">
        <f>E18+F18*D18</f>
        <v>17.5</v>
      </c>
      <c r="P13" s="29">
        <f t="shared" si="1"/>
        <v>277.77777777777777</v>
      </c>
      <c r="Q13" s="28">
        <f t="shared" si="7"/>
        <v>4861.1111111111113</v>
      </c>
      <c r="R13" s="26">
        <f t="shared" si="8"/>
        <v>12630.49090909091</v>
      </c>
      <c r="S13" s="26">
        <f>G18</f>
        <v>0.3</v>
      </c>
      <c r="T13" s="26">
        <f t="shared" si="9"/>
        <v>16419.638181818184</v>
      </c>
      <c r="U13" s="27">
        <f t="shared" si="2"/>
        <v>0.13135710545454546</v>
      </c>
      <c r="V13" s="78">
        <f>E19+F19*D19</f>
        <v>11.25</v>
      </c>
      <c r="W13" s="78">
        <f t="shared" si="10"/>
        <v>3125</v>
      </c>
      <c r="X13" s="92">
        <f t="shared" si="11"/>
        <v>10894.379797979798</v>
      </c>
      <c r="Y13" s="78">
        <f>G18</f>
        <v>0.3</v>
      </c>
      <c r="Z13" s="26">
        <f t="shared" si="12"/>
        <v>14162.693737373738</v>
      </c>
      <c r="AA13" s="78">
        <f t="shared" si="3"/>
        <v>0.11330154989898991</v>
      </c>
      <c r="AB13" s="30">
        <v>65</v>
      </c>
      <c r="AC13" s="31">
        <f t="shared" si="13"/>
        <v>0.21673922400000001</v>
      </c>
      <c r="AD13" s="31">
        <f t="shared" si="14"/>
        <v>0.18694755733333335</v>
      </c>
    </row>
    <row r="14" spans="1:30" ht="15" thickBot="1" x14ac:dyDescent="0.35">
      <c r="A14" s="15">
        <v>250</v>
      </c>
      <c r="B14" s="7" t="s">
        <v>12</v>
      </c>
      <c r="C14" s="22" t="s">
        <v>23</v>
      </c>
      <c r="D14" s="23">
        <v>200000</v>
      </c>
      <c r="E14" s="24">
        <v>0.03</v>
      </c>
      <c r="F14" s="25">
        <v>28</v>
      </c>
      <c r="G14" s="26">
        <f t="shared" si="4"/>
        <v>28.84</v>
      </c>
      <c r="H14" s="27">
        <f t="shared" si="5"/>
        <v>5768</v>
      </c>
      <c r="I14" s="27">
        <f>C26</f>
        <v>2.08</v>
      </c>
      <c r="J14" s="89">
        <f t="shared" si="6"/>
        <v>11997.44</v>
      </c>
      <c r="K14" s="84">
        <f>E36</f>
        <v>1.1438383838383839E-3</v>
      </c>
      <c r="L14" s="28">
        <f t="shared" si="0"/>
        <v>228.76767676767679</v>
      </c>
      <c r="M14" s="29">
        <f>A18*B18</f>
        <v>128</v>
      </c>
      <c r="N14" s="29">
        <f>C18</f>
        <v>450</v>
      </c>
      <c r="O14" s="29">
        <f>E18+F18*D18</f>
        <v>17.5</v>
      </c>
      <c r="P14" s="29">
        <f t="shared" si="1"/>
        <v>444.44444444444446</v>
      </c>
      <c r="Q14" s="28">
        <f t="shared" si="7"/>
        <v>7777.7777777777783</v>
      </c>
      <c r="R14" s="26">
        <f t="shared" si="8"/>
        <v>20131.985454545455</v>
      </c>
      <c r="S14" s="26">
        <f>G18</f>
        <v>0.3</v>
      </c>
      <c r="T14" s="26">
        <f t="shared" si="9"/>
        <v>26171.581090909091</v>
      </c>
      <c r="U14" s="27">
        <f t="shared" si="2"/>
        <v>0.13085790545454545</v>
      </c>
      <c r="V14" s="78">
        <f>E19+F19*D19</f>
        <v>11.25</v>
      </c>
      <c r="W14" s="78">
        <f t="shared" si="10"/>
        <v>5000</v>
      </c>
      <c r="X14" s="92">
        <f t="shared" si="11"/>
        <v>17354.207676767677</v>
      </c>
      <c r="Y14" s="78">
        <f>G18</f>
        <v>0.3</v>
      </c>
      <c r="Z14" s="26">
        <f t="shared" si="12"/>
        <v>22560.469979797981</v>
      </c>
      <c r="AA14" s="78">
        <f t="shared" si="3"/>
        <v>0.11280234989898991</v>
      </c>
      <c r="AB14" s="30">
        <v>60</v>
      </c>
      <c r="AC14" s="32">
        <f t="shared" si="13"/>
        <v>0.20937264872727274</v>
      </c>
      <c r="AD14" s="32">
        <f t="shared" si="14"/>
        <v>0.18048375983838386</v>
      </c>
    </row>
    <row r="15" spans="1:30" ht="14.4" thickBot="1" x14ac:dyDescent="0.35"/>
    <row r="16" spans="1:30" x14ac:dyDescent="0.3">
      <c r="A16" s="33" t="s">
        <v>27</v>
      </c>
      <c r="B16" s="34"/>
      <c r="C16" s="34"/>
      <c r="D16" s="34"/>
      <c r="E16" s="34"/>
      <c r="F16" s="34"/>
      <c r="G16" s="35"/>
      <c r="AC16" s="80"/>
    </row>
    <row r="17" spans="1:12" x14ac:dyDescent="0.3">
      <c r="A17" s="36" t="s">
        <v>28</v>
      </c>
      <c r="B17" s="37" t="s">
        <v>29</v>
      </c>
      <c r="C17" s="37" t="s">
        <v>30</v>
      </c>
      <c r="D17" s="37" t="s">
        <v>31</v>
      </c>
      <c r="E17" s="37" t="s">
        <v>32</v>
      </c>
      <c r="F17" s="37" t="s">
        <v>33</v>
      </c>
      <c r="G17" s="38" t="s">
        <v>34</v>
      </c>
      <c r="J17" s="39"/>
      <c r="K17" s="85"/>
      <c r="L17" s="14" t="s">
        <v>59</v>
      </c>
    </row>
    <row r="18" spans="1:12" ht="14.4" thickBot="1" x14ac:dyDescent="0.35">
      <c r="A18" s="40">
        <v>4</v>
      </c>
      <c r="B18" s="41">
        <v>32</v>
      </c>
      <c r="C18" s="41">
        <v>450</v>
      </c>
      <c r="D18" s="41">
        <v>0.5</v>
      </c>
      <c r="E18" s="41">
        <v>5</v>
      </c>
      <c r="F18" s="42">
        <v>25</v>
      </c>
      <c r="G18" s="43">
        <v>0.3</v>
      </c>
    </row>
    <row r="19" spans="1:12" ht="14.4" thickBot="1" x14ac:dyDescent="0.35">
      <c r="A19" s="40">
        <v>4</v>
      </c>
      <c r="B19" s="41">
        <v>32</v>
      </c>
      <c r="C19" s="41">
        <v>450</v>
      </c>
      <c r="D19" s="41">
        <v>0.25</v>
      </c>
      <c r="E19" s="41">
        <v>5</v>
      </c>
      <c r="F19" s="42">
        <v>25</v>
      </c>
      <c r="G19" s="43">
        <v>0.3</v>
      </c>
    </row>
    <row r="20" spans="1:12" ht="14.4" thickBot="1" x14ac:dyDescent="0.35">
      <c r="J20" s="44"/>
      <c r="K20" s="86"/>
      <c r="L20" s="14" t="s">
        <v>60</v>
      </c>
    </row>
    <row r="21" spans="1:12" x14ac:dyDescent="0.3">
      <c r="A21" s="45" t="s">
        <v>35</v>
      </c>
      <c r="B21" s="46"/>
      <c r="C21" s="46" t="s">
        <v>36</v>
      </c>
      <c r="D21" s="47" t="s">
        <v>37</v>
      </c>
    </row>
    <row r="22" spans="1:12" x14ac:dyDescent="0.3">
      <c r="A22" s="48" t="s">
        <v>40</v>
      </c>
      <c r="B22" s="49">
        <v>2</v>
      </c>
      <c r="C22" s="50">
        <v>96</v>
      </c>
      <c r="D22" s="51"/>
    </row>
    <row r="23" spans="1:12" x14ac:dyDescent="0.3">
      <c r="A23" s="48" t="s">
        <v>40</v>
      </c>
      <c r="B23" s="49">
        <v>4</v>
      </c>
      <c r="C23" s="50">
        <v>4</v>
      </c>
      <c r="D23" s="51"/>
    </row>
    <row r="24" spans="1:12" x14ac:dyDescent="0.3">
      <c r="A24" s="48" t="s">
        <v>40</v>
      </c>
      <c r="B24" s="49">
        <v>0</v>
      </c>
      <c r="C24" s="50"/>
      <c r="D24" s="51"/>
    </row>
    <row r="25" spans="1:12" ht="14.4" thickBot="1" x14ac:dyDescent="0.35">
      <c r="A25" s="48" t="s">
        <v>44</v>
      </c>
      <c r="B25" s="49">
        <v>0</v>
      </c>
      <c r="C25" s="50"/>
      <c r="D25" s="51"/>
    </row>
    <row r="26" spans="1:12" ht="14.4" thickBot="1" x14ac:dyDescent="0.35">
      <c r="A26" s="52" t="s">
        <v>45</v>
      </c>
      <c r="B26" s="53">
        <f>SUM(B22:B25)</f>
        <v>6</v>
      </c>
      <c r="C26" s="54">
        <f>(B22*C22/100)+(B23*C23/100)+(B24*C24/100)+(B25*C25/100)</f>
        <v>2.08</v>
      </c>
      <c r="D26" s="55" t="s">
        <v>62</v>
      </c>
    </row>
    <row r="27" spans="1:12" ht="14.4" thickBot="1" x14ac:dyDescent="0.35"/>
    <row r="28" spans="1:12" x14ac:dyDescent="0.3">
      <c r="A28" s="56" t="s">
        <v>38</v>
      </c>
      <c r="B28" s="57"/>
      <c r="C28" s="58"/>
      <c r="D28" s="59" t="s">
        <v>39</v>
      </c>
      <c r="E28" s="60" t="s">
        <v>97</v>
      </c>
    </row>
    <row r="29" spans="1:12" x14ac:dyDescent="0.3">
      <c r="A29" s="61" t="s">
        <v>42</v>
      </c>
      <c r="B29" s="62">
        <v>1100</v>
      </c>
      <c r="C29" s="63"/>
      <c r="D29" s="64"/>
      <c r="E29" s="65"/>
    </row>
    <row r="30" spans="1:12" x14ac:dyDescent="0.3">
      <c r="A30" s="61" t="s">
        <v>86</v>
      </c>
      <c r="B30" s="62">
        <v>9</v>
      </c>
      <c r="C30" s="63" t="s">
        <v>41</v>
      </c>
      <c r="D30" s="66">
        <v>0.68100000000000005</v>
      </c>
      <c r="E30" s="65">
        <f>D30*B30</f>
        <v>6.1290000000000004</v>
      </c>
    </row>
    <row r="31" spans="1:12" x14ac:dyDescent="0.3">
      <c r="A31" s="61" t="s">
        <v>87</v>
      </c>
      <c r="B31" s="62">
        <f>B30*B29</f>
        <v>9900</v>
      </c>
      <c r="C31" s="67"/>
      <c r="D31" s="68"/>
      <c r="E31" s="65"/>
    </row>
    <row r="32" spans="1:12" x14ac:dyDescent="0.3">
      <c r="A32" s="61" t="s">
        <v>88</v>
      </c>
      <c r="B32" s="62">
        <v>9</v>
      </c>
      <c r="C32" s="63" t="s">
        <v>43</v>
      </c>
      <c r="D32" s="69">
        <v>0.13800000000000001</v>
      </c>
      <c r="E32" s="65">
        <f>D32*B32</f>
        <v>1.242</v>
      </c>
    </row>
    <row r="33" spans="1:5" x14ac:dyDescent="0.3">
      <c r="A33" s="61" t="s">
        <v>46</v>
      </c>
      <c r="B33" s="62">
        <f>B32*5</f>
        <v>45</v>
      </c>
      <c r="C33" s="63" t="s">
        <v>47</v>
      </c>
      <c r="D33" s="66">
        <v>4.3400000000000001E-2</v>
      </c>
      <c r="E33" s="65">
        <f>D33*B33</f>
        <v>1.9530000000000001</v>
      </c>
    </row>
    <row r="34" spans="1:5" ht="14.4" thickBot="1" x14ac:dyDescent="0.35">
      <c r="A34" s="70" t="s">
        <v>48</v>
      </c>
      <c r="B34" s="71" t="s">
        <v>49</v>
      </c>
      <c r="C34" s="72" t="s">
        <v>50</v>
      </c>
      <c r="D34" s="73">
        <v>2</v>
      </c>
      <c r="E34" s="74">
        <f>D34</f>
        <v>2</v>
      </c>
    </row>
    <row r="35" spans="1:5" ht="14.4" thickBot="1" x14ac:dyDescent="0.35">
      <c r="E35" s="75">
        <f>SUM(E29:E34)</f>
        <v>11.324</v>
      </c>
    </row>
    <row r="36" spans="1:5" ht="14.4" thickBot="1" x14ac:dyDescent="0.35">
      <c r="D36" s="76" t="s">
        <v>98</v>
      </c>
      <c r="E36" s="77">
        <f>E35/B31</f>
        <v>1.1438383838383839E-3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E7F4-3D96-4A1A-BB75-72C9CBF23DD4}">
  <dimension ref="A2:AD36"/>
  <sheetViews>
    <sheetView topLeftCell="G1" workbookViewId="0">
      <selection activeCell="T4" sqref="T4:T14"/>
    </sheetView>
  </sheetViews>
  <sheetFormatPr defaultColWidth="9.109375" defaultRowHeight="13.8" x14ac:dyDescent="0.3"/>
  <cols>
    <col min="1" max="1" width="28.6640625" style="14" bestFit="1" customWidth="1"/>
    <col min="2" max="2" width="10.109375" style="14" bestFit="1" customWidth="1"/>
    <col min="3" max="3" width="21" style="14" bestFit="1" customWidth="1"/>
    <col min="4" max="4" width="12.44140625" style="14" bestFit="1" customWidth="1"/>
    <col min="5" max="5" width="21" style="14" bestFit="1" customWidth="1"/>
    <col min="6" max="6" width="14.88671875" style="14" bestFit="1" customWidth="1"/>
    <col min="7" max="7" width="23.5546875" style="14" bestFit="1" customWidth="1"/>
    <col min="8" max="8" width="18.6640625" style="14" customWidth="1"/>
    <col min="9" max="9" width="0.109375" style="14" customWidth="1"/>
    <col min="10" max="10" width="9.5546875" style="14" bestFit="1" customWidth="1"/>
    <col min="11" max="11" width="15.33203125" style="82" customWidth="1"/>
    <col min="12" max="12" width="17.5546875" style="14" bestFit="1" customWidth="1"/>
    <col min="13" max="13" width="19.33203125" style="14" customWidth="1"/>
    <col min="14" max="14" width="9.109375" style="14" customWidth="1"/>
    <col min="15" max="15" width="22.88671875" style="14" customWidth="1"/>
    <col min="16" max="16" width="11.88671875" style="14" customWidth="1"/>
    <col min="17" max="17" width="23.5546875" style="14" bestFit="1" customWidth="1"/>
    <col min="18" max="18" width="24.33203125" style="14" customWidth="1"/>
    <col min="19" max="19" width="11" style="14" customWidth="1"/>
    <col min="20" max="20" width="35.5546875" style="14" bestFit="1" customWidth="1"/>
    <col min="21" max="21" width="14.6640625" style="14" bestFit="1" customWidth="1"/>
    <col min="22" max="27" width="14.6640625" style="14" customWidth="1"/>
    <col min="28" max="28" width="16.5546875" style="14" bestFit="1" customWidth="1"/>
    <col min="29" max="29" width="17.44140625" style="14" bestFit="1" customWidth="1"/>
    <col min="30" max="30" width="11.88671875" style="14" bestFit="1" customWidth="1"/>
    <col min="31" max="16384" width="9.109375" style="14"/>
  </cols>
  <sheetData>
    <row r="2" spans="1:30" ht="14.4" thickBot="1" x14ac:dyDescent="0.35"/>
    <row r="3" spans="1:30" ht="74.25" customHeight="1" thickBot="1" x14ac:dyDescent="0.35">
      <c r="A3" s="15" t="s">
        <v>57</v>
      </c>
      <c r="B3" s="15" t="s">
        <v>24</v>
      </c>
      <c r="C3" s="15" t="s">
        <v>25</v>
      </c>
      <c r="D3" s="15" t="s">
        <v>26</v>
      </c>
      <c r="E3" s="15" t="s">
        <v>55</v>
      </c>
      <c r="F3" s="15" t="s">
        <v>58</v>
      </c>
      <c r="G3" s="16" t="s">
        <v>51</v>
      </c>
      <c r="H3" s="17" t="s">
        <v>52</v>
      </c>
      <c r="I3" s="17" t="s">
        <v>61</v>
      </c>
      <c r="J3" s="90" t="s">
        <v>53</v>
      </c>
      <c r="K3" s="83" t="s">
        <v>99</v>
      </c>
      <c r="L3" s="18" t="s">
        <v>96</v>
      </c>
      <c r="M3" s="19" t="s">
        <v>54</v>
      </c>
      <c r="N3" s="19" t="s">
        <v>100</v>
      </c>
      <c r="O3" s="19" t="s">
        <v>108</v>
      </c>
      <c r="P3" s="19" t="s">
        <v>101</v>
      </c>
      <c r="Q3" s="91" t="s">
        <v>116</v>
      </c>
      <c r="R3" s="87" t="s">
        <v>107</v>
      </c>
      <c r="S3" s="88" t="s">
        <v>102</v>
      </c>
      <c r="T3" s="87" t="s">
        <v>104</v>
      </c>
      <c r="U3" s="87" t="s">
        <v>105</v>
      </c>
      <c r="V3" s="19" t="s">
        <v>109</v>
      </c>
      <c r="W3" s="20" t="s">
        <v>110</v>
      </c>
      <c r="X3" s="20"/>
      <c r="Y3" s="20"/>
      <c r="Z3" s="20" t="s">
        <v>111</v>
      </c>
      <c r="AA3" s="20" t="s">
        <v>112</v>
      </c>
      <c r="AB3" s="20" t="s">
        <v>103</v>
      </c>
      <c r="AC3" s="79" t="s">
        <v>106</v>
      </c>
      <c r="AD3" s="21" t="s">
        <v>113</v>
      </c>
    </row>
    <row r="4" spans="1:30" ht="14.4" x14ac:dyDescent="0.3">
      <c r="A4" s="15">
        <v>250</v>
      </c>
      <c r="B4" s="7" t="s">
        <v>2</v>
      </c>
      <c r="C4" s="22" t="s">
        <v>13</v>
      </c>
      <c r="D4" s="23">
        <v>2000</v>
      </c>
      <c r="E4" s="24">
        <v>0.1</v>
      </c>
      <c r="F4" s="25">
        <v>28</v>
      </c>
      <c r="G4" s="26">
        <f>F4+F4*E4</f>
        <v>30.8</v>
      </c>
      <c r="H4" s="27">
        <f>(G4*D4)/1000</f>
        <v>61.6</v>
      </c>
      <c r="I4" s="27">
        <f>C26</f>
        <v>2.52</v>
      </c>
      <c r="J4" s="89">
        <f>H4*I4</f>
        <v>155.232</v>
      </c>
      <c r="K4" s="84">
        <f>E36</f>
        <v>1.1438383838383839E-3</v>
      </c>
      <c r="L4" s="28">
        <f t="shared" ref="L4:L14" si="0">K4*D4</f>
        <v>2.2876767676767678</v>
      </c>
      <c r="M4" s="29">
        <f>A18*B18</f>
        <v>128</v>
      </c>
      <c r="N4" s="29">
        <f>C18</f>
        <v>450</v>
      </c>
      <c r="O4" s="29">
        <f>E18+F18*D18</f>
        <v>17.5</v>
      </c>
      <c r="P4" s="29">
        <f t="shared" ref="P4:P14" si="1">D4/N4</f>
        <v>4.4444444444444446</v>
      </c>
      <c r="Q4" s="28">
        <f>O4*P4</f>
        <v>77.777777777777786</v>
      </c>
      <c r="R4" s="26">
        <f>Q4+L4+J4+M4</f>
        <v>363.29745454545457</v>
      </c>
      <c r="S4" s="26">
        <f>G18</f>
        <v>0.3</v>
      </c>
      <c r="T4" s="26">
        <f>R4+R4*S4</f>
        <v>472.28669090909091</v>
      </c>
      <c r="U4" s="27">
        <f t="shared" ref="U4:U14" si="2">T4/D4</f>
        <v>0.23614334545454546</v>
      </c>
      <c r="V4" s="78">
        <f>E19+F19*D19</f>
        <v>11.25</v>
      </c>
      <c r="W4" s="78">
        <f>V4*P4</f>
        <v>50</v>
      </c>
      <c r="X4" s="92">
        <f>W4+M4+L4+J4</f>
        <v>335.51967676767674</v>
      </c>
      <c r="Y4" s="78">
        <f>G18</f>
        <v>0.3</v>
      </c>
      <c r="Z4" s="26">
        <f>X4+X4*Y4</f>
        <v>436.17557979797976</v>
      </c>
      <c r="AA4" s="78">
        <f t="shared" ref="AA4:AA14" si="3">Z4/D4</f>
        <v>0.21808778989898989</v>
      </c>
      <c r="AB4" s="30">
        <v>180</v>
      </c>
      <c r="AC4" s="81">
        <f>U4*2+(U4*2*80/100)</f>
        <v>0.85011604363636362</v>
      </c>
      <c r="AD4" s="81">
        <f>AA4*2+(AA4*2*80/100)</f>
        <v>0.78511604363636356</v>
      </c>
    </row>
    <row r="5" spans="1:30" ht="14.4" x14ac:dyDescent="0.3">
      <c r="A5" s="15">
        <v>250</v>
      </c>
      <c r="B5" s="7" t="s">
        <v>3</v>
      </c>
      <c r="C5" s="22" t="s">
        <v>14</v>
      </c>
      <c r="D5" s="23">
        <v>4000</v>
      </c>
      <c r="E5" s="24">
        <v>0.1</v>
      </c>
      <c r="F5" s="25">
        <v>28</v>
      </c>
      <c r="G5" s="26">
        <f t="shared" ref="G5:G14" si="4">F5+F5*E5</f>
        <v>30.8</v>
      </c>
      <c r="H5" s="27">
        <f t="shared" ref="H5:H14" si="5">(G5*D5)/1000</f>
        <v>123.2</v>
      </c>
      <c r="I5" s="27">
        <f>C26</f>
        <v>2.52</v>
      </c>
      <c r="J5" s="89">
        <f t="shared" ref="J5:J14" si="6">H5*I5</f>
        <v>310.464</v>
      </c>
      <c r="K5" s="84">
        <f>E36</f>
        <v>1.1438383838383839E-3</v>
      </c>
      <c r="L5" s="28">
        <f t="shared" si="0"/>
        <v>4.5753535353535355</v>
      </c>
      <c r="M5" s="29">
        <f>A18*B18</f>
        <v>128</v>
      </c>
      <c r="N5" s="29">
        <f>C18</f>
        <v>450</v>
      </c>
      <c r="O5" s="29">
        <f>E18+F18*D18</f>
        <v>17.5</v>
      </c>
      <c r="P5" s="29">
        <f t="shared" si="1"/>
        <v>8.8888888888888893</v>
      </c>
      <c r="Q5" s="28">
        <f t="shared" ref="Q5:Q14" si="7">O5*P5</f>
        <v>155.55555555555557</v>
      </c>
      <c r="R5" s="26">
        <f t="shared" ref="R5:R14" si="8">Q5+L5+J5+M5</f>
        <v>598.59490909090914</v>
      </c>
      <c r="S5" s="26">
        <f>G18</f>
        <v>0.3</v>
      </c>
      <c r="T5" s="26">
        <f t="shared" ref="T5:T14" si="9">R5+R5*S5</f>
        <v>778.17338181818184</v>
      </c>
      <c r="U5" s="27">
        <f t="shared" si="2"/>
        <v>0.19454334545454546</v>
      </c>
      <c r="V5" s="78">
        <f>E19+F19*D19</f>
        <v>11.25</v>
      </c>
      <c r="W5" s="78">
        <f t="shared" ref="W5:W14" si="10">V5*P5</f>
        <v>100</v>
      </c>
      <c r="X5" s="92">
        <f t="shared" ref="X5:X14" si="11">W5+M5+L5+J5</f>
        <v>543.03935353535348</v>
      </c>
      <c r="Y5" s="78">
        <f>G18</f>
        <v>0.3</v>
      </c>
      <c r="Z5" s="26">
        <f t="shared" ref="Z5:Z14" si="12">X5+X5*Y5</f>
        <v>705.95115959595955</v>
      </c>
      <c r="AA5" s="78">
        <f t="shared" si="3"/>
        <v>0.17648778989898989</v>
      </c>
      <c r="AB5" s="30">
        <v>160</v>
      </c>
      <c r="AC5" s="31">
        <f>U5*2+(U5*2*80/100)</f>
        <v>0.70035604363636361</v>
      </c>
      <c r="AD5" s="31">
        <f>AA5*2+(AA5*2*80/100)</f>
        <v>0.63535604363636355</v>
      </c>
    </row>
    <row r="6" spans="1:30" ht="14.4" x14ac:dyDescent="0.3">
      <c r="A6" s="15">
        <v>250</v>
      </c>
      <c r="B6" s="7" t="s">
        <v>4</v>
      </c>
      <c r="C6" s="22" t="s">
        <v>15</v>
      </c>
      <c r="D6" s="23">
        <v>7500</v>
      </c>
      <c r="E6" s="24">
        <v>7.0000000000000007E-2</v>
      </c>
      <c r="F6" s="25">
        <v>28</v>
      </c>
      <c r="G6" s="26">
        <f t="shared" si="4"/>
        <v>29.96</v>
      </c>
      <c r="H6" s="27">
        <f t="shared" si="5"/>
        <v>224.7</v>
      </c>
      <c r="I6" s="27">
        <f>C26</f>
        <v>2.52</v>
      </c>
      <c r="J6" s="89">
        <f t="shared" si="6"/>
        <v>566.24400000000003</v>
      </c>
      <c r="K6" s="84">
        <f>E36</f>
        <v>1.1438383838383839E-3</v>
      </c>
      <c r="L6" s="28">
        <f t="shared" si="0"/>
        <v>8.57878787878788</v>
      </c>
      <c r="M6" s="29">
        <f>A18*B18</f>
        <v>128</v>
      </c>
      <c r="N6" s="29">
        <f>C18</f>
        <v>450</v>
      </c>
      <c r="O6" s="29">
        <f>E18+F18*D18</f>
        <v>17.5</v>
      </c>
      <c r="P6" s="29">
        <f t="shared" si="1"/>
        <v>16.666666666666668</v>
      </c>
      <c r="Q6" s="28">
        <f t="shared" si="7"/>
        <v>291.66666666666669</v>
      </c>
      <c r="R6" s="26">
        <f t="shared" si="8"/>
        <v>994.48945454545458</v>
      </c>
      <c r="S6" s="26">
        <f>G18</f>
        <v>0.3</v>
      </c>
      <c r="T6" s="26">
        <f t="shared" si="9"/>
        <v>1292.8362909090911</v>
      </c>
      <c r="U6" s="27">
        <f t="shared" si="2"/>
        <v>0.17237817212121215</v>
      </c>
      <c r="V6" s="78">
        <f>E19+F19*D19</f>
        <v>11.25</v>
      </c>
      <c r="W6" s="78">
        <f t="shared" si="10"/>
        <v>187.5</v>
      </c>
      <c r="X6" s="92">
        <f t="shared" si="11"/>
        <v>890.32278787878795</v>
      </c>
      <c r="Y6" s="78">
        <f>G18</f>
        <v>0.3</v>
      </c>
      <c r="Z6" s="26">
        <f t="shared" si="12"/>
        <v>1157.4196242424243</v>
      </c>
      <c r="AA6" s="78">
        <f t="shared" si="3"/>
        <v>0.15432261656565657</v>
      </c>
      <c r="AB6" s="30">
        <v>140</v>
      </c>
      <c r="AC6" s="31">
        <f>U6*2+(U6*2*80/100)</f>
        <v>0.62056141963636369</v>
      </c>
      <c r="AD6" s="31">
        <f>AA6*2+(AA6*2*80/100)</f>
        <v>0.55556141963636363</v>
      </c>
    </row>
    <row r="7" spans="1:30" ht="14.4" x14ac:dyDescent="0.3">
      <c r="A7" s="15">
        <v>250</v>
      </c>
      <c r="B7" s="7" t="s">
        <v>5</v>
      </c>
      <c r="C7" s="22" t="s">
        <v>16</v>
      </c>
      <c r="D7" s="23">
        <v>12500</v>
      </c>
      <c r="E7" s="24">
        <v>7.0000000000000007E-2</v>
      </c>
      <c r="F7" s="25">
        <v>28</v>
      </c>
      <c r="G7" s="26">
        <f t="shared" si="4"/>
        <v>29.96</v>
      </c>
      <c r="H7" s="27">
        <f t="shared" si="5"/>
        <v>374.5</v>
      </c>
      <c r="I7" s="27">
        <f>C26</f>
        <v>2.52</v>
      </c>
      <c r="J7" s="89">
        <f t="shared" si="6"/>
        <v>943.74</v>
      </c>
      <c r="K7" s="84">
        <f>E36</f>
        <v>1.1438383838383839E-3</v>
      </c>
      <c r="L7" s="28">
        <f t="shared" si="0"/>
        <v>14.297979797979799</v>
      </c>
      <c r="M7" s="29">
        <f>A18*B18</f>
        <v>128</v>
      </c>
      <c r="N7" s="29">
        <f>C18</f>
        <v>450</v>
      </c>
      <c r="O7" s="29">
        <f>E18+F18*D18</f>
        <v>17.5</v>
      </c>
      <c r="P7" s="29">
        <f t="shared" si="1"/>
        <v>27.777777777777779</v>
      </c>
      <c r="Q7" s="28">
        <f t="shared" si="7"/>
        <v>486.11111111111114</v>
      </c>
      <c r="R7" s="26">
        <f t="shared" si="8"/>
        <v>1572.149090909091</v>
      </c>
      <c r="S7" s="26">
        <f>G18</f>
        <v>0.3</v>
      </c>
      <c r="T7" s="26">
        <f t="shared" si="9"/>
        <v>2043.7938181818183</v>
      </c>
      <c r="U7" s="27">
        <f t="shared" si="2"/>
        <v>0.16350350545454548</v>
      </c>
      <c r="V7" s="78">
        <f>E19+F19*D19</f>
        <v>11.25</v>
      </c>
      <c r="W7" s="78">
        <f t="shared" si="10"/>
        <v>312.5</v>
      </c>
      <c r="X7" s="92">
        <f t="shared" si="11"/>
        <v>1398.5379797979799</v>
      </c>
      <c r="Y7" s="78">
        <f>G18</f>
        <v>0.3</v>
      </c>
      <c r="Z7" s="26">
        <f t="shared" si="12"/>
        <v>1818.0993737373738</v>
      </c>
      <c r="AA7" s="78">
        <f t="shared" si="3"/>
        <v>0.1454479498989899</v>
      </c>
      <c r="AB7" s="30">
        <v>85</v>
      </c>
      <c r="AC7" s="31">
        <f>U7+U7*AB7/100</f>
        <v>0.30248148509090911</v>
      </c>
      <c r="AD7" s="31">
        <f>AA7+AA7*AB7/100</f>
        <v>0.26907870731313133</v>
      </c>
    </row>
    <row r="8" spans="1:30" ht="14.4" x14ac:dyDescent="0.3">
      <c r="A8" s="15">
        <v>250</v>
      </c>
      <c r="B8" s="7" t="s">
        <v>6</v>
      </c>
      <c r="C8" s="22" t="s">
        <v>17</v>
      </c>
      <c r="D8" s="23">
        <v>17500</v>
      </c>
      <c r="E8" s="24">
        <v>7.0000000000000007E-2</v>
      </c>
      <c r="F8" s="25">
        <v>28</v>
      </c>
      <c r="G8" s="26">
        <f t="shared" si="4"/>
        <v>29.96</v>
      </c>
      <c r="H8" s="27">
        <f t="shared" si="5"/>
        <v>524.29999999999995</v>
      </c>
      <c r="I8" s="27">
        <f>C26</f>
        <v>2.52</v>
      </c>
      <c r="J8" s="89">
        <f t="shared" si="6"/>
        <v>1321.2359999999999</v>
      </c>
      <c r="K8" s="84">
        <f>E36</f>
        <v>1.1438383838383839E-3</v>
      </c>
      <c r="L8" s="28">
        <f t="shared" si="0"/>
        <v>20.017171717171717</v>
      </c>
      <c r="M8" s="29">
        <f>A18*B18</f>
        <v>128</v>
      </c>
      <c r="N8" s="29">
        <f>C18</f>
        <v>450</v>
      </c>
      <c r="O8" s="29">
        <f>E18+F18*D18</f>
        <v>17.5</v>
      </c>
      <c r="P8" s="29">
        <f t="shared" si="1"/>
        <v>38.888888888888886</v>
      </c>
      <c r="Q8" s="28">
        <f t="shared" si="7"/>
        <v>680.55555555555554</v>
      </c>
      <c r="R8" s="26">
        <f t="shared" si="8"/>
        <v>2149.8087272727271</v>
      </c>
      <c r="S8" s="26">
        <f>G18</f>
        <v>0.3</v>
      </c>
      <c r="T8" s="26">
        <f t="shared" si="9"/>
        <v>2794.7513454545451</v>
      </c>
      <c r="U8" s="27">
        <f t="shared" si="2"/>
        <v>0.15970007688311685</v>
      </c>
      <c r="V8" s="78">
        <f>E19+F19*D19</f>
        <v>11.25</v>
      </c>
      <c r="W8" s="78">
        <f t="shared" si="10"/>
        <v>437.49999999999994</v>
      </c>
      <c r="X8" s="92">
        <f t="shared" si="11"/>
        <v>1906.7531717171714</v>
      </c>
      <c r="Y8" s="78">
        <f>G18</f>
        <v>0.3</v>
      </c>
      <c r="Z8" s="26">
        <f t="shared" si="12"/>
        <v>2478.7791232323229</v>
      </c>
      <c r="AA8" s="78">
        <f t="shared" si="3"/>
        <v>0.14164452132756131</v>
      </c>
      <c r="AB8" s="30">
        <v>80</v>
      </c>
      <c r="AC8" s="31">
        <f t="shared" ref="AC8:AC14" si="13">U8+U8*AB8/100</f>
        <v>0.28746013838961032</v>
      </c>
      <c r="AD8" s="31">
        <f t="shared" ref="AD8:AD14" si="14">AA8+AA8*AB8/100</f>
        <v>0.25496013838961035</v>
      </c>
    </row>
    <row r="9" spans="1:30" ht="14.4" x14ac:dyDescent="0.3">
      <c r="A9" s="15">
        <v>250</v>
      </c>
      <c r="B9" s="7" t="s">
        <v>7</v>
      </c>
      <c r="C9" s="22" t="s">
        <v>18</v>
      </c>
      <c r="D9" s="23">
        <v>25000</v>
      </c>
      <c r="E9" s="24">
        <v>0.05</v>
      </c>
      <c r="F9" s="25">
        <v>28</v>
      </c>
      <c r="G9" s="26">
        <f t="shared" si="4"/>
        <v>29.4</v>
      </c>
      <c r="H9" s="27">
        <f t="shared" si="5"/>
        <v>735</v>
      </c>
      <c r="I9" s="27">
        <f>C26</f>
        <v>2.52</v>
      </c>
      <c r="J9" s="89">
        <f t="shared" si="6"/>
        <v>1852.2</v>
      </c>
      <c r="K9" s="84">
        <f>E36</f>
        <v>1.1438383838383839E-3</v>
      </c>
      <c r="L9" s="28">
        <f t="shared" si="0"/>
        <v>28.595959595959599</v>
      </c>
      <c r="M9" s="29">
        <f>A18*B18</f>
        <v>128</v>
      </c>
      <c r="N9" s="29">
        <f>C18</f>
        <v>450</v>
      </c>
      <c r="O9" s="29">
        <f>E18+F18*D18</f>
        <v>17.5</v>
      </c>
      <c r="P9" s="29">
        <f t="shared" si="1"/>
        <v>55.555555555555557</v>
      </c>
      <c r="Q9" s="28">
        <f t="shared" si="7"/>
        <v>972.22222222222229</v>
      </c>
      <c r="R9" s="26">
        <f t="shared" si="8"/>
        <v>2981.0181818181818</v>
      </c>
      <c r="S9" s="26">
        <f>G18</f>
        <v>0.3</v>
      </c>
      <c r="T9" s="26">
        <f t="shared" si="9"/>
        <v>3875.3236363636361</v>
      </c>
      <c r="U9" s="27">
        <f t="shared" si="2"/>
        <v>0.15501294545454544</v>
      </c>
      <c r="V9" s="78">
        <f>E19+F19*D19</f>
        <v>11.25</v>
      </c>
      <c r="W9" s="78">
        <f t="shared" si="10"/>
        <v>625</v>
      </c>
      <c r="X9" s="92">
        <f t="shared" si="11"/>
        <v>2633.7959595959596</v>
      </c>
      <c r="Y9" s="78">
        <f>G18</f>
        <v>0.3</v>
      </c>
      <c r="Z9" s="26">
        <f t="shared" si="12"/>
        <v>3423.9347474747474</v>
      </c>
      <c r="AA9" s="78">
        <f t="shared" si="3"/>
        <v>0.1369573898989899</v>
      </c>
      <c r="AB9" s="30">
        <v>75</v>
      </c>
      <c r="AC9" s="31">
        <f t="shared" si="13"/>
        <v>0.27127265454545452</v>
      </c>
      <c r="AD9" s="31">
        <f t="shared" si="14"/>
        <v>0.2396754323232323</v>
      </c>
    </row>
    <row r="10" spans="1:30" ht="14.4" x14ac:dyDescent="0.3">
      <c r="A10" s="15">
        <v>250</v>
      </c>
      <c r="B10" s="7" t="s">
        <v>8</v>
      </c>
      <c r="C10" s="22" t="s">
        <v>19</v>
      </c>
      <c r="D10" s="23">
        <v>35000</v>
      </c>
      <c r="E10" s="24">
        <v>0.05</v>
      </c>
      <c r="F10" s="25">
        <v>28</v>
      </c>
      <c r="G10" s="26">
        <f t="shared" si="4"/>
        <v>29.4</v>
      </c>
      <c r="H10" s="27">
        <f t="shared" si="5"/>
        <v>1029</v>
      </c>
      <c r="I10" s="27">
        <f>C26</f>
        <v>2.52</v>
      </c>
      <c r="J10" s="89">
        <f t="shared" si="6"/>
        <v>2593.08</v>
      </c>
      <c r="K10" s="84">
        <f>E36</f>
        <v>1.1438383838383839E-3</v>
      </c>
      <c r="L10" s="28">
        <f t="shared" si="0"/>
        <v>40.034343434343434</v>
      </c>
      <c r="M10" s="29">
        <f>A18*B18</f>
        <v>128</v>
      </c>
      <c r="N10" s="29">
        <f>C18</f>
        <v>450</v>
      </c>
      <c r="O10" s="29">
        <f>E18+F18*D18</f>
        <v>17.5</v>
      </c>
      <c r="P10" s="29">
        <f t="shared" si="1"/>
        <v>77.777777777777771</v>
      </c>
      <c r="Q10" s="28">
        <f t="shared" si="7"/>
        <v>1361.1111111111111</v>
      </c>
      <c r="R10" s="26">
        <f t="shared" si="8"/>
        <v>4122.2254545454543</v>
      </c>
      <c r="S10" s="26">
        <f>G18</f>
        <v>0.3</v>
      </c>
      <c r="T10" s="26">
        <f t="shared" si="9"/>
        <v>5358.8930909090905</v>
      </c>
      <c r="U10" s="27">
        <f t="shared" si="2"/>
        <v>0.15311123116883116</v>
      </c>
      <c r="V10" s="78">
        <f>E19+F19*D19</f>
        <v>11.25</v>
      </c>
      <c r="W10" s="78">
        <f t="shared" si="10"/>
        <v>874.99999999999989</v>
      </c>
      <c r="X10" s="92">
        <f t="shared" si="11"/>
        <v>3636.114343434343</v>
      </c>
      <c r="Y10" s="78">
        <f>G18</f>
        <v>0.3</v>
      </c>
      <c r="Z10" s="26">
        <f t="shared" si="12"/>
        <v>4726.9486464646461</v>
      </c>
      <c r="AA10" s="78">
        <f t="shared" si="3"/>
        <v>0.13505567561327561</v>
      </c>
      <c r="AB10" s="30">
        <v>75</v>
      </c>
      <c r="AC10" s="31">
        <f t="shared" si="13"/>
        <v>0.26794465454545452</v>
      </c>
      <c r="AD10" s="31">
        <f t="shared" si="14"/>
        <v>0.23634743232323233</v>
      </c>
    </row>
    <row r="11" spans="1:30" ht="14.4" x14ac:dyDescent="0.3">
      <c r="A11" s="15">
        <v>250</v>
      </c>
      <c r="B11" s="7" t="s">
        <v>9</v>
      </c>
      <c r="C11" s="22" t="s">
        <v>20</v>
      </c>
      <c r="D11" s="23">
        <v>45000</v>
      </c>
      <c r="E11" s="24">
        <v>0.05</v>
      </c>
      <c r="F11" s="25">
        <v>28</v>
      </c>
      <c r="G11" s="26">
        <f t="shared" si="4"/>
        <v>29.4</v>
      </c>
      <c r="H11" s="27">
        <f t="shared" si="5"/>
        <v>1323</v>
      </c>
      <c r="I11" s="27">
        <f>C26</f>
        <v>2.52</v>
      </c>
      <c r="J11" s="89">
        <f t="shared" si="6"/>
        <v>3333.96</v>
      </c>
      <c r="K11" s="84">
        <f>E36</f>
        <v>1.1438383838383839E-3</v>
      </c>
      <c r="L11" s="28">
        <f t="shared" si="0"/>
        <v>51.472727272727276</v>
      </c>
      <c r="M11" s="29">
        <f>A18*B18</f>
        <v>128</v>
      </c>
      <c r="N11" s="29">
        <f>C18</f>
        <v>450</v>
      </c>
      <c r="O11" s="29">
        <f>E18+F18*D18</f>
        <v>17.5</v>
      </c>
      <c r="P11" s="29">
        <f t="shared" si="1"/>
        <v>100</v>
      </c>
      <c r="Q11" s="28">
        <f t="shared" si="7"/>
        <v>1750</v>
      </c>
      <c r="R11" s="26">
        <f t="shared" si="8"/>
        <v>5263.4327272727278</v>
      </c>
      <c r="S11" s="26">
        <f>G18</f>
        <v>0.3</v>
      </c>
      <c r="T11" s="26">
        <f t="shared" si="9"/>
        <v>6842.4625454545458</v>
      </c>
      <c r="U11" s="27">
        <f t="shared" si="2"/>
        <v>0.15205472323232325</v>
      </c>
      <c r="V11" s="78">
        <f>E19+F19*D19</f>
        <v>11.25</v>
      </c>
      <c r="W11" s="78">
        <f t="shared" si="10"/>
        <v>1125</v>
      </c>
      <c r="X11" s="92">
        <f t="shared" si="11"/>
        <v>4638.4327272727278</v>
      </c>
      <c r="Y11" s="78">
        <f>G18</f>
        <v>0.3</v>
      </c>
      <c r="Z11" s="26">
        <f t="shared" si="12"/>
        <v>6029.9625454545458</v>
      </c>
      <c r="AA11" s="78">
        <f t="shared" si="3"/>
        <v>0.13399916767676767</v>
      </c>
      <c r="AB11" s="30">
        <v>70</v>
      </c>
      <c r="AC11" s="31">
        <f t="shared" si="13"/>
        <v>0.25849302949494951</v>
      </c>
      <c r="AD11" s="31">
        <f t="shared" si="14"/>
        <v>0.22779858505050504</v>
      </c>
    </row>
    <row r="12" spans="1:30" ht="14.4" x14ac:dyDescent="0.3">
      <c r="A12" s="15">
        <v>250</v>
      </c>
      <c r="B12" s="7" t="s">
        <v>10</v>
      </c>
      <c r="C12" s="22" t="s">
        <v>21</v>
      </c>
      <c r="D12" s="23">
        <v>75000</v>
      </c>
      <c r="E12" s="24">
        <v>0.05</v>
      </c>
      <c r="F12" s="25">
        <v>28</v>
      </c>
      <c r="G12" s="26">
        <f t="shared" si="4"/>
        <v>29.4</v>
      </c>
      <c r="H12" s="27">
        <f t="shared" si="5"/>
        <v>2205</v>
      </c>
      <c r="I12" s="27">
        <f>C26</f>
        <v>2.52</v>
      </c>
      <c r="J12" s="89">
        <f t="shared" si="6"/>
        <v>5556.6</v>
      </c>
      <c r="K12" s="84">
        <f>E36</f>
        <v>1.1438383838383839E-3</v>
      </c>
      <c r="L12" s="28">
        <f t="shared" si="0"/>
        <v>85.787878787878796</v>
      </c>
      <c r="M12" s="29">
        <f>A18*B18</f>
        <v>128</v>
      </c>
      <c r="N12" s="29">
        <f>C18</f>
        <v>450</v>
      </c>
      <c r="O12" s="29">
        <f>E18+F18*D18</f>
        <v>17.5</v>
      </c>
      <c r="P12" s="29">
        <f t="shared" si="1"/>
        <v>166.66666666666666</v>
      </c>
      <c r="Q12" s="28">
        <f>O12*P12</f>
        <v>2916.6666666666665</v>
      </c>
      <c r="R12" s="26">
        <f t="shared" si="8"/>
        <v>8687.0545454545463</v>
      </c>
      <c r="S12" s="26">
        <f>G18</f>
        <v>0.3</v>
      </c>
      <c r="T12" s="26">
        <f t="shared" si="9"/>
        <v>11293.17090909091</v>
      </c>
      <c r="U12" s="27">
        <f t="shared" si="2"/>
        <v>0.15057561212121212</v>
      </c>
      <c r="V12" s="78">
        <f>E19+F19*D19</f>
        <v>11.25</v>
      </c>
      <c r="W12" s="78">
        <f t="shared" si="10"/>
        <v>1875</v>
      </c>
      <c r="X12" s="92">
        <f t="shared" si="11"/>
        <v>7645.3878787878793</v>
      </c>
      <c r="Y12" s="78">
        <f>G18</f>
        <v>0.3</v>
      </c>
      <c r="Z12" s="26">
        <f t="shared" si="12"/>
        <v>9939.004242424242</v>
      </c>
      <c r="AA12" s="78">
        <f t="shared" si="3"/>
        <v>0.13252005656565655</v>
      </c>
      <c r="AB12" s="30">
        <v>70</v>
      </c>
      <c r="AC12" s="31">
        <f t="shared" si="13"/>
        <v>0.25597854060606062</v>
      </c>
      <c r="AD12" s="31">
        <f t="shared" si="14"/>
        <v>0.22528409616161613</v>
      </c>
    </row>
    <row r="13" spans="1:30" ht="14.4" x14ac:dyDescent="0.3">
      <c r="A13" s="15">
        <v>250</v>
      </c>
      <c r="B13" s="7" t="s">
        <v>11</v>
      </c>
      <c r="C13" s="22" t="s">
        <v>22</v>
      </c>
      <c r="D13" s="23">
        <v>125000</v>
      </c>
      <c r="E13" s="24">
        <v>0.03</v>
      </c>
      <c r="F13" s="25">
        <v>28</v>
      </c>
      <c r="G13" s="26">
        <f t="shared" si="4"/>
        <v>28.84</v>
      </c>
      <c r="H13" s="27">
        <f t="shared" si="5"/>
        <v>3605</v>
      </c>
      <c r="I13" s="27">
        <f>C26</f>
        <v>2.52</v>
      </c>
      <c r="J13" s="89">
        <f t="shared" si="6"/>
        <v>9084.6</v>
      </c>
      <c r="K13" s="84">
        <f>E36</f>
        <v>1.1438383838383839E-3</v>
      </c>
      <c r="L13" s="28">
        <f t="shared" si="0"/>
        <v>142.97979797979798</v>
      </c>
      <c r="M13" s="29">
        <f>A18*B18</f>
        <v>128</v>
      </c>
      <c r="N13" s="29">
        <f>C18</f>
        <v>450</v>
      </c>
      <c r="O13" s="29">
        <f>E18+F18*D18</f>
        <v>17.5</v>
      </c>
      <c r="P13" s="29">
        <f t="shared" si="1"/>
        <v>277.77777777777777</v>
      </c>
      <c r="Q13" s="28">
        <f t="shared" si="7"/>
        <v>4861.1111111111113</v>
      </c>
      <c r="R13" s="26">
        <f t="shared" si="8"/>
        <v>14216.69090909091</v>
      </c>
      <c r="S13" s="26">
        <f>G18</f>
        <v>0.3</v>
      </c>
      <c r="T13" s="26">
        <f t="shared" si="9"/>
        <v>18481.698181818181</v>
      </c>
      <c r="U13" s="27">
        <f t="shared" si="2"/>
        <v>0.14785358545454544</v>
      </c>
      <c r="V13" s="78">
        <f>E19+F19*D19</f>
        <v>11.25</v>
      </c>
      <c r="W13" s="78">
        <f t="shared" si="10"/>
        <v>3125</v>
      </c>
      <c r="X13" s="92">
        <f t="shared" si="11"/>
        <v>12480.579797979799</v>
      </c>
      <c r="Y13" s="78">
        <f>G18</f>
        <v>0.3</v>
      </c>
      <c r="Z13" s="26">
        <f t="shared" si="12"/>
        <v>16224.75373737374</v>
      </c>
      <c r="AA13" s="78">
        <f t="shared" si="3"/>
        <v>0.12979802989898992</v>
      </c>
      <c r="AB13" s="30">
        <v>65</v>
      </c>
      <c r="AC13" s="31">
        <f t="shared" si="13"/>
        <v>0.24395841599999996</v>
      </c>
      <c r="AD13" s="31">
        <f t="shared" si="14"/>
        <v>0.21416674933333335</v>
      </c>
    </row>
    <row r="14" spans="1:30" ht="15" thickBot="1" x14ac:dyDescent="0.35">
      <c r="A14" s="15">
        <v>250</v>
      </c>
      <c r="B14" s="7" t="s">
        <v>12</v>
      </c>
      <c r="C14" s="22" t="s">
        <v>23</v>
      </c>
      <c r="D14" s="23">
        <v>200000</v>
      </c>
      <c r="E14" s="24">
        <v>0.03</v>
      </c>
      <c r="F14" s="25">
        <v>28</v>
      </c>
      <c r="G14" s="26">
        <f t="shared" si="4"/>
        <v>28.84</v>
      </c>
      <c r="H14" s="27">
        <f t="shared" si="5"/>
        <v>5768</v>
      </c>
      <c r="I14" s="27">
        <f>C26</f>
        <v>2.52</v>
      </c>
      <c r="J14" s="89">
        <f t="shared" si="6"/>
        <v>14535.36</v>
      </c>
      <c r="K14" s="84">
        <f>E36</f>
        <v>1.1438383838383839E-3</v>
      </c>
      <c r="L14" s="28">
        <f t="shared" si="0"/>
        <v>228.76767676767679</v>
      </c>
      <c r="M14" s="29">
        <f>A18*B18</f>
        <v>128</v>
      </c>
      <c r="N14" s="29">
        <f>C18</f>
        <v>450</v>
      </c>
      <c r="O14" s="29">
        <f>E18+F18*D18</f>
        <v>17.5</v>
      </c>
      <c r="P14" s="29">
        <f t="shared" si="1"/>
        <v>444.44444444444446</v>
      </c>
      <c r="Q14" s="28">
        <f t="shared" si="7"/>
        <v>7777.7777777777783</v>
      </c>
      <c r="R14" s="26">
        <f t="shared" si="8"/>
        <v>22669.905454545456</v>
      </c>
      <c r="S14" s="26">
        <f>G18</f>
        <v>0.3</v>
      </c>
      <c r="T14" s="26">
        <f t="shared" si="9"/>
        <v>29470.877090909093</v>
      </c>
      <c r="U14" s="27">
        <f t="shared" si="2"/>
        <v>0.14735438545454546</v>
      </c>
      <c r="V14" s="78">
        <f>E19+F19*D19</f>
        <v>11.25</v>
      </c>
      <c r="W14" s="78">
        <f t="shared" si="10"/>
        <v>5000</v>
      </c>
      <c r="X14" s="92">
        <f t="shared" si="11"/>
        <v>19892.127676767675</v>
      </c>
      <c r="Y14" s="78">
        <f>G18</f>
        <v>0.3</v>
      </c>
      <c r="Z14" s="26">
        <f t="shared" si="12"/>
        <v>25859.76597979798</v>
      </c>
      <c r="AA14" s="78">
        <f t="shared" si="3"/>
        <v>0.12929882989898989</v>
      </c>
      <c r="AB14" s="30">
        <v>60</v>
      </c>
      <c r="AC14" s="32">
        <f t="shared" si="13"/>
        <v>0.23576701672727274</v>
      </c>
      <c r="AD14" s="32">
        <f t="shared" si="14"/>
        <v>0.20687812783838383</v>
      </c>
    </row>
    <row r="15" spans="1:30" ht="14.4" thickBot="1" x14ac:dyDescent="0.35"/>
    <row r="16" spans="1:30" x14ac:dyDescent="0.3">
      <c r="A16" s="33" t="s">
        <v>27</v>
      </c>
      <c r="B16" s="34"/>
      <c r="C16" s="34"/>
      <c r="D16" s="34"/>
      <c r="E16" s="34"/>
      <c r="F16" s="34"/>
      <c r="G16" s="35"/>
      <c r="AC16" s="80"/>
    </row>
    <row r="17" spans="1:12" x14ac:dyDescent="0.3">
      <c r="A17" s="36" t="s">
        <v>28</v>
      </c>
      <c r="B17" s="37" t="s">
        <v>29</v>
      </c>
      <c r="C17" s="37" t="s">
        <v>30</v>
      </c>
      <c r="D17" s="37" t="s">
        <v>31</v>
      </c>
      <c r="E17" s="37" t="s">
        <v>32</v>
      </c>
      <c r="F17" s="37" t="s">
        <v>33</v>
      </c>
      <c r="G17" s="38" t="s">
        <v>34</v>
      </c>
      <c r="J17" s="39"/>
      <c r="K17" s="85"/>
      <c r="L17" s="14" t="s">
        <v>59</v>
      </c>
    </row>
    <row r="18" spans="1:12" ht="14.4" thickBot="1" x14ac:dyDescent="0.35">
      <c r="A18" s="40">
        <v>4</v>
      </c>
      <c r="B18" s="41">
        <v>32</v>
      </c>
      <c r="C18" s="41">
        <v>450</v>
      </c>
      <c r="D18" s="41">
        <v>0.5</v>
      </c>
      <c r="E18" s="41">
        <v>5</v>
      </c>
      <c r="F18" s="42">
        <v>25</v>
      </c>
      <c r="G18" s="43">
        <v>0.3</v>
      </c>
    </row>
    <row r="19" spans="1:12" ht="14.4" thickBot="1" x14ac:dyDescent="0.35">
      <c r="A19" s="40">
        <v>4</v>
      </c>
      <c r="B19" s="41">
        <v>32</v>
      </c>
      <c r="C19" s="41">
        <v>450</v>
      </c>
      <c r="D19" s="41">
        <v>0.25</v>
      </c>
      <c r="E19" s="41">
        <v>5</v>
      </c>
      <c r="F19" s="42">
        <v>25</v>
      </c>
      <c r="G19" s="43">
        <v>0.3</v>
      </c>
    </row>
    <row r="20" spans="1:12" ht="14.4" thickBot="1" x14ac:dyDescent="0.35">
      <c r="J20" s="44"/>
      <c r="K20" s="86"/>
      <c r="L20" s="14" t="s">
        <v>60</v>
      </c>
    </row>
    <row r="21" spans="1:12" x14ac:dyDescent="0.3">
      <c r="A21" s="45" t="s">
        <v>35</v>
      </c>
      <c r="B21" s="46"/>
      <c r="C21" s="46" t="s">
        <v>36</v>
      </c>
      <c r="D21" s="47" t="s">
        <v>37</v>
      </c>
    </row>
    <row r="22" spans="1:12" x14ac:dyDescent="0.3">
      <c r="A22" s="48" t="s">
        <v>40</v>
      </c>
      <c r="B22" s="49">
        <v>2</v>
      </c>
      <c r="C22" s="50">
        <v>96</v>
      </c>
      <c r="D22" s="51"/>
    </row>
    <row r="23" spans="1:12" x14ac:dyDescent="0.3">
      <c r="A23" s="48" t="s">
        <v>40</v>
      </c>
      <c r="B23" s="49">
        <v>15</v>
      </c>
      <c r="C23" s="50">
        <v>4</v>
      </c>
      <c r="D23" s="51"/>
    </row>
    <row r="24" spans="1:12" x14ac:dyDescent="0.3">
      <c r="A24" s="48" t="s">
        <v>40</v>
      </c>
      <c r="B24" s="49">
        <v>0</v>
      </c>
      <c r="C24" s="50"/>
      <c r="D24" s="51"/>
    </row>
    <row r="25" spans="1:12" ht="14.4" thickBot="1" x14ac:dyDescent="0.35">
      <c r="A25" s="48" t="s">
        <v>44</v>
      </c>
      <c r="B25" s="49">
        <v>0</v>
      </c>
      <c r="C25" s="50"/>
      <c r="D25" s="51"/>
    </row>
    <row r="26" spans="1:12" ht="14.4" thickBot="1" x14ac:dyDescent="0.35">
      <c r="A26" s="52" t="s">
        <v>45</v>
      </c>
      <c r="B26" s="53">
        <f>SUM(B22:B25)</f>
        <v>17</v>
      </c>
      <c r="C26" s="54">
        <f>(B22*C22/100)+(B23*C23/100)+(B24*C24/100)+(B25*C25/100)</f>
        <v>2.52</v>
      </c>
      <c r="D26" s="55" t="s">
        <v>62</v>
      </c>
    </row>
    <row r="27" spans="1:12" ht="14.4" thickBot="1" x14ac:dyDescent="0.35"/>
    <row r="28" spans="1:12" x14ac:dyDescent="0.3">
      <c r="A28" s="56" t="s">
        <v>38</v>
      </c>
      <c r="B28" s="57"/>
      <c r="C28" s="58"/>
      <c r="D28" s="59" t="s">
        <v>39</v>
      </c>
      <c r="E28" s="60" t="s">
        <v>97</v>
      </c>
    </row>
    <row r="29" spans="1:12" x14ac:dyDescent="0.3">
      <c r="A29" s="61" t="s">
        <v>42</v>
      </c>
      <c r="B29" s="62">
        <v>1100</v>
      </c>
      <c r="C29" s="63"/>
      <c r="D29" s="64"/>
      <c r="E29" s="65"/>
    </row>
    <row r="30" spans="1:12" x14ac:dyDescent="0.3">
      <c r="A30" s="61" t="s">
        <v>86</v>
      </c>
      <c r="B30" s="62">
        <v>9</v>
      </c>
      <c r="C30" s="63" t="s">
        <v>41</v>
      </c>
      <c r="D30" s="66">
        <v>0.68100000000000005</v>
      </c>
      <c r="E30" s="65">
        <f>D30*B30</f>
        <v>6.1290000000000004</v>
      </c>
    </row>
    <row r="31" spans="1:12" x14ac:dyDescent="0.3">
      <c r="A31" s="61" t="s">
        <v>87</v>
      </c>
      <c r="B31" s="62">
        <f>B30*B29</f>
        <v>9900</v>
      </c>
      <c r="C31" s="67"/>
      <c r="D31" s="68"/>
      <c r="E31" s="65"/>
    </row>
    <row r="32" spans="1:12" x14ac:dyDescent="0.3">
      <c r="A32" s="61" t="s">
        <v>88</v>
      </c>
      <c r="B32" s="62">
        <v>9</v>
      </c>
      <c r="C32" s="63" t="s">
        <v>43</v>
      </c>
      <c r="D32" s="69">
        <v>0.13800000000000001</v>
      </c>
      <c r="E32" s="65">
        <f>D32*B32</f>
        <v>1.242</v>
      </c>
    </row>
    <row r="33" spans="1:5" x14ac:dyDescent="0.3">
      <c r="A33" s="61" t="s">
        <v>46</v>
      </c>
      <c r="B33" s="62">
        <f>B32*5</f>
        <v>45</v>
      </c>
      <c r="C33" s="63" t="s">
        <v>47</v>
      </c>
      <c r="D33" s="66">
        <v>4.3400000000000001E-2</v>
      </c>
      <c r="E33" s="65">
        <f>D33*B33</f>
        <v>1.9530000000000001</v>
      </c>
    </row>
    <row r="34" spans="1:5" ht="14.4" thickBot="1" x14ac:dyDescent="0.35">
      <c r="A34" s="70" t="s">
        <v>48</v>
      </c>
      <c r="B34" s="71" t="s">
        <v>49</v>
      </c>
      <c r="C34" s="72" t="s">
        <v>50</v>
      </c>
      <c r="D34" s="73">
        <v>2</v>
      </c>
      <c r="E34" s="74">
        <f>D34</f>
        <v>2</v>
      </c>
    </row>
    <row r="35" spans="1:5" ht="14.4" thickBot="1" x14ac:dyDescent="0.35">
      <c r="E35" s="75">
        <f>SUM(E29:E34)</f>
        <v>11.324</v>
      </c>
    </row>
    <row r="36" spans="1:5" ht="14.4" thickBot="1" x14ac:dyDescent="0.35">
      <c r="D36" s="76" t="s">
        <v>98</v>
      </c>
      <c r="E36" s="77">
        <f>E35/B31</f>
        <v>1.1438383838383839E-3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8B553-DEA8-4E0D-954F-F6FFA447CAB9}">
  <dimension ref="A2:AD36"/>
  <sheetViews>
    <sheetView topLeftCell="I1" workbookViewId="0">
      <selection activeCell="T4" sqref="T4:T14"/>
    </sheetView>
  </sheetViews>
  <sheetFormatPr defaultColWidth="9.109375" defaultRowHeight="13.8" x14ac:dyDescent="0.3"/>
  <cols>
    <col min="1" max="1" width="28.6640625" style="14" bestFit="1" customWidth="1"/>
    <col min="2" max="2" width="10.109375" style="14" bestFit="1" customWidth="1"/>
    <col min="3" max="3" width="21" style="14" bestFit="1" customWidth="1"/>
    <col min="4" max="4" width="12.44140625" style="14" bestFit="1" customWidth="1"/>
    <col min="5" max="5" width="21" style="14" bestFit="1" customWidth="1"/>
    <col min="6" max="6" width="14.88671875" style="14" bestFit="1" customWidth="1"/>
    <col min="7" max="7" width="23.5546875" style="14" bestFit="1" customWidth="1"/>
    <col min="8" max="8" width="18.6640625" style="14" customWidth="1"/>
    <col min="9" max="9" width="0.109375" style="14" customWidth="1"/>
    <col min="10" max="10" width="9.5546875" style="14" bestFit="1" customWidth="1"/>
    <col min="11" max="11" width="15.33203125" style="82" customWidth="1"/>
    <col min="12" max="12" width="17.5546875" style="14" bestFit="1" customWidth="1"/>
    <col min="13" max="13" width="19.33203125" style="14" customWidth="1"/>
    <col min="14" max="14" width="9.109375" style="14" customWidth="1"/>
    <col min="15" max="15" width="22.88671875" style="14" customWidth="1"/>
    <col min="16" max="16" width="11.88671875" style="14" customWidth="1"/>
    <col min="17" max="17" width="23.5546875" style="14" bestFit="1" customWidth="1"/>
    <col min="18" max="18" width="24.33203125" style="14" customWidth="1"/>
    <col min="19" max="19" width="11" style="14" customWidth="1"/>
    <col min="20" max="20" width="35.5546875" style="14" bestFit="1" customWidth="1"/>
    <col min="21" max="21" width="14.6640625" style="14" bestFit="1" customWidth="1"/>
    <col min="22" max="27" width="14.6640625" style="14" customWidth="1"/>
    <col min="28" max="28" width="16.5546875" style="14" bestFit="1" customWidth="1"/>
    <col min="29" max="29" width="17.44140625" style="14" bestFit="1" customWidth="1"/>
    <col min="30" max="30" width="11.88671875" style="14" bestFit="1" customWidth="1"/>
    <col min="31" max="16384" width="9.109375" style="14"/>
  </cols>
  <sheetData>
    <row r="2" spans="1:30" ht="14.4" thickBot="1" x14ac:dyDescent="0.35"/>
    <row r="3" spans="1:30" ht="74.25" customHeight="1" thickBot="1" x14ac:dyDescent="0.35">
      <c r="A3" s="15" t="s">
        <v>57</v>
      </c>
      <c r="B3" s="15" t="s">
        <v>24</v>
      </c>
      <c r="C3" s="15" t="s">
        <v>25</v>
      </c>
      <c r="D3" s="15" t="s">
        <v>26</v>
      </c>
      <c r="E3" s="15" t="s">
        <v>55</v>
      </c>
      <c r="F3" s="15" t="s">
        <v>58</v>
      </c>
      <c r="G3" s="16" t="s">
        <v>51</v>
      </c>
      <c r="H3" s="17" t="s">
        <v>52</v>
      </c>
      <c r="I3" s="17" t="s">
        <v>61</v>
      </c>
      <c r="J3" s="90" t="s">
        <v>53</v>
      </c>
      <c r="K3" s="83" t="s">
        <v>99</v>
      </c>
      <c r="L3" s="18" t="s">
        <v>96</v>
      </c>
      <c r="M3" s="19" t="s">
        <v>54</v>
      </c>
      <c r="N3" s="19" t="s">
        <v>100</v>
      </c>
      <c r="O3" s="19" t="s">
        <v>108</v>
      </c>
      <c r="P3" s="19" t="s">
        <v>101</v>
      </c>
      <c r="Q3" s="91" t="s">
        <v>116</v>
      </c>
      <c r="R3" s="87" t="s">
        <v>107</v>
      </c>
      <c r="S3" s="88" t="s">
        <v>102</v>
      </c>
      <c r="T3" s="87" t="s">
        <v>104</v>
      </c>
      <c r="U3" s="87" t="s">
        <v>105</v>
      </c>
      <c r="V3" s="19" t="s">
        <v>109</v>
      </c>
      <c r="W3" s="20" t="s">
        <v>110</v>
      </c>
      <c r="X3" s="20"/>
      <c r="Y3" s="20"/>
      <c r="Z3" s="20" t="s">
        <v>111</v>
      </c>
      <c r="AA3" s="20" t="s">
        <v>112</v>
      </c>
      <c r="AB3" s="20" t="s">
        <v>103</v>
      </c>
      <c r="AC3" s="79" t="s">
        <v>106</v>
      </c>
      <c r="AD3" s="21" t="s">
        <v>113</v>
      </c>
    </row>
    <row r="4" spans="1:30" ht="14.4" x14ac:dyDescent="0.3">
      <c r="A4" s="15">
        <v>250</v>
      </c>
      <c r="B4" s="7" t="s">
        <v>2</v>
      </c>
      <c r="C4" s="22" t="s">
        <v>13</v>
      </c>
      <c r="D4" s="23">
        <v>2000</v>
      </c>
      <c r="E4" s="24">
        <v>0.1</v>
      </c>
      <c r="F4" s="25">
        <v>28</v>
      </c>
      <c r="G4" s="26">
        <f>F4+F4*E4</f>
        <v>30.8</v>
      </c>
      <c r="H4" s="27">
        <f>(G4*D4)/1000</f>
        <v>61.6</v>
      </c>
      <c r="I4" s="27">
        <f>C26</f>
        <v>1.5999999999999999</v>
      </c>
      <c r="J4" s="89">
        <f>H4*I4</f>
        <v>98.559999999999988</v>
      </c>
      <c r="K4" s="84">
        <f>E36</f>
        <v>1.1438383838383839E-3</v>
      </c>
      <c r="L4" s="28">
        <f t="shared" ref="L4:L14" si="0">K4*D4</f>
        <v>2.2876767676767678</v>
      </c>
      <c r="M4" s="29">
        <f>A18*B18</f>
        <v>128</v>
      </c>
      <c r="N4" s="29">
        <f>C18</f>
        <v>450</v>
      </c>
      <c r="O4" s="29">
        <f>E18+F18*D18</f>
        <v>17.5</v>
      </c>
      <c r="P4" s="29">
        <f t="shared" ref="P4:P14" si="1">D4/N4</f>
        <v>4.4444444444444446</v>
      </c>
      <c r="Q4" s="28">
        <f>O4*P4</f>
        <v>77.777777777777786</v>
      </c>
      <c r="R4" s="26">
        <f>Q4+L4+J4+M4</f>
        <v>306.62545454545455</v>
      </c>
      <c r="S4" s="26">
        <f>G18</f>
        <v>0.3</v>
      </c>
      <c r="T4" s="26">
        <f>R4+R4*S4</f>
        <v>398.61309090909089</v>
      </c>
      <c r="U4" s="27">
        <f t="shared" ref="U4:U14" si="2">T4/D4</f>
        <v>0.19930654545454543</v>
      </c>
      <c r="V4" s="78">
        <f>E19+F19*D19</f>
        <v>11.25</v>
      </c>
      <c r="W4" s="78">
        <f>V4*P4</f>
        <v>50</v>
      </c>
      <c r="X4" s="92">
        <f>W4+M4+L4+J4</f>
        <v>278.84767676767677</v>
      </c>
      <c r="Y4" s="78">
        <f>G18</f>
        <v>0.3</v>
      </c>
      <c r="Z4" s="26">
        <f>X4+X4*Y4</f>
        <v>362.5019797979798</v>
      </c>
      <c r="AA4" s="78">
        <f t="shared" ref="AA4:AA14" si="3">Z4/D4</f>
        <v>0.18125098989898991</v>
      </c>
      <c r="AB4" s="30">
        <v>180</v>
      </c>
      <c r="AC4" s="81">
        <f>U4*2+(U4*2*80/100)</f>
        <v>0.71750356363636358</v>
      </c>
      <c r="AD4" s="81">
        <f>AA4*2+(AA4*2*80/100)</f>
        <v>0.65250356363636364</v>
      </c>
    </row>
    <row r="5" spans="1:30" ht="14.4" x14ac:dyDescent="0.3">
      <c r="A5" s="15">
        <v>250</v>
      </c>
      <c r="B5" s="7" t="s">
        <v>3</v>
      </c>
      <c r="C5" s="22" t="s">
        <v>14</v>
      </c>
      <c r="D5" s="23">
        <v>4000</v>
      </c>
      <c r="E5" s="24">
        <v>0.1</v>
      </c>
      <c r="F5" s="25">
        <v>28</v>
      </c>
      <c r="G5" s="26">
        <f t="shared" ref="G5:G14" si="4">F5+F5*E5</f>
        <v>30.8</v>
      </c>
      <c r="H5" s="27">
        <f t="shared" ref="H5:H14" si="5">(G5*D5)/1000</f>
        <v>123.2</v>
      </c>
      <c r="I5" s="27">
        <f>C26</f>
        <v>1.5999999999999999</v>
      </c>
      <c r="J5" s="89">
        <f t="shared" ref="J5:J14" si="6">H5*I5</f>
        <v>197.11999999999998</v>
      </c>
      <c r="K5" s="84">
        <f>E36</f>
        <v>1.1438383838383839E-3</v>
      </c>
      <c r="L5" s="28">
        <f t="shared" si="0"/>
        <v>4.5753535353535355</v>
      </c>
      <c r="M5" s="29">
        <f>A18*B18</f>
        <v>128</v>
      </c>
      <c r="N5" s="29">
        <f>C18</f>
        <v>450</v>
      </c>
      <c r="O5" s="29">
        <f>E18+F18*D18</f>
        <v>17.5</v>
      </c>
      <c r="P5" s="29">
        <f t="shared" si="1"/>
        <v>8.8888888888888893</v>
      </c>
      <c r="Q5" s="28">
        <f t="shared" ref="Q5:Q14" si="7">O5*P5</f>
        <v>155.55555555555557</v>
      </c>
      <c r="R5" s="26">
        <f t="shared" ref="R5:R14" si="8">Q5+L5+J5+M5</f>
        <v>485.25090909090909</v>
      </c>
      <c r="S5" s="26">
        <f>G18</f>
        <v>0.3</v>
      </c>
      <c r="T5" s="26">
        <f t="shared" ref="T5:T14" si="9">R5+R5*S5</f>
        <v>630.82618181818179</v>
      </c>
      <c r="U5" s="27">
        <f t="shared" si="2"/>
        <v>0.15770654545454546</v>
      </c>
      <c r="V5" s="78">
        <f>E19+F19*D19</f>
        <v>11.25</v>
      </c>
      <c r="W5" s="78">
        <f t="shared" ref="W5:W14" si="10">V5*P5</f>
        <v>100</v>
      </c>
      <c r="X5" s="92">
        <f t="shared" ref="X5:X14" si="11">W5+M5+L5+J5</f>
        <v>429.69535353535355</v>
      </c>
      <c r="Y5" s="78">
        <f>G18</f>
        <v>0.3</v>
      </c>
      <c r="Z5" s="26">
        <f t="shared" ref="Z5:Z14" si="12">X5+X5*Y5</f>
        <v>558.60395959595962</v>
      </c>
      <c r="AA5" s="78">
        <f t="shared" si="3"/>
        <v>0.13965098989898991</v>
      </c>
      <c r="AB5" s="30">
        <v>160</v>
      </c>
      <c r="AC5" s="31">
        <f>U5*2+(U5*2*80/100)</f>
        <v>0.56774356363636369</v>
      </c>
      <c r="AD5" s="31">
        <f>AA5*2+(AA5*2*80/100)</f>
        <v>0.50274356363636374</v>
      </c>
    </row>
    <row r="6" spans="1:30" ht="14.4" x14ac:dyDescent="0.3">
      <c r="A6" s="15">
        <v>250</v>
      </c>
      <c r="B6" s="7" t="s">
        <v>4</v>
      </c>
      <c r="C6" s="22" t="s">
        <v>15</v>
      </c>
      <c r="D6" s="23">
        <v>7500</v>
      </c>
      <c r="E6" s="24">
        <v>7.0000000000000007E-2</v>
      </c>
      <c r="F6" s="25">
        <v>28</v>
      </c>
      <c r="G6" s="26">
        <f t="shared" si="4"/>
        <v>29.96</v>
      </c>
      <c r="H6" s="27">
        <f t="shared" si="5"/>
        <v>224.7</v>
      </c>
      <c r="I6" s="27">
        <f>C26</f>
        <v>1.5999999999999999</v>
      </c>
      <c r="J6" s="89">
        <f t="shared" si="6"/>
        <v>359.51999999999992</v>
      </c>
      <c r="K6" s="84">
        <f>E36</f>
        <v>1.1438383838383839E-3</v>
      </c>
      <c r="L6" s="28">
        <f t="shared" si="0"/>
        <v>8.57878787878788</v>
      </c>
      <c r="M6" s="29">
        <f>A18*B18</f>
        <v>128</v>
      </c>
      <c r="N6" s="29">
        <f>C18</f>
        <v>450</v>
      </c>
      <c r="O6" s="29">
        <f>E18+F18*D18</f>
        <v>17.5</v>
      </c>
      <c r="P6" s="29">
        <f t="shared" si="1"/>
        <v>16.666666666666668</v>
      </c>
      <c r="Q6" s="28">
        <f t="shared" si="7"/>
        <v>291.66666666666669</v>
      </c>
      <c r="R6" s="26">
        <f t="shared" si="8"/>
        <v>787.76545454545453</v>
      </c>
      <c r="S6" s="26">
        <f>G18</f>
        <v>0.3</v>
      </c>
      <c r="T6" s="26">
        <f t="shared" si="9"/>
        <v>1024.0950909090909</v>
      </c>
      <c r="U6" s="27">
        <f t="shared" si="2"/>
        <v>0.13654601212121212</v>
      </c>
      <c r="V6" s="78">
        <f>E19+F19*D19</f>
        <v>11.25</v>
      </c>
      <c r="W6" s="78">
        <f t="shared" si="10"/>
        <v>187.5</v>
      </c>
      <c r="X6" s="92">
        <f t="shared" si="11"/>
        <v>683.59878787878779</v>
      </c>
      <c r="Y6" s="78">
        <f>G18</f>
        <v>0.3</v>
      </c>
      <c r="Z6" s="26">
        <f t="shared" si="12"/>
        <v>888.67842424242417</v>
      </c>
      <c r="AA6" s="78">
        <f t="shared" si="3"/>
        <v>0.11849045656565656</v>
      </c>
      <c r="AB6" s="30">
        <v>140</v>
      </c>
      <c r="AC6" s="31">
        <f>U6*2+(U6*2*80/100)</f>
        <v>0.49156564363636363</v>
      </c>
      <c r="AD6" s="31">
        <f>AA6*2+(AA6*2*80/100)</f>
        <v>0.42656564363636362</v>
      </c>
    </row>
    <row r="7" spans="1:30" ht="14.4" x14ac:dyDescent="0.3">
      <c r="A7" s="15">
        <v>250</v>
      </c>
      <c r="B7" s="7" t="s">
        <v>5</v>
      </c>
      <c r="C7" s="22" t="s">
        <v>16</v>
      </c>
      <c r="D7" s="23">
        <v>12500</v>
      </c>
      <c r="E7" s="24">
        <v>7.0000000000000007E-2</v>
      </c>
      <c r="F7" s="25">
        <v>28</v>
      </c>
      <c r="G7" s="26">
        <f t="shared" si="4"/>
        <v>29.96</v>
      </c>
      <c r="H7" s="27">
        <f t="shared" si="5"/>
        <v>374.5</v>
      </c>
      <c r="I7" s="27">
        <f>C26</f>
        <v>1.5999999999999999</v>
      </c>
      <c r="J7" s="89">
        <f t="shared" si="6"/>
        <v>599.19999999999993</v>
      </c>
      <c r="K7" s="84">
        <f>E36</f>
        <v>1.1438383838383839E-3</v>
      </c>
      <c r="L7" s="28">
        <f t="shared" si="0"/>
        <v>14.297979797979799</v>
      </c>
      <c r="M7" s="29">
        <f>A18*B18</f>
        <v>128</v>
      </c>
      <c r="N7" s="29">
        <f>C18</f>
        <v>450</v>
      </c>
      <c r="O7" s="29">
        <f>E18+F18*D18</f>
        <v>17.5</v>
      </c>
      <c r="P7" s="29">
        <f t="shared" si="1"/>
        <v>27.777777777777779</v>
      </c>
      <c r="Q7" s="28">
        <f t="shared" si="7"/>
        <v>486.11111111111114</v>
      </c>
      <c r="R7" s="26">
        <f t="shared" si="8"/>
        <v>1227.6090909090908</v>
      </c>
      <c r="S7" s="26">
        <f>G18</f>
        <v>0.3</v>
      </c>
      <c r="T7" s="26">
        <f t="shared" si="9"/>
        <v>1595.8918181818181</v>
      </c>
      <c r="U7" s="27">
        <f t="shared" si="2"/>
        <v>0.12767134545454545</v>
      </c>
      <c r="V7" s="78">
        <f>E19+F19*D19</f>
        <v>11.25</v>
      </c>
      <c r="W7" s="78">
        <f t="shared" si="10"/>
        <v>312.5</v>
      </c>
      <c r="X7" s="92">
        <f t="shared" si="11"/>
        <v>1053.9979797979797</v>
      </c>
      <c r="Y7" s="78">
        <f>G18</f>
        <v>0.3</v>
      </c>
      <c r="Z7" s="26">
        <f t="shared" si="12"/>
        <v>1370.1973737373737</v>
      </c>
      <c r="AA7" s="78">
        <f t="shared" si="3"/>
        <v>0.1096157898989899</v>
      </c>
      <c r="AB7" s="30">
        <v>85</v>
      </c>
      <c r="AC7" s="31">
        <f>U7+U7*AB7/100</f>
        <v>0.23619198909090908</v>
      </c>
      <c r="AD7" s="31">
        <f>AA7+AA7*AB7/100</f>
        <v>0.20278921131313132</v>
      </c>
    </row>
    <row r="8" spans="1:30" ht="14.4" x14ac:dyDescent="0.3">
      <c r="A8" s="15">
        <v>250</v>
      </c>
      <c r="B8" s="7" t="s">
        <v>6</v>
      </c>
      <c r="C8" s="22" t="s">
        <v>17</v>
      </c>
      <c r="D8" s="23">
        <v>17500</v>
      </c>
      <c r="E8" s="24">
        <v>7.0000000000000007E-2</v>
      </c>
      <c r="F8" s="25">
        <v>28</v>
      </c>
      <c r="G8" s="26">
        <f t="shared" si="4"/>
        <v>29.96</v>
      </c>
      <c r="H8" s="27">
        <f t="shared" si="5"/>
        <v>524.29999999999995</v>
      </c>
      <c r="I8" s="27">
        <f>C26</f>
        <v>1.5999999999999999</v>
      </c>
      <c r="J8" s="89">
        <f t="shared" si="6"/>
        <v>838.87999999999988</v>
      </c>
      <c r="K8" s="84">
        <f>E36</f>
        <v>1.1438383838383839E-3</v>
      </c>
      <c r="L8" s="28">
        <f t="shared" si="0"/>
        <v>20.017171717171717</v>
      </c>
      <c r="M8" s="29">
        <f>A18*B18</f>
        <v>128</v>
      </c>
      <c r="N8" s="29">
        <f>C18</f>
        <v>450</v>
      </c>
      <c r="O8" s="29">
        <f>E18+F18*D18</f>
        <v>17.5</v>
      </c>
      <c r="P8" s="29">
        <f t="shared" si="1"/>
        <v>38.888888888888886</v>
      </c>
      <c r="Q8" s="28">
        <f t="shared" si="7"/>
        <v>680.55555555555554</v>
      </c>
      <c r="R8" s="26">
        <f t="shared" si="8"/>
        <v>1667.4527272727271</v>
      </c>
      <c r="S8" s="26">
        <f>G18</f>
        <v>0.3</v>
      </c>
      <c r="T8" s="26">
        <f t="shared" si="9"/>
        <v>2167.6885454545454</v>
      </c>
      <c r="U8" s="27">
        <f t="shared" si="2"/>
        <v>0.12386791688311688</v>
      </c>
      <c r="V8" s="78">
        <f>E19+F19*D19</f>
        <v>11.25</v>
      </c>
      <c r="W8" s="78">
        <f t="shared" si="10"/>
        <v>437.49999999999994</v>
      </c>
      <c r="X8" s="92">
        <f t="shared" si="11"/>
        <v>1424.3971717171717</v>
      </c>
      <c r="Y8" s="78">
        <f>G18</f>
        <v>0.3</v>
      </c>
      <c r="Z8" s="26">
        <f t="shared" si="12"/>
        <v>1851.7163232323232</v>
      </c>
      <c r="AA8" s="78">
        <f t="shared" si="3"/>
        <v>0.10581236132756133</v>
      </c>
      <c r="AB8" s="30">
        <v>80</v>
      </c>
      <c r="AC8" s="31">
        <f t="shared" ref="AC8:AC14" si="13">U8+U8*AB8/100</f>
        <v>0.22296225038961037</v>
      </c>
      <c r="AD8" s="31">
        <f t="shared" ref="AD8:AD14" si="14">AA8+AA8*AB8/100</f>
        <v>0.1904622503896104</v>
      </c>
    </row>
    <row r="9" spans="1:30" ht="14.4" x14ac:dyDescent="0.3">
      <c r="A9" s="15">
        <v>250</v>
      </c>
      <c r="B9" s="7" t="s">
        <v>7</v>
      </c>
      <c r="C9" s="22" t="s">
        <v>18</v>
      </c>
      <c r="D9" s="23">
        <v>25000</v>
      </c>
      <c r="E9" s="24">
        <v>0.05</v>
      </c>
      <c r="F9" s="25">
        <v>28</v>
      </c>
      <c r="G9" s="26">
        <f t="shared" si="4"/>
        <v>29.4</v>
      </c>
      <c r="H9" s="27">
        <f t="shared" si="5"/>
        <v>735</v>
      </c>
      <c r="I9" s="27">
        <f>C26</f>
        <v>1.5999999999999999</v>
      </c>
      <c r="J9" s="89">
        <f t="shared" si="6"/>
        <v>1176</v>
      </c>
      <c r="K9" s="84">
        <f>E36</f>
        <v>1.1438383838383839E-3</v>
      </c>
      <c r="L9" s="28">
        <f t="shared" si="0"/>
        <v>28.595959595959599</v>
      </c>
      <c r="M9" s="29">
        <f>A18*B18</f>
        <v>128</v>
      </c>
      <c r="N9" s="29">
        <f>C18</f>
        <v>450</v>
      </c>
      <c r="O9" s="29">
        <f>E18+F18*D18</f>
        <v>17.5</v>
      </c>
      <c r="P9" s="29">
        <f t="shared" si="1"/>
        <v>55.555555555555557</v>
      </c>
      <c r="Q9" s="28">
        <f t="shared" si="7"/>
        <v>972.22222222222229</v>
      </c>
      <c r="R9" s="26">
        <f t="shared" si="8"/>
        <v>2304.818181818182</v>
      </c>
      <c r="S9" s="26">
        <f>G18</f>
        <v>0.3</v>
      </c>
      <c r="T9" s="26">
        <f t="shared" si="9"/>
        <v>2996.2636363636366</v>
      </c>
      <c r="U9" s="27">
        <f t="shared" si="2"/>
        <v>0.11985054545454546</v>
      </c>
      <c r="V9" s="78">
        <f>E19+F19*D19</f>
        <v>11.25</v>
      </c>
      <c r="W9" s="78">
        <f t="shared" si="10"/>
        <v>625</v>
      </c>
      <c r="X9" s="92">
        <f t="shared" si="11"/>
        <v>1957.5959595959596</v>
      </c>
      <c r="Y9" s="78">
        <f>G18</f>
        <v>0.3</v>
      </c>
      <c r="Z9" s="26">
        <f t="shared" si="12"/>
        <v>2544.8747474747474</v>
      </c>
      <c r="AA9" s="78">
        <f t="shared" si="3"/>
        <v>0.1017949898989899</v>
      </c>
      <c r="AB9" s="30">
        <v>75</v>
      </c>
      <c r="AC9" s="31">
        <f t="shared" si="13"/>
        <v>0.20973845454545453</v>
      </c>
      <c r="AD9" s="31">
        <f t="shared" si="14"/>
        <v>0.17814123232323231</v>
      </c>
    </row>
    <row r="10" spans="1:30" ht="14.4" x14ac:dyDescent="0.3">
      <c r="A10" s="15">
        <v>250</v>
      </c>
      <c r="B10" s="7" t="s">
        <v>8</v>
      </c>
      <c r="C10" s="22" t="s">
        <v>19</v>
      </c>
      <c r="D10" s="23">
        <v>35000</v>
      </c>
      <c r="E10" s="24">
        <v>0.05</v>
      </c>
      <c r="F10" s="25">
        <v>28</v>
      </c>
      <c r="G10" s="26">
        <f t="shared" si="4"/>
        <v>29.4</v>
      </c>
      <c r="H10" s="27">
        <f t="shared" si="5"/>
        <v>1029</v>
      </c>
      <c r="I10" s="27">
        <f>C26</f>
        <v>1.5999999999999999</v>
      </c>
      <c r="J10" s="89">
        <f t="shared" si="6"/>
        <v>1646.3999999999999</v>
      </c>
      <c r="K10" s="84">
        <f>E36</f>
        <v>1.1438383838383839E-3</v>
      </c>
      <c r="L10" s="28">
        <f t="shared" si="0"/>
        <v>40.034343434343434</v>
      </c>
      <c r="M10" s="29">
        <f>A18*B18</f>
        <v>128</v>
      </c>
      <c r="N10" s="29">
        <f>C18</f>
        <v>450</v>
      </c>
      <c r="O10" s="29">
        <f>E18+F18*D18</f>
        <v>17.5</v>
      </c>
      <c r="P10" s="29">
        <f t="shared" si="1"/>
        <v>77.777777777777771</v>
      </c>
      <c r="Q10" s="28">
        <f t="shared" si="7"/>
        <v>1361.1111111111111</v>
      </c>
      <c r="R10" s="26">
        <f t="shared" si="8"/>
        <v>3175.545454545454</v>
      </c>
      <c r="S10" s="26">
        <f>G18</f>
        <v>0.3</v>
      </c>
      <c r="T10" s="26">
        <f t="shared" si="9"/>
        <v>4128.2090909090903</v>
      </c>
      <c r="U10" s="27">
        <f t="shared" si="2"/>
        <v>0.11794883116883115</v>
      </c>
      <c r="V10" s="78">
        <f>E19+F19*D19</f>
        <v>11.25</v>
      </c>
      <c r="W10" s="78">
        <f t="shared" si="10"/>
        <v>874.99999999999989</v>
      </c>
      <c r="X10" s="92">
        <f t="shared" si="11"/>
        <v>2689.4343434343432</v>
      </c>
      <c r="Y10" s="78">
        <f>G18</f>
        <v>0.3</v>
      </c>
      <c r="Z10" s="26">
        <f t="shared" si="12"/>
        <v>3496.2646464646459</v>
      </c>
      <c r="AA10" s="78">
        <f t="shared" si="3"/>
        <v>9.9893275613275601E-2</v>
      </c>
      <c r="AB10" s="30">
        <v>75</v>
      </c>
      <c r="AC10" s="31">
        <f t="shared" si="13"/>
        <v>0.20641045454545454</v>
      </c>
      <c r="AD10" s="31">
        <f t="shared" si="14"/>
        <v>0.17481323232323231</v>
      </c>
    </row>
    <row r="11" spans="1:30" ht="14.4" x14ac:dyDescent="0.3">
      <c r="A11" s="15">
        <v>250</v>
      </c>
      <c r="B11" s="7" t="s">
        <v>9</v>
      </c>
      <c r="C11" s="22" t="s">
        <v>20</v>
      </c>
      <c r="D11" s="23">
        <v>45000</v>
      </c>
      <c r="E11" s="24">
        <v>0.05</v>
      </c>
      <c r="F11" s="25">
        <v>28</v>
      </c>
      <c r="G11" s="26">
        <f t="shared" si="4"/>
        <v>29.4</v>
      </c>
      <c r="H11" s="27">
        <f t="shared" si="5"/>
        <v>1323</v>
      </c>
      <c r="I11" s="27">
        <f>C26</f>
        <v>1.5999999999999999</v>
      </c>
      <c r="J11" s="89">
        <f t="shared" si="6"/>
        <v>2116.7999999999997</v>
      </c>
      <c r="K11" s="84">
        <f>E36</f>
        <v>1.1438383838383839E-3</v>
      </c>
      <c r="L11" s="28">
        <f t="shared" si="0"/>
        <v>51.472727272727276</v>
      </c>
      <c r="M11" s="29">
        <f>A18*B18</f>
        <v>128</v>
      </c>
      <c r="N11" s="29">
        <f>C18</f>
        <v>450</v>
      </c>
      <c r="O11" s="29">
        <f>E18+F18*D18</f>
        <v>17.5</v>
      </c>
      <c r="P11" s="29">
        <f t="shared" si="1"/>
        <v>100</v>
      </c>
      <c r="Q11" s="28">
        <f t="shared" si="7"/>
        <v>1750</v>
      </c>
      <c r="R11" s="26">
        <f t="shared" si="8"/>
        <v>4046.272727272727</v>
      </c>
      <c r="S11" s="26">
        <f>G18</f>
        <v>0.3</v>
      </c>
      <c r="T11" s="26">
        <f t="shared" si="9"/>
        <v>5260.1545454545449</v>
      </c>
      <c r="U11" s="27">
        <f t="shared" si="2"/>
        <v>0.11689232323232322</v>
      </c>
      <c r="V11" s="78">
        <f>E19+F19*D19</f>
        <v>11.25</v>
      </c>
      <c r="W11" s="78">
        <f t="shared" si="10"/>
        <v>1125</v>
      </c>
      <c r="X11" s="92">
        <f t="shared" si="11"/>
        <v>3421.272727272727</v>
      </c>
      <c r="Y11" s="78">
        <f>G18</f>
        <v>0.3</v>
      </c>
      <c r="Z11" s="26">
        <f t="shared" si="12"/>
        <v>4447.6545454545449</v>
      </c>
      <c r="AA11" s="78">
        <f t="shared" si="3"/>
        <v>9.8836767676767662E-2</v>
      </c>
      <c r="AB11" s="30">
        <v>70</v>
      </c>
      <c r="AC11" s="31">
        <f t="shared" si="13"/>
        <v>0.19871694949494947</v>
      </c>
      <c r="AD11" s="31">
        <f t="shared" si="14"/>
        <v>0.16802250505050503</v>
      </c>
    </row>
    <row r="12" spans="1:30" ht="14.4" x14ac:dyDescent="0.3">
      <c r="A12" s="15">
        <v>250</v>
      </c>
      <c r="B12" s="7" t="s">
        <v>10</v>
      </c>
      <c r="C12" s="22" t="s">
        <v>21</v>
      </c>
      <c r="D12" s="23">
        <v>75000</v>
      </c>
      <c r="E12" s="24">
        <v>0.05</v>
      </c>
      <c r="F12" s="25">
        <v>28</v>
      </c>
      <c r="G12" s="26">
        <f t="shared" si="4"/>
        <v>29.4</v>
      </c>
      <c r="H12" s="27">
        <f t="shared" si="5"/>
        <v>2205</v>
      </c>
      <c r="I12" s="27">
        <f>C26</f>
        <v>1.5999999999999999</v>
      </c>
      <c r="J12" s="89">
        <f t="shared" si="6"/>
        <v>3527.9999999999995</v>
      </c>
      <c r="K12" s="84">
        <f>E36</f>
        <v>1.1438383838383839E-3</v>
      </c>
      <c r="L12" s="28">
        <f t="shared" si="0"/>
        <v>85.787878787878796</v>
      </c>
      <c r="M12" s="29">
        <f>A18*B18</f>
        <v>128</v>
      </c>
      <c r="N12" s="29">
        <f>C18</f>
        <v>450</v>
      </c>
      <c r="O12" s="29">
        <f>E18+F18*D18</f>
        <v>17.5</v>
      </c>
      <c r="P12" s="29">
        <f t="shared" si="1"/>
        <v>166.66666666666666</v>
      </c>
      <c r="Q12" s="28">
        <f>O12*P12</f>
        <v>2916.6666666666665</v>
      </c>
      <c r="R12" s="26">
        <f t="shared" si="8"/>
        <v>6658.454545454545</v>
      </c>
      <c r="S12" s="26">
        <f>G18</f>
        <v>0.3</v>
      </c>
      <c r="T12" s="26">
        <f t="shared" si="9"/>
        <v>8655.9909090909077</v>
      </c>
      <c r="U12" s="27">
        <f t="shared" si="2"/>
        <v>0.1154132121212121</v>
      </c>
      <c r="V12" s="78">
        <f>E19+F19*D19</f>
        <v>11.25</v>
      </c>
      <c r="W12" s="78">
        <f t="shared" si="10"/>
        <v>1875</v>
      </c>
      <c r="X12" s="92">
        <f t="shared" si="11"/>
        <v>5616.7878787878781</v>
      </c>
      <c r="Y12" s="78">
        <f>G18</f>
        <v>0.3</v>
      </c>
      <c r="Z12" s="26">
        <f t="shared" si="12"/>
        <v>7301.8242424242417</v>
      </c>
      <c r="AA12" s="78">
        <f t="shared" si="3"/>
        <v>9.735765656565655E-2</v>
      </c>
      <c r="AB12" s="30">
        <v>70</v>
      </c>
      <c r="AC12" s="31">
        <f t="shared" si="13"/>
        <v>0.19620246060606056</v>
      </c>
      <c r="AD12" s="31">
        <f t="shared" si="14"/>
        <v>0.16550801616161614</v>
      </c>
    </row>
    <row r="13" spans="1:30" ht="14.4" x14ac:dyDescent="0.3">
      <c r="A13" s="15">
        <v>250</v>
      </c>
      <c r="B13" s="7" t="s">
        <v>11</v>
      </c>
      <c r="C13" s="22" t="s">
        <v>22</v>
      </c>
      <c r="D13" s="23">
        <v>125000</v>
      </c>
      <c r="E13" s="24">
        <v>0.03</v>
      </c>
      <c r="F13" s="25">
        <v>28</v>
      </c>
      <c r="G13" s="26">
        <f t="shared" si="4"/>
        <v>28.84</v>
      </c>
      <c r="H13" s="27">
        <f t="shared" si="5"/>
        <v>3605</v>
      </c>
      <c r="I13" s="27">
        <f>C26</f>
        <v>1.5999999999999999</v>
      </c>
      <c r="J13" s="89">
        <f t="shared" si="6"/>
        <v>5767.9999999999991</v>
      </c>
      <c r="K13" s="84">
        <f>E36</f>
        <v>1.1438383838383839E-3</v>
      </c>
      <c r="L13" s="28">
        <f t="shared" si="0"/>
        <v>142.97979797979798</v>
      </c>
      <c r="M13" s="29">
        <f>A18*B18</f>
        <v>128</v>
      </c>
      <c r="N13" s="29">
        <f>C18</f>
        <v>450</v>
      </c>
      <c r="O13" s="29">
        <f>E18+F18*D18</f>
        <v>17.5</v>
      </c>
      <c r="P13" s="29">
        <f t="shared" si="1"/>
        <v>277.77777777777777</v>
      </c>
      <c r="Q13" s="28">
        <f t="shared" si="7"/>
        <v>4861.1111111111113</v>
      </c>
      <c r="R13" s="26">
        <f t="shared" si="8"/>
        <v>10900.090909090908</v>
      </c>
      <c r="S13" s="26">
        <f>G18</f>
        <v>0.3</v>
      </c>
      <c r="T13" s="26">
        <f t="shared" si="9"/>
        <v>14170.118181818179</v>
      </c>
      <c r="U13" s="27">
        <f t="shared" si="2"/>
        <v>0.11336094545454543</v>
      </c>
      <c r="V13" s="78">
        <f>E19+F19*D19</f>
        <v>11.25</v>
      </c>
      <c r="W13" s="78">
        <f t="shared" si="10"/>
        <v>3125</v>
      </c>
      <c r="X13" s="92">
        <f t="shared" si="11"/>
        <v>9163.9797979797968</v>
      </c>
      <c r="Y13" s="78">
        <f>G18</f>
        <v>0.3</v>
      </c>
      <c r="Z13" s="26">
        <f t="shared" si="12"/>
        <v>11913.173737373736</v>
      </c>
      <c r="AA13" s="78">
        <f t="shared" si="3"/>
        <v>9.5305389898989887E-2</v>
      </c>
      <c r="AB13" s="30">
        <v>65</v>
      </c>
      <c r="AC13" s="31">
        <f t="shared" si="13"/>
        <v>0.18704555999999994</v>
      </c>
      <c r="AD13" s="31">
        <f t="shared" si="14"/>
        <v>0.15725389333333331</v>
      </c>
    </row>
    <row r="14" spans="1:30" ht="15" thickBot="1" x14ac:dyDescent="0.35">
      <c r="A14" s="15">
        <v>250</v>
      </c>
      <c r="B14" s="7" t="s">
        <v>12</v>
      </c>
      <c r="C14" s="22" t="s">
        <v>23</v>
      </c>
      <c r="D14" s="23">
        <v>200000</v>
      </c>
      <c r="E14" s="24">
        <v>0.03</v>
      </c>
      <c r="F14" s="25">
        <v>28</v>
      </c>
      <c r="G14" s="26">
        <f t="shared" si="4"/>
        <v>28.84</v>
      </c>
      <c r="H14" s="27">
        <f t="shared" si="5"/>
        <v>5768</v>
      </c>
      <c r="I14" s="27">
        <f>C26</f>
        <v>1.5999999999999999</v>
      </c>
      <c r="J14" s="89">
        <f t="shared" si="6"/>
        <v>9228.7999999999993</v>
      </c>
      <c r="K14" s="84">
        <f>E36</f>
        <v>1.1438383838383839E-3</v>
      </c>
      <c r="L14" s="28">
        <f t="shared" si="0"/>
        <v>228.76767676767679</v>
      </c>
      <c r="M14" s="29">
        <f>A18*B18</f>
        <v>128</v>
      </c>
      <c r="N14" s="29">
        <f>C18</f>
        <v>450</v>
      </c>
      <c r="O14" s="29">
        <f>E18+F18*D18</f>
        <v>17.5</v>
      </c>
      <c r="P14" s="29">
        <f t="shared" si="1"/>
        <v>444.44444444444446</v>
      </c>
      <c r="Q14" s="28">
        <f t="shared" si="7"/>
        <v>7777.7777777777783</v>
      </c>
      <c r="R14" s="26">
        <f t="shared" si="8"/>
        <v>17363.345454545455</v>
      </c>
      <c r="S14" s="26">
        <f>G18</f>
        <v>0.3</v>
      </c>
      <c r="T14" s="26">
        <f t="shared" si="9"/>
        <v>22572.349090909091</v>
      </c>
      <c r="U14" s="27">
        <f t="shared" si="2"/>
        <v>0.11286174545454546</v>
      </c>
      <c r="V14" s="78">
        <f>E19+F19*D19</f>
        <v>11.25</v>
      </c>
      <c r="W14" s="78">
        <f t="shared" si="10"/>
        <v>5000</v>
      </c>
      <c r="X14" s="92">
        <f t="shared" si="11"/>
        <v>14585.567676767676</v>
      </c>
      <c r="Y14" s="78">
        <f>G18</f>
        <v>0.3</v>
      </c>
      <c r="Z14" s="26">
        <f t="shared" si="12"/>
        <v>18961.237979797977</v>
      </c>
      <c r="AA14" s="78">
        <f t="shared" si="3"/>
        <v>9.4806189898989882E-2</v>
      </c>
      <c r="AB14" s="30">
        <v>60</v>
      </c>
      <c r="AC14" s="32">
        <f t="shared" si="13"/>
        <v>0.18057879272727273</v>
      </c>
      <c r="AD14" s="32">
        <f t="shared" si="14"/>
        <v>0.15168990383838382</v>
      </c>
    </row>
    <row r="15" spans="1:30" ht="14.4" thickBot="1" x14ac:dyDescent="0.35"/>
    <row r="16" spans="1:30" x14ac:dyDescent="0.3">
      <c r="A16" s="33" t="s">
        <v>27</v>
      </c>
      <c r="B16" s="34"/>
      <c r="C16" s="34"/>
      <c r="D16" s="34"/>
      <c r="E16" s="34"/>
      <c r="F16" s="34"/>
      <c r="G16" s="35"/>
      <c r="AC16" s="80"/>
    </row>
    <row r="17" spans="1:12" x14ac:dyDescent="0.3">
      <c r="A17" s="36" t="s">
        <v>28</v>
      </c>
      <c r="B17" s="37" t="s">
        <v>29</v>
      </c>
      <c r="C17" s="37" t="s">
        <v>30</v>
      </c>
      <c r="D17" s="37" t="s">
        <v>31</v>
      </c>
      <c r="E17" s="37" t="s">
        <v>32</v>
      </c>
      <c r="F17" s="37" t="s">
        <v>33</v>
      </c>
      <c r="G17" s="38" t="s">
        <v>34</v>
      </c>
      <c r="J17" s="39"/>
      <c r="K17" s="85"/>
      <c r="L17" s="14" t="s">
        <v>59</v>
      </c>
    </row>
    <row r="18" spans="1:12" ht="14.4" thickBot="1" x14ac:dyDescent="0.35">
      <c r="A18" s="40">
        <v>4</v>
      </c>
      <c r="B18" s="41">
        <v>32</v>
      </c>
      <c r="C18" s="41">
        <v>450</v>
      </c>
      <c r="D18" s="41">
        <v>0.5</v>
      </c>
      <c r="E18" s="41">
        <v>5</v>
      </c>
      <c r="F18" s="42">
        <v>25</v>
      </c>
      <c r="G18" s="43">
        <v>0.3</v>
      </c>
    </row>
    <row r="19" spans="1:12" ht="14.4" thickBot="1" x14ac:dyDescent="0.35">
      <c r="A19" s="40">
        <v>4</v>
      </c>
      <c r="B19" s="41">
        <v>32</v>
      </c>
      <c r="C19" s="41">
        <v>450</v>
      </c>
      <c r="D19" s="41">
        <v>0.25</v>
      </c>
      <c r="E19" s="41">
        <v>5</v>
      </c>
      <c r="F19" s="42">
        <v>25</v>
      </c>
      <c r="G19" s="43">
        <v>0.3</v>
      </c>
    </row>
    <row r="20" spans="1:12" ht="14.4" thickBot="1" x14ac:dyDescent="0.35">
      <c r="J20" s="44"/>
      <c r="K20" s="86"/>
      <c r="L20" s="14" t="s">
        <v>60</v>
      </c>
    </row>
    <row r="21" spans="1:12" x14ac:dyDescent="0.3">
      <c r="A21" s="45" t="s">
        <v>35</v>
      </c>
      <c r="B21" s="46"/>
      <c r="C21" s="46" t="s">
        <v>36</v>
      </c>
      <c r="D21" s="47" t="s">
        <v>37</v>
      </c>
    </row>
    <row r="22" spans="1:12" x14ac:dyDescent="0.3">
      <c r="A22" s="48" t="s">
        <v>40</v>
      </c>
      <c r="B22" s="49">
        <v>1.5</v>
      </c>
      <c r="C22" s="50">
        <v>96</v>
      </c>
      <c r="D22" s="51"/>
    </row>
    <row r="23" spans="1:12" x14ac:dyDescent="0.3">
      <c r="A23" s="48" t="s">
        <v>40</v>
      </c>
      <c r="B23" s="49">
        <v>4</v>
      </c>
      <c r="C23" s="50">
        <v>4</v>
      </c>
      <c r="D23" s="51"/>
    </row>
    <row r="24" spans="1:12" x14ac:dyDescent="0.3">
      <c r="A24" s="48" t="s">
        <v>40</v>
      </c>
      <c r="B24" s="49">
        <v>0</v>
      </c>
      <c r="C24" s="50"/>
      <c r="D24" s="51"/>
    </row>
    <row r="25" spans="1:12" ht="14.4" thickBot="1" x14ac:dyDescent="0.35">
      <c r="A25" s="48" t="s">
        <v>44</v>
      </c>
      <c r="B25" s="49">
        <v>0</v>
      </c>
      <c r="C25" s="50"/>
      <c r="D25" s="51"/>
    </row>
    <row r="26" spans="1:12" ht="14.4" thickBot="1" x14ac:dyDescent="0.35">
      <c r="A26" s="52" t="s">
        <v>45</v>
      </c>
      <c r="B26" s="53">
        <f>SUM(B22:B25)</f>
        <v>5.5</v>
      </c>
      <c r="C26" s="54">
        <f>(B22*C22/100)+(B23*C23/100)+(B24*C24/100)+(B25*C25/100)</f>
        <v>1.5999999999999999</v>
      </c>
      <c r="D26" s="55" t="s">
        <v>62</v>
      </c>
    </row>
    <row r="27" spans="1:12" ht="14.4" thickBot="1" x14ac:dyDescent="0.35"/>
    <row r="28" spans="1:12" x14ac:dyDescent="0.3">
      <c r="A28" s="56" t="s">
        <v>38</v>
      </c>
      <c r="B28" s="57"/>
      <c r="C28" s="58"/>
      <c r="D28" s="59" t="s">
        <v>39</v>
      </c>
      <c r="E28" s="60" t="s">
        <v>97</v>
      </c>
    </row>
    <row r="29" spans="1:12" x14ac:dyDescent="0.3">
      <c r="A29" s="61" t="s">
        <v>42</v>
      </c>
      <c r="B29" s="62">
        <v>1100</v>
      </c>
      <c r="C29" s="63"/>
      <c r="D29" s="64"/>
      <c r="E29" s="65"/>
    </row>
    <row r="30" spans="1:12" x14ac:dyDescent="0.3">
      <c r="A30" s="61" t="s">
        <v>86</v>
      </c>
      <c r="B30" s="62">
        <v>9</v>
      </c>
      <c r="C30" s="63" t="s">
        <v>41</v>
      </c>
      <c r="D30" s="66">
        <v>0.68100000000000005</v>
      </c>
      <c r="E30" s="65">
        <f>D30*B30</f>
        <v>6.1290000000000004</v>
      </c>
    </row>
    <row r="31" spans="1:12" x14ac:dyDescent="0.3">
      <c r="A31" s="61" t="s">
        <v>87</v>
      </c>
      <c r="B31" s="62">
        <f>B30*B29</f>
        <v>9900</v>
      </c>
      <c r="C31" s="67"/>
      <c r="D31" s="68"/>
      <c r="E31" s="65"/>
    </row>
    <row r="32" spans="1:12" x14ac:dyDescent="0.3">
      <c r="A32" s="61" t="s">
        <v>88</v>
      </c>
      <c r="B32" s="62">
        <v>9</v>
      </c>
      <c r="C32" s="63" t="s">
        <v>43</v>
      </c>
      <c r="D32" s="69">
        <v>0.13800000000000001</v>
      </c>
      <c r="E32" s="65">
        <f>D32*B32</f>
        <v>1.242</v>
      </c>
    </row>
    <row r="33" spans="1:5" x14ac:dyDescent="0.3">
      <c r="A33" s="61" t="s">
        <v>46</v>
      </c>
      <c r="B33" s="62">
        <f>B32*5</f>
        <v>45</v>
      </c>
      <c r="C33" s="63" t="s">
        <v>47</v>
      </c>
      <c r="D33" s="66">
        <v>4.3400000000000001E-2</v>
      </c>
      <c r="E33" s="65">
        <f>D33*B33</f>
        <v>1.9530000000000001</v>
      </c>
    </row>
    <row r="34" spans="1:5" ht="14.4" thickBot="1" x14ac:dyDescent="0.35">
      <c r="A34" s="70" t="s">
        <v>48</v>
      </c>
      <c r="B34" s="71" t="s">
        <v>49</v>
      </c>
      <c r="C34" s="72" t="s">
        <v>50</v>
      </c>
      <c r="D34" s="73">
        <v>2</v>
      </c>
      <c r="E34" s="74">
        <f>D34</f>
        <v>2</v>
      </c>
    </row>
    <row r="35" spans="1:5" ht="14.4" thickBot="1" x14ac:dyDescent="0.35">
      <c r="E35" s="75">
        <f>SUM(E29:E34)</f>
        <v>11.324</v>
      </c>
    </row>
    <row r="36" spans="1:5" ht="14.4" thickBot="1" x14ac:dyDescent="0.35">
      <c r="D36" s="76" t="s">
        <v>98</v>
      </c>
      <c r="E36" s="77">
        <f>E35/B31</f>
        <v>1.1438383838383839E-3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B7D45-6900-4F38-9F3B-E5E24DEA2721}">
  <dimension ref="A2:AD36"/>
  <sheetViews>
    <sheetView topLeftCell="G1" workbookViewId="0">
      <selection activeCell="T4" sqref="T4:T14"/>
    </sheetView>
  </sheetViews>
  <sheetFormatPr defaultColWidth="9.109375" defaultRowHeight="13.8" x14ac:dyDescent="0.3"/>
  <cols>
    <col min="1" max="1" width="28.6640625" style="14" bestFit="1" customWidth="1"/>
    <col min="2" max="2" width="10.109375" style="14" bestFit="1" customWidth="1"/>
    <col min="3" max="3" width="21" style="14" bestFit="1" customWidth="1"/>
    <col min="4" max="4" width="12.44140625" style="14" bestFit="1" customWidth="1"/>
    <col min="5" max="5" width="21" style="14" bestFit="1" customWidth="1"/>
    <col min="6" max="6" width="14.88671875" style="14" bestFit="1" customWidth="1"/>
    <col min="7" max="7" width="23.5546875" style="14" bestFit="1" customWidth="1"/>
    <col min="8" max="8" width="18.6640625" style="14" customWidth="1"/>
    <col min="9" max="9" width="0.109375" style="14" customWidth="1"/>
    <col min="10" max="10" width="9.5546875" style="14" bestFit="1" customWidth="1"/>
    <col min="11" max="11" width="15.33203125" style="82" customWidth="1"/>
    <col min="12" max="12" width="17.5546875" style="14" bestFit="1" customWidth="1"/>
    <col min="13" max="13" width="19.33203125" style="14" customWidth="1"/>
    <col min="14" max="14" width="9.109375" style="14" customWidth="1"/>
    <col min="15" max="15" width="22.88671875" style="14" customWidth="1"/>
    <col min="16" max="16" width="11.88671875" style="14" customWidth="1"/>
    <col min="17" max="17" width="23.5546875" style="14" bestFit="1" customWidth="1"/>
    <col min="18" max="18" width="24.33203125" style="14" customWidth="1"/>
    <col min="19" max="19" width="11" style="14" customWidth="1"/>
    <col min="20" max="20" width="35.5546875" style="14" bestFit="1" customWidth="1"/>
    <col min="21" max="21" width="14.6640625" style="14" bestFit="1" customWidth="1"/>
    <col min="22" max="27" width="14.6640625" style="14" customWidth="1"/>
    <col min="28" max="28" width="16.5546875" style="14" bestFit="1" customWidth="1"/>
    <col min="29" max="29" width="17.44140625" style="14" bestFit="1" customWidth="1"/>
    <col min="30" max="30" width="11.88671875" style="14" bestFit="1" customWidth="1"/>
    <col min="31" max="16384" width="9.109375" style="14"/>
  </cols>
  <sheetData>
    <row r="2" spans="1:30" ht="14.4" thickBot="1" x14ac:dyDescent="0.35"/>
    <row r="3" spans="1:30" ht="74.25" customHeight="1" thickBot="1" x14ac:dyDescent="0.35">
      <c r="A3" s="15" t="s">
        <v>57</v>
      </c>
      <c r="B3" s="15" t="s">
        <v>24</v>
      </c>
      <c r="C3" s="15" t="s">
        <v>25</v>
      </c>
      <c r="D3" s="15" t="s">
        <v>26</v>
      </c>
      <c r="E3" s="15" t="s">
        <v>55</v>
      </c>
      <c r="F3" s="15" t="s">
        <v>58</v>
      </c>
      <c r="G3" s="16" t="s">
        <v>51</v>
      </c>
      <c r="H3" s="17" t="s">
        <v>52</v>
      </c>
      <c r="I3" s="17" t="s">
        <v>61</v>
      </c>
      <c r="J3" s="90" t="s">
        <v>53</v>
      </c>
      <c r="K3" s="83" t="s">
        <v>99</v>
      </c>
      <c r="L3" s="18" t="s">
        <v>96</v>
      </c>
      <c r="M3" s="19" t="s">
        <v>54</v>
      </c>
      <c r="N3" s="19" t="s">
        <v>100</v>
      </c>
      <c r="O3" s="19" t="s">
        <v>108</v>
      </c>
      <c r="P3" s="19" t="s">
        <v>101</v>
      </c>
      <c r="Q3" s="91" t="s">
        <v>116</v>
      </c>
      <c r="R3" s="87" t="s">
        <v>107</v>
      </c>
      <c r="S3" s="88" t="s">
        <v>102</v>
      </c>
      <c r="T3" s="87" t="s">
        <v>104</v>
      </c>
      <c r="U3" s="87" t="s">
        <v>105</v>
      </c>
      <c r="V3" s="19" t="s">
        <v>109</v>
      </c>
      <c r="W3" s="20" t="s">
        <v>110</v>
      </c>
      <c r="X3" s="20"/>
      <c r="Y3" s="20"/>
      <c r="Z3" s="20" t="s">
        <v>111</v>
      </c>
      <c r="AA3" s="20" t="s">
        <v>112</v>
      </c>
      <c r="AB3" s="20" t="s">
        <v>103</v>
      </c>
      <c r="AC3" s="79" t="s">
        <v>106</v>
      </c>
      <c r="AD3" s="21" t="s">
        <v>113</v>
      </c>
    </row>
    <row r="4" spans="1:30" ht="14.4" x14ac:dyDescent="0.3">
      <c r="A4" s="15">
        <v>250</v>
      </c>
      <c r="B4" s="7" t="s">
        <v>2</v>
      </c>
      <c r="C4" s="22" t="s">
        <v>13</v>
      </c>
      <c r="D4" s="23">
        <v>2000</v>
      </c>
      <c r="E4" s="24">
        <v>0.1</v>
      </c>
      <c r="F4" s="25">
        <v>28</v>
      </c>
      <c r="G4" s="26">
        <f>F4+F4*E4</f>
        <v>30.8</v>
      </c>
      <c r="H4" s="27">
        <f>(G4*D4)/1000</f>
        <v>61.6</v>
      </c>
      <c r="I4" s="27">
        <f>C26</f>
        <v>2.04</v>
      </c>
      <c r="J4" s="89">
        <f>H4*I4</f>
        <v>125.664</v>
      </c>
      <c r="K4" s="84">
        <f>E36</f>
        <v>1.1438383838383839E-3</v>
      </c>
      <c r="L4" s="28">
        <f t="shared" ref="L4:L14" si="0">K4*D4</f>
        <v>2.2876767676767678</v>
      </c>
      <c r="M4" s="29">
        <f>A18*B18</f>
        <v>128</v>
      </c>
      <c r="N4" s="29">
        <f>C18</f>
        <v>450</v>
      </c>
      <c r="O4" s="29">
        <f>E18+F18*D18</f>
        <v>17.5</v>
      </c>
      <c r="P4" s="29">
        <f t="shared" ref="P4:P14" si="1">D4/N4</f>
        <v>4.4444444444444446</v>
      </c>
      <c r="Q4" s="28">
        <f>O4*P4</f>
        <v>77.777777777777786</v>
      </c>
      <c r="R4" s="26">
        <f>Q4+L4+J4+M4</f>
        <v>333.72945454545459</v>
      </c>
      <c r="S4" s="26">
        <f>G18</f>
        <v>0.3</v>
      </c>
      <c r="T4" s="26">
        <f>R4+R4*S4</f>
        <v>433.84829090909096</v>
      </c>
      <c r="U4" s="27">
        <f t="shared" ref="U4:U14" si="2">T4/D4</f>
        <v>0.21692414545454547</v>
      </c>
      <c r="V4" s="78">
        <f>E19+F19*D19</f>
        <v>11.25</v>
      </c>
      <c r="W4" s="78">
        <f>V4*P4</f>
        <v>50</v>
      </c>
      <c r="X4" s="92">
        <f>W4+M4+L4+J4</f>
        <v>305.95167676767676</v>
      </c>
      <c r="Y4" s="78">
        <f>G18</f>
        <v>0.3</v>
      </c>
      <c r="Z4" s="26">
        <f>X4+X4*Y4</f>
        <v>397.73717979797976</v>
      </c>
      <c r="AA4" s="78">
        <f t="shared" ref="AA4:AA14" si="3">Z4/D4</f>
        <v>0.19886858989898989</v>
      </c>
      <c r="AB4" s="30">
        <v>180</v>
      </c>
      <c r="AC4" s="81">
        <f>U4*2+(U4*2*80/100)</f>
        <v>0.78092692363636362</v>
      </c>
      <c r="AD4" s="81">
        <f>AA4*2+(AA4*2*80/100)</f>
        <v>0.71592692363636368</v>
      </c>
    </row>
    <row r="5" spans="1:30" ht="14.4" x14ac:dyDescent="0.3">
      <c r="A5" s="15">
        <v>250</v>
      </c>
      <c r="B5" s="7" t="s">
        <v>3</v>
      </c>
      <c r="C5" s="22" t="s">
        <v>14</v>
      </c>
      <c r="D5" s="23">
        <v>4000</v>
      </c>
      <c r="E5" s="24">
        <v>0.1</v>
      </c>
      <c r="F5" s="25">
        <v>28</v>
      </c>
      <c r="G5" s="26">
        <f t="shared" ref="G5:G14" si="4">F5+F5*E5</f>
        <v>30.8</v>
      </c>
      <c r="H5" s="27">
        <f t="shared" ref="H5:H14" si="5">(G5*D5)/1000</f>
        <v>123.2</v>
      </c>
      <c r="I5" s="27">
        <f>C26</f>
        <v>2.04</v>
      </c>
      <c r="J5" s="89">
        <f t="shared" ref="J5:J14" si="6">H5*I5</f>
        <v>251.328</v>
      </c>
      <c r="K5" s="84">
        <f>E36</f>
        <v>1.1438383838383839E-3</v>
      </c>
      <c r="L5" s="28">
        <f t="shared" si="0"/>
        <v>4.5753535353535355</v>
      </c>
      <c r="M5" s="29">
        <f>A18*B18</f>
        <v>128</v>
      </c>
      <c r="N5" s="29">
        <f>C18</f>
        <v>450</v>
      </c>
      <c r="O5" s="29">
        <f>E18+F18*D18</f>
        <v>17.5</v>
      </c>
      <c r="P5" s="29">
        <f t="shared" si="1"/>
        <v>8.8888888888888893</v>
      </c>
      <c r="Q5" s="28">
        <f t="shared" ref="Q5:Q14" si="7">O5*P5</f>
        <v>155.55555555555557</v>
      </c>
      <c r="R5" s="26">
        <f t="shared" ref="R5:R14" si="8">Q5+L5+J5+M5</f>
        <v>539.45890909090917</v>
      </c>
      <c r="S5" s="26">
        <f>G18</f>
        <v>0.3</v>
      </c>
      <c r="T5" s="26">
        <f t="shared" ref="T5:T14" si="9">R5+R5*S5</f>
        <v>701.29658181818195</v>
      </c>
      <c r="U5" s="27">
        <f t="shared" si="2"/>
        <v>0.1753241454545455</v>
      </c>
      <c r="V5" s="78">
        <f>E19+F19*D19</f>
        <v>11.25</v>
      </c>
      <c r="W5" s="78">
        <f t="shared" ref="W5:W14" si="10">V5*P5</f>
        <v>100</v>
      </c>
      <c r="X5" s="92">
        <f t="shared" ref="X5:X14" si="11">W5+M5+L5+J5</f>
        <v>483.90335353535352</v>
      </c>
      <c r="Y5" s="78">
        <f>G18</f>
        <v>0.3</v>
      </c>
      <c r="Z5" s="26">
        <f t="shared" ref="Z5:Z14" si="12">X5+X5*Y5</f>
        <v>629.07435959595955</v>
      </c>
      <c r="AA5" s="78">
        <f t="shared" si="3"/>
        <v>0.1572685898989899</v>
      </c>
      <c r="AB5" s="30">
        <v>160</v>
      </c>
      <c r="AC5" s="31">
        <f>U5*2+(U5*2*80/100)</f>
        <v>0.63116692363636384</v>
      </c>
      <c r="AD5" s="31">
        <f>AA5*2+(AA5*2*80/100)</f>
        <v>0.56616692363636356</v>
      </c>
    </row>
    <row r="6" spans="1:30" ht="14.4" x14ac:dyDescent="0.3">
      <c r="A6" s="15">
        <v>250</v>
      </c>
      <c r="B6" s="7" t="s">
        <v>4</v>
      </c>
      <c r="C6" s="22" t="s">
        <v>15</v>
      </c>
      <c r="D6" s="23">
        <v>7500</v>
      </c>
      <c r="E6" s="24">
        <v>7.0000000000000007E-2</v>
      </c>
      <c r="F6" s="25">
        <v>28</v>
      </c>
      <c r="G6" s="26">
        <f t="shared" si="4"/>
        <v>29.96</v>
      </c>
      <c r="H6" s="27">
        <f t="shared" si="5"/>
        <v>224.7</v>
      </c>
      <c r="I6" s="27">
        <f>C26</f>
        <v>2.04</v>
      </c>
      <c r="J6" s="89">
        <f t="shared" si="6"/>
        <v>458.38799999999998</v>
      </c>
      <c r="K6" s="84">
        <f>E36</f>
        <v>1.1438383838383839E-3</v>
      </c>
      <c r="L6" s="28">
        <f t="shared" si="0"/>
        <v>8.57878787878788</v>
      </c>
      <c r="M6" s="29">
        <f>A18*B18</f>
        <v>128</v>
      </c>
      <c r="N6" s="29">
        <f>C18</f>
        <v>450</v>
      </c>
      <c r="O6" s="29">
        <f>E18+F18*D18</f>
        <v>17.5</v>
      </c>
      <c r="P6" s="29">
        <f t="shared" si="1"/>
        <v>16.666666666666668</v>
      </c>
      <c r="Q6" s="28">
        <f t="shared" si="7"/>
        <v>291.66666666666669</v>
      </c>
      <c r="R6" s="26">
        <f t="shared" si="8"/>
        <v>886.63345454545447</v>
      </c>
      <c r="S6" s="26">
        <f>G18</f>
        <v>0.3</v>
      </c>
      <c r="T6" s="26">
        <f t="shared" si="9"/>
        <v>1152.6234909090908</v>
      </c>
      <c r="U6" s="27">
        <f t="shared" si="2"/>
        <v>0.15368313212121212</v>
      </c>
      <c r="V6" s="78">
        <f>E19+F19*D19</f>
        <v>11.25</v>
      </c>
      <c r="W6" s="78">
        <f t="shared" si="10"/>
        <v>187.5</v>
      </c>
      <c r="X6" s="92">
        <f t="shared" si="11"/>
        <v>782.46678787878784</v>
      </c>
      <c r="Y6" s="78">
        <f>G18</f>
        <v>0.3</v>
      </c>
      <c r="Z6" s="26">
        <f t="shared" si="12"/>
        <v>1017.2068242424242</v>
      </c>
      <c r="AA6" s="78">
        <f t="shared" si="3"/>
        <v>0.13562757656565655</v>
      </c>
      <c r="AB6" s="30">
        <v>140</v>
      </c>
      <c r="AC6" s="31">
        <f>U6*2+(U6*2*80/100)</f>
        <v>0.55325927563636368</v>
      </c>
      <c r="AD6" s="31">
        <f>AA6*2+(AA6*2*80/100)</f>
        <v>0.48825927563636357</v>
      </c>
    </row>
    <row r="7" spans="1:30" ht="14.4" x14ac:dyDescent="0.3">
      <c r="A7" s="15">
        <v>250</v>
      </c>
      <c r="B7" s="7" t="s">
        <v>5</v>
      </c>
      <c r="C7" s="22" t="s">
        <v>16</v>
      </c>
      <c r="D7" s="23">
        <v>12500</v>
      </c>
      <c r="E7" s="24">
        <v>7.0000000000000007E-2</v>
      </c>
      <c r="F7" s="25">
        <v>28</v>
      </c>
      <c r="G7" s="26">
        <f t="shared" si="4"/>
        <v>29.96</v>
      </c>
      <c r="H7" s="27">
        <f t="shared" si="5"/>
        <v>374.5</v>
      </c>
      <c r="I7" s="27">
        <f>C26</f>
        <v>2.04</v>
      </c>
      <c r="J7" s="89">
        <f t="shared" si="6"/>
        <v>763.98</v>
      </c>
      <c r="K7" s="84">
        <f>E36</f>
        <v>1.1438383838383839E-3</v>
      </c>
      <c r="L7" s="28">
        <f t="shared" si="0"/>
        <v>14.297979797979799</v>
      </c>
      <c r="M7" s="29">
        <f>A18*B18</f>
        <v>128</v>
      </c>
      <c r="N7" s="29">
        <f>C18</f>
        <v>450</v>
      </c>
      <c r="O7" s="29">
        <f>E18+F18*D18</f>
        <v>17.5</v>
      </c>
      <c r="P7" s="29">
        <f t="shared" si="1"/>
        <v>27.777777777777779</v>
      </c>
      <c r="Q7" s="28">
        <f t="shared" si="7"/>
        <v>486.11111111111114</v>
      </c>
      <c r="R7" s="26">
        <f t="shared" si="8"/>
        <v>1392.389090909091</v>
      </c>
      <c r="S7" s="26">
        <f>G18</f>
        <v>0.3</v>
      </c>
      <c r="T7" s="26">
        <f t="shared" si="9"/>
        <v>1810.1058181818182</v>
      </c>
      <c r="U7" s="27">
        <f t="shared" si="2"/>
        <v>0.14480846545454545</v>
      </c>
      <c r="V7" s="78">
        <f>E19+F19*D19</f>
        <v>11.25</v>
      </c>
      <c r="W7" s="78">
        <f t="shared" si="10"/>
        <v>312.5</v>
      </c>
      <c r="X7" s="92">
        <f t="shared" si="11"/>
        <v>1218.7779797979797</v>
      </c>
      <c r="Y7" s="78">
        <f>G18</f>
        <v>0.3</v>
      </c>
      <c r="Z7" s="26">
        <f t="shared" si="12"/>
        <v>1584.4113737373737</v>
      </c>
      <c r="AA7" s="78">
        <f t="shared" si="3"/>
        <v>0.12675290989898988</v>
      </c>
      <c r="AB7" s="30">
        <v>85</v>
      </c>
      <c r="AC7" s="31">
        <f>U7+U7*AB7/100</f>
        <v>0.26789566109090912</v>
      </c>
      <c r="AD7" s="31">
        <f>AA7+AA7*AB7/100</f>
        <v>0.23449288331313128</v>
      </c>
    </row>
    <row r="8" spans="1:30" ht="14.4" x14ac:dyDescent="0.3">
      <c r="A8" s="15">
        <v>250</v>
      </c>
      <c r="B8" s="7" t="s">
        <v>6</v>
      </c>
      <c r="C8" s="22" t="s">
        <v>17</v>
      </c>
      <c r="D8" s="23">
        <v>17500</v>
      </c>
      <c r="E8" s="24">
        <v>7.0000000000000007E-2</v>
      </c>
      <c r="F8" s="25">
        <v>28</v>
      </c>
      <c r="G8" s="26">
        <f t="shared" si="4"/>
        <v>29.96</v>
      </c>
      <c r="H8" s="27">
        <f t="shared" si="5"/>
        <v>524.29999999999995</v>
      </c>
      <c r="I8" s="27">
        <f>C26</f>
        <v>2.04</v>
      </c>
      <c r="J8" s="89">
        <f t="shared" si="6"/>
        <v>1069.5719999999999</v>
      </c>
      <c r="K8" s="84">
        <f>E36</f>
        <v>1.1438383838383839E-3</v>
      </c>
      <c r="L8" s="28">
        <f t="shared" si="0"/>
        <v>20.017171717171717</v>
      </c>
      <c r="M8" s="29">
        <f>A18*B18</f>
        <v>128</v>
      </c>
      <c r="N8" s="29">
        <f>C18</f>
        <v>450</v>
      </c>
      <c r="O8" s="29">
        <f>E18+F18*D18</f>
        <v>17.5</v>
      </c>
      <c r="P8" s="29">
        <f t="shared" si="1"/>
        <v>38.888888888888886</v>
      </c>
      <c r="Q8" s="28">
        <f t="shared" si="7"/>
        <v>680.55555555555554</v>
      </c>
      <c r="R8" s="26">
        <f t="shared" si="8"/>
        <v>1898.1447272727271</v>
      </c>
      <c r="S8" s="26">
        <f>G18</f>
        <v>0.3</v>
      </c>
      <c r="T8" s="26">
        <f t="shared" si="9"/>
        <v>2467.5881454545452</v>
      </c>
      <c r="U8" s="27">
        <f t="shared" si="2"/>
        <v>0.14100503688311686</v>
      </c>
      <c r="V8" s="78">
        <f>E19+F19*D19</f>
        <v>11.25</v>
      </c>
      <c r="W8" s="78">
        <f t="shared" si="10"/>
        <v>437.49999999999994</v>
      </c>
      <c r="X8" s="92">
        <f t="shared" si="11"/>
        <v>1655.0891717171717</v>
      </c>
      <c r="Y8" s="78">
        <f>G18</f>
        <v>0.3</v>
      </c>
      <c r="Z8" s="26">
        <f t="shared" si="12"/>
        <v>2151.615923232323</v>
      </c>
      <c r="AA8" s="78">
        <f t="shared" si="3"/>
        <v>0.12294948132756131</v>
      </c>
      <c r="AB8" s="30">
        <v>80</v>
      </c>
      <c r="AC8" s="31">
        <f t="shared" ref="AC8:AC14" si="13">U8+U8*AB8/100</f>
        <v>0.25380906638961032</v>
      </c>
      <c r="AD8" s="31">
        <f t="shared" ref="AD8:AD14" si="14">AA8+AA8*AB8/100</f>
        <v>0.22130906638961037</v>
      </c>
    </row>
    <row r="9" spans="1:30" ht="14.4" x14ac:dyDescent="0.3">
      <c r="A9" s="15">
        <v>250</v>
      </c>
      <c r="B9" s="7" t="s">
        <v>7</v>
      </c>
      <c r="C9" s="22" t="s">
        <v>18</v>
      </c>
      <c r="D9" s="23">
        <v>25000</v>
      </c>
      <c r="E9" s="24">
        <v>0.05</v>
      </c>
      <c r="F9" s="25">
        <v>28</v>
      </c>
      <c r="G9" s="26">
        <f t="shared" si="4"/>
        <v>29.4</v>
      </c>
      <c r="H9" s="27">
        <f t="shared" si="5"/>
        <v>735</v>
      </c>
      <c r="I9" s="27">
        <f>C26</f>
        <v>2.04</v>
      </c>
      <c r="J9" s="89">
        <f t="shared" si="6"/>
        <v>1499.4</v>
      </c>
      <c r="K9" s="84">
        <f>E36</f>
        <v>1.1438383838383839E-3</v>
      </c>
      <c r="L9" s="28">
        <f t="shared" si="0"/>
        <v>28.595959595959599</v>
      </c>
      <c r="M9" s="29">
        <f>A18*B18</f>
        <v>128</v>
      </c>
      <c r="N9" s="29">
        <f>C18</f>
        <v>450</v>
      </c>
      <c r="O9" s="29">
        <f>E18+F18*D18</f>
        <v>17.5</v>
      </c>
      <c r="P9" s="29">
        <f t="shared" si="1"/>
        <v>55.555555555555557</v>
      </c>
      <c r="Q9" s="28">
        <f t="shared" si="7"/>
        <v>972.22222222222229</v>
      </c>
      <c r="R9" s="26">
        <f t="shared" si="8"/>
        <v>2628.2181818181821</v>
      </c>
      <c r="S9" s="26">
        <f>G18</f>
        <v>0.3</v>
      </c>
      <c r="T9" s="26">
        <f t="shared" si="9"/>
        <v>3416.6836363636367</v>
      </c>
      <c r="U9" s="27">
        <f t="shared" si="2"/>
        <v>0.13666734545454545</v>
      </c>
      <c r="V9" s="78">
        <f>E19+F19*D19</f>
        <v>11.25</v>
      </c>
      <c r="W9" s="78">
        <f t="shared" si="10"/>
        <v>625</v>
      </c>
      <c r="X9" s="92">
        <f t="shared" si="11"/>
        <v>2280.9959595959599</v>
      </c>
      <c r="Y9" s="78">
        <f>G18</f>
        <v>0.3</v>
      </c>
      <c r="Z9" s="26">
        <f t="shared" si="12"/>
        <v>2965.294747474748</v>
      </c>
      <c r="AA9" s="78">
        <f t="shared" si="3"/>
        <v>0.11861178989898992</v>
      </c>
      <c r="AB9" s="30">
        <v>75</v>
      </c>
      <c r="AC9" s="31">
        <f t="shared" si="13"/>
        <v>0.23916785454545453</v>
      </c>
      <c r="AD9" s="31">
        <f t="shared" si="14"/>
        <v>0.20757063232323236</v>
      </c>
    </row>
    <row r="10" spans="1:30" ht="14.4" x14ac:dyDescent="0.3">
      <c r="A10" s="15">
        <v>250</v>
      </c>
      <c r="B10" s="7" t="s">
        <v>8</v>
      </c>
      <c r="C10" s="22" t="s">
        <v>19</v>
      </c>
      <c r="D10" s="23">
        <v>35000</v>
      </c>
      <c r="E10" s="24">
        <v>0.05</v>
      </c>
      <c r="F10" s="25">
        <v>28</v>
      </c>
      <c r="G10" s="26">
        <f t="shared" si="4"/>
        <v>29.4</v>
      </c>
      <c r="H10" s="27">
        <f t="shared" si="5"/>
        <v>1029</v>
      </c>
      <c r="I10" s="27">
        <f>C26</f>
        <v>2.04</v>
      </c>
      <c r="J10" s="89">
        <f t="shared" si="6"/>
        <v>2099.16</v>
      </c>
      <c r="K10" s="84">
        <f>E36</f>
        <v>1.1438383838383839E-3</v>
      </c>
      <c r="L10" s="28">
        <f t="shared" si="0"/>
        <v>40.034343434343434</v>
      </c>
      <c r="M10" s="29">
        <f>A18*B18</f>
        <v>128</v>
      </c>
      <c r="N10" s="29">
        <f>C18</f>
        <v>450</v>
      </c>
      <c r="O10" s="29">
        <f>E18+F18*D18</f>
        <v>17.5</v>
      </c>
      <c r="P10" s="29">
        <f t="shared" si="1"/>
        <v>77.777777777777771</v>
      </c>
      <c r="Q10" s="28">
        <f t="shared" si="7"/>
        <v>1361.1111111111111</v>
      </c>
      <c r="R10" s="26">
        <f t="shared" si="8"/>
        <v>3628.3054545454543</v>
      </c>
      <c r="S10" s="26">
        <f>G18</f>
        <v>0.3</v>
      </c>
      <c r="T10" s="26">
        <f t="shared" si="9"/>
        <v>4716.7970909090909</v>
      </c>
      <c r="U10" s="27">
        <f t="shared" si="2"/>
        <v>0.13476563116883117</v>
      </c>
      <c r="V10" s="78">
        <f>E19+F19*D19</f>
        <v>11.25</v>
      </c>
      <c r="W10" s="78">
        <f t="shared" si="10"/>
        <v>874.99999999999989</v>
      </c>
      <c r="X10" s="92">
        <f t="shared" si="11"/>
        <v>3142.194343434343</v>
      </c>
      <c r="Y10" s="78">
        <f>G18</f>
        <v>0.3</v>
      </c>
      <c r="Z10" s="26">
        <f t="shared" si="12"/>
        <v>4084.8526464646457</v>
      </c>
      <c r="AA10" s="78">
        <f t="shared" si="3"/>
        <v>0.11671007561327559</v>
      </c>
      <c r="AB10" s="30">
        <v>75</v>
      </c>
      <c r="AC10" s="31">
        <f t="shared" si="13"/>
        <v>0.23583985454545453</v>
      </c>
      <c r="AD10" s="31">
        <f t="shared" si="14"/>
        <v>0.20424263232323228</v>
      </c>
    </row>
    <row r="11" spans="1:30" ht="14.4" x14ac:dyDescent="0.3">
      <c r="A11" s="15">
        <v>250</v>
      </c>
      <c r="B11" s="7" t="s">
        <v>9</v>
      </c>
      <c r="C11" s="22" t="s">
        <v>20</v>
      </c>
      <c r="D11" s="23">
        <v>45000</v>
      </c>
      <c r="E11" s="24">
        <v>0.05</v>
      </c>
      <c r="F11" s="25">
        <v>28</v>
      </c>
      <c r="G11" s="26">
        <f t="shared" si="4"/>
        <v>29.4</v>
      </c>
      <c r="H11" s="27">
        <f t="shared" si="5"/>
        <v>1323</v>
      </c>
      <c r="I11" s="27">
        <f>C26</f>
        <v>2.04</v>
      </c>
      <c r="J11" s="89">
        <f t="shared" si="6"/>
        <v>2698.92</v>
      </c>
      <c r="K11" s="84">
        <f>E36</f>
        <v>1.1438383838383839E-3</v>
      </c>
      <c r="L11" s="28">
        <f t="shared" si="0"/>
        <v>51.472727272727276</v>
      </c>
      <c r="M11" s="29">
        <f>A18*B18</f>
        <v>128</v>
      </c>
      <c r="N11" s="29">
        <f>C18</f>
        <v>450</v>
      </c>
      <c r="O11" s="29">
        <f>E18+F18*D18</f>
        <v>17.5</v>
      </c>
      <c r="P11" s="29">
        <f t="shared" si="1"/>
        <v>100</v>
      </c>
      <c r="Q11" s="28">
        <f t="shared" si="7"/>
        <v>1750</v>
      </c>
      <c r="R11" s="26">
        <f t="shared" si="8"/>
        <v>4628.3927272727269</v>
      </c>
      <c r="S11" s="26">
        <f>G18</f>
        <v>0.3</v>
      </c>
      <c r="T11" s="26">
        <f t="shared" si="9"/>
        <v>6016.9105454545452</v>
      </c>
      <c r="U11" s="27">
        <f t="shared" si="2"/>
        <v>0.13370912323232323</v>
      </c>
      <c r="V11" s="78">
        <f>E19+F19*D19</f>
        <v>11.25</v>
      </c>
      <c r="W11" s="78">
        <f t="shared" si="10"/>
        <v>1125</v>
      </c>
      <c r="X11" s="92">
        <f t="shared" si="11"/>
        <v>4003.3927272727274</v>
      </c>
      <c r="Y11" s="78">
        <f>G18</f>
        <v>0.3</v>
      </c>
      <c r="Z11" s="26">
        <f t="shared" si="12"/>
        <v>5204.4105454545461</v>
      </c>
      <c r="AA11" s="78">
        <f t="shared" si="3"/>
        <v>0.1156535676767677</v>
      </c>
      <c r="AB11" s="30">
        <v>70</v>
      </c>
      <c r="AC11" s="31">
        <f t="shared" si="13"/>
        <v>0.22730550949494949</v>
      </c>
      <c r="AD11" s="31">
        <f t="shared" si="14"/>
        <v>0.19661106505050507</v>
      </c>
    </row>
    <row r="12" spans="1:30" ht="14.4" x14ac:dyDescent="0.3">
      <c r="A12" s="15">
        <v>250</v>
      </c>
      <c r="B12" s="7" t="s">
        <v>10</v>
      </c>
      <c r="C12" s="22" t="s">
        <v>21</v>
      </c>
      <c r="D12" s="23">
        <v>75000</v>
      </c>
      <c r="E12" s="24">
        <v>0.05</v>
      </c>
      <c r="F12" s="25">
        <v>28</v>
      </c>
      <c r="G12" s="26">
        <f t="shared" si="4"/>
        <v>29.4</v>
      </c>
      <c r="H12" s="27">
        <f t="shared" si="5"/>
        <v>2205</v>
      </c>
      <c r="I12" s="27">
        <f>C26</f>
        <v>2.04</v>
      </c>
      <c r="J12" s="89">
        <f t="shared" si="6"/>
        <v>4498.2</v>
      </c>
      <c r="K12" s="84">
        <f>E36</f>
        <v>1.1438383838383839E-3</v>
      </c>
      <c r="L12" s="28">
        <f t="shared" si="0"/>
        <v>85.787878787878796</v>
      </c>
      <c r="M12" s="29">
        <f>A18*B18</f>
        <v>128</v>
      </c>
      <c r="N12" s="29">
        <f>C18</f>
        <v>450</v>
      </c>
      <c r="O12" s="29">
        <f>E18+F18*D18</f>
        <v>17.5</v>
      </c>
      <c r="P12" s="29">
        <f t="shared" si="1"/>
        <v>166.66666666666666</v>
      </c>
      <c r="Q12" s="28">
        <f>O12*P12</f>
        <v>2916.6666666666665</v>
      </c>
      <c r="R12" s="26">
        <f t="shared" si="8"/>
        <v>7628.6545454545449</v>
      </c>
      <c r="S12" s="26">
        <f>G18</f>
        <v>0.3</v>
      </c>
      <c r="T12" s="26">
        <f t="shared" si="9"/>
        <v>9917.250909090908</v>
      </c>
      <c r="U12" s="27">
        <f t="shared" si="2"/>
        <v>0.1322300121212121</v>
      </c>
      <c r="V12" s="78">
        <f>E19+F19*D19</f>
        <v>11.25</v>
      </c>
      <c r="W12" s="78">
        <f t="shared" si="10"/>
        <v>1875</v>
      </c>
      <c r="X12" s="92">
        <f t="shared" si="11"/>
        <v>6586.9878787878788</v>
      </c>
      <c r="Y12" s="78">
        <f>G18</f>
        <v>0.3</v>
      </c>
      <c r="Z12" s="26">
        <f t="shared" si="12"/>
        <v>8563.0842424242419</v>
      </c>
      <c r="AA12" s="78">
        <f t="shared" si="3"/>
        <v>0.11417445656565656</v>
      </c>
      <c r="AB12" s="30">
        <v>70</v>
      </c>
      <c r="AC12" s="31">
        <f t="shared" si="13"/>
        <v>0.22479102060606057</v>
      </c>
      <c r="AD12" s="31">
        <f t="shared" si="14"/>
        <v>0.19409657616161613</v>
      </c>
    </row>
    <row r="13" spans="1:30" ht="14.4" x14ac:dyDescent="0.3">
      <c r="A13" s="15">
        <v>250</v>
      </c>
      <c r="B13" s="7" t="s">
        <v>11</v>
      </c>
      <c r="C13" s="22" t="s">
        <v>22</v>
      </c>
      <c r="D13" s="23">
        <v>125000</v>
      </c>
      <c r="E13" s="24">
        <v>0.03</v>
      </c>
      <c r="F13" s="25">
        <v>28</v>
      </c>
      <c r="G13" s="26">
        <f t="shared" si="4"/>
        <v>28.84</v>
      </c>
      <c r="H13" s="27">
        <f t="shared" si="5"/>
        <v>3605</v>
      </c>
      <c r="I13" s="27">
        <f>C26</f>
        <v>2.04</v>
      </c>
      <c r="J13" s="89">
        <f t="shared" si="6"/>
        <v>7354.2</v>
      </c>
      <c r="K13" s="84">
        <f>E36</f>
        <v>1.1438383838383839E-3</v>
      </c>
      <c r="L13" s="28">
        <f t="shared" si="0"/>
        <v>142.97979797979798</v>
      </c>
      <c r="M13" s="29">
        <f>A18*B18</f>
        <v>128</v>
      </c>
      <c r="N13" s="29">
        <f>C18</f>
        <v>450</v>
      </c>
      <c r="O13" s="29">
        <f>E18+F18*D18</f>
        <v>17.5</v>
      </c>
      <c r="P13" s="29">
        <f t="shared" si="1"/>
        <v>277.77777777777777</v>
      </c>
      <c r="Q13" s="28">
        <f t="shared" si="7"/>
        <v>4861.1111111111113</v>
      </c>
      <c r="R13" s="26">
        <f t="shared" si="8"/>
        <v>12486.290909090909</v>
      </c>
      <c r="S13" s="26">
        <f>G18</f>
        <v>0.3</v>
      </c>
      <c r="T13" s="26">
        <f t="shared" si="9"/>
        <v>16232.178181818181</v>
      </c>
      <c r="U13" s="27">
        <f t="shared" si="2"/>
        <v>0.12985742545454546</v>
      </c>
      <c r="V13" s="78">
        <f>E19+F19*D19</f>
        <v>11.25</v>
      </c>
      <c r="W13" s="78">
        <f t="shared" si="10"/>
        <v>3125</v>
      </c>
      <c r="X13" s="92">
        <f t="shared" si="11"/>
        <v>10750.179797979798</v>
      </c>
      <c r="Y13" s="78">
        <f>G18</f>
        <v>0.3</v>
      </c>
      <c r="Z13" s="26">
        <f t="shared" si="12"/>
        <v>13975.233737373737</v>
      </c>
      <c r="AA13" s="78">
        <f t="shared" si="3"/>
        <v>0.11180186989898989</v>
      </c>
      <c r="AB13" s="30">
        <v>65</v>
      </c>
      <c r="AC13" s="31">
        <f t="shared" si="13"/>
        <v>0.214264752</v>
      </c>
      <c r="AD13" s="31">
        <f t="shared" si="14"/>
        <v>0.18447308533333334</v>
      </c>
    </row>
    <row r="14" spans="1:30" ht="15" thickBot="1" x14ac:dyDescent="0.35">
      <c r="A14" s="15">
        <v>250</v>
      </c>
      <c r="B14" s="7" t="s">
        <v>12</v>
      </c>
      <c r="C14" s="22" t="s">
        <v>23</v>
      </c>
      <c r="D14" s="23">
        <v>200000</v>
      </c>
      <c r="E14" s="24">
        <v>0.03</v>
      </c>
      <c r="F14" s="25">
        <v>28</v>
      </c>
      <c r="G14" s="26">
        <f t="shared" si="4"/>
        <v>28.84</v>
      </c>
      <c r="H14" s="27">
        <f t="shared" si="5"/>
        <v>5768</v>
      </c>
      <c r="I14" s="27">
        <f>C26</f>
        <v>2.04</v>
      </c>
      <c r="J14" s="89">
        <f t="shared" si="6"/>
        <v>11766.72</v>
      </c>
      <c r="K14" s="84">
        <f>E36</f>
        <v>1.1438383838383839E-3</v>
      </c>
      <c r="L14" s="28">
        <f t="shared" si="0"/>
        <v>228.76767676767679</v>
      </c>
      <c r="M14" s="29">
        <f>A18*B18</f>
        <v>128</v>
      </c>
      <c r="N14" s="29">
        <f>C18</f>
        <v>450</v>
      </c>
      <c r="O14" s="29">
        <f>E18+F18*D18</f>
        <v>17.5</v>
      </c>
      <c r="P14" s="29">
        <f t="shared" si="1"/>
        <v>444.44444444444446</v>
      </c>
      <c r="Q14" s="28">
        <f t="shared" si="7"/>
        <v>7777.7777777777783</v>
      </c>
      <c r="R14" s="26">
        <f t="shared" si="8"/>
        <v>19901.265454545453</v>
      </c>
      <c r="S14" s="26">
        <f>G18</f>
        <v>0.3</v>
      </c>
      <c r="T14" s="26">
        <f t="shared" si="9"/>
        <v>25871.645090909089</v>
      </c>
      <c r="U14" s="27">
        <f t="shared" si="2"/>
        <v>0.12935822545454545</v>
      </c>
      <c r="V14" s="78">
        <f>E19+F19*D19</f>
        <v>11.25</v>
      </c>
      <c r="W14" s="78">
        <f t="shared" si="10"/>
        <v>5000</v>
      </c>
      <c r="X14" s="92">
        <f t="shared" si="11"/>
        <v>17123.487676767676</v>
      </c>
      <c r="Y14" s="78">
        <f>G18</f>
        <v>0.3</v>
      </c>
      <c r="Z14" s="26">
        <f t="shared" si="12"/>
        <v>22260.53397979798</v>
      </c>
      <c r="AA14" s="78">
        <f t="shared" si="3"/>
        <v>0.1113026698989899</v>
      </c>
      <c r="AB14" s="30">
        <v>60</v>
      </c>
      <c r="AC14" s="32">
        <f t="shared" si="13"/>
        <v>0.20697316072727273</v>
      </c>
      <c r="AD14" s="32">
        <f t="shared" si="14"/>
        <v>0.17808427183838385</v>
      </c>
    </row>
    <row r="15" spans="1:30" ht="14.4" thickBot="1" x14ac:dyDescent="0.35"/>
    <row r="16" spans="1:30" x14ac:dyDescent="0.3">
      <c r="A16" s="33" t="s">
        <v>27</v>
      </c>
      <c r="B16" s="34"/>
      <c r="C16" s="34"/>
      <c r="D16" s="34"/>
      <c r="E16" s="34"/>
      <c r="F16" s="34"/>
      <c r="G16" s="35"/>
      <c r="AC16" s="80"/>
    </row>
    <row r="17" spans="1:12" x14ac:dyDescent="0.3">
      <c r="A17" s="36" t="s">
        <v>28</v>
      </c>
      <c r="B17" s="37" t="s">
        <v>29</v>
      </c>
      <c r="C17" s="37" t="s">
        <v>30</v>
      </c>
      <c r="D17" s="37" t="s">
        <v>31</v>
      </c>
      <c r="E17" s="37" t="s">
        <v>32</v>
      </c>
      <c r="F17" s="37" t="s">
        <v>33</v>
      </c>
      <c r="G17" s="38" t="s">
        <v>34</v>
      </c>
      <c r="J17" s="39"/>
      <c r="K17" s="85"/>
      <c r="L17" s="14" t="s">
        <v>59</v>
      </c>
    </row>
    <row r="18" spans="1:12" ht="14.4" thickBot="1" x14ac:dyDescent="0.35">
      <c r="A18" s="40">
        <v>4</v>
      </c>
      <c r="B18" s="41">
        <v>32</v>
      </c>
      <c r="C18" s="41">
        <v>450</v>
      </c>
      <c r="D18" s="41">
        <v>0.5</v>
      </c>
      <c r="E18" s="41">
        <v>5</v>
      </c>
      <c r="F18" s="42">
        <v>25</v>
      </c>
      <c r="G18" s="43">
        <v>0.3</v>
      </c>
    </row>
    <row r="19" spans="1:12" ht="14.4" thickBot="1" x14ac:dyDescent="0.35">
      <c r="A19" s="40">
        <v>4</v>
      </c>
      <c r="B19" s="41">
        <v>32</v>
      </c>
      <c r="C19" s="41">
        <v>450</v>
      </c>
      <c r="D19" s="41">
        <v>0.25</v>
      </c>
      <c r="E19" s="41">
        <v>5</v>
      </c>
      <c r="F19" s="42">
        <v>25</v>
      </c>
      <c r="G19" s="43">
        <v>0.3</v>
      </c>
    </row>
    <row r="20" spans="1:12" ht="14.4" thickBot="1" x14ac:dyDescent="0.35">
      <c r="J20" s="44"/>
      <c r="K20" s="86"/>
      <c r="L20" s="14" t="s">
        <v>60</v>
      </c>
    </row>
    <row r="21" spans="1:12" x14ac:dyDescent="0.3">
      <c r="A21" s="45" t="s">
        <v>35</v>
      </c>
      <c r="B21" s="46"/>
      <c r="C21" s="46" t="s">
        <v>36</v>
      </c>
      <c r="D21" s="47" t="s">
        <v>37</v>
      </c>
    </row>
    <row r="22" spans="1:12" x14ac:dyDescent="0.3">
      <c r="A22" s="48" t="s">
        <v>40</v>
      </c>
      <c r="B22" s="49">
        <v>1.5</v>
      </c>
      <c r="C22" s="50">
        <v>96</v>
      </c>
      <c r="D22" s="51"/>
    </row>
    <row r="23" spans="1:12" x14ac:dyDescent="0.3">
      <c r="A23" s="48" t="s">
        <v>40</v>
      </c>
      <c r="B23" s="49">
        <v>15</v>
      </c>
      <c r="C23" s="50">
        <v>4</v>
      </c>
      <c r="D23" s="51"/>
    </row>
    <row r="24" spans="1:12" x14ac:dyDescent="0.3">
      <c r="A24" s="48" t="s">
        <v>40</v>
      </c>
      <c r="B24" s="49">
        <v>0</v>
      </c>
      <c r="C24" s="50"/>
      <c r="D24" s="51"/>
    </row>
    <row r="25" spans="1:12" ht="14.4" thickBot="1" x14ac:dyDescent="0.35">
      <c r="A25" s="48" t="s">
        <v>44</v>
      </c>
      <c r="B25" s="49">
        <v>0</v>
      </c>
      <c r="C25" s="50"/>
      <c r="D25" s="51"/>
    </row>
    <row r="26" spans="1:12" ht="14.4" thickBot="1" x14ac:dyDescent="0.35">
      <c r="A26" s="52" t="s">
        <v>45</v>
      </c>
      <c r="B26" s="53">
        <f>SUM(B22:B25)</f>
        <v>16.5</v>
      </c>
      <c r="C26" s="54">
        <f>(B22*C22/100)+(B23*C23/100)+(B24*C24/100)+(B25*C25/100)</f>
        <v>2.04</v>
      </c>
      <c r="D26" s="55" t="s">
        <v>62</v>
      </c>
    </row>
    <row r="27" spans="1:12" ht="14.4" thickBot="1" x14ac:dyDescent="0.35"/>
    <row r="28" spans="1:12" x14ac:dyDescent="0.3">
      <c r="A28" s="56" t="s">
        <v>38</v>
      </c>
      <c r="B28" s="57"/>
      <c r="C28" s="58"/>
      <c r="D28" s="59" t="s">
        <v>39</v>
      </c>
      <c r="E28" s="60" t="s">
        <v>97</v>
      </c>
    </row>
    <row r="29" spans="1:12" x14ac:dyDescent="0.3">
      <c r="A29" s="61" t="s">
        <v>42</v>
      </c>
      <c r="B29" s="62">
        <v>1100</v>
      </c>
      <c r="C29" s="63"/>
      <c r="D29" s="64"/>
      <c r="E29" s="65"/>
    </row>
    <row r="30" spans="1:12" x14ac:dyDescent="0.3">
      <c r="A30" s="61" t="s">
        <v>86</v>
      </c>
      <c r="B30" s="62">
        <v>9</v>
      </c>
      <c r="C30" s="63" t="s">
        <v>41</v>
      </c>
      <c r="D30" s="66">
        <v>0.68100000000000005</v>
      </c>
      <c r="E30" s="65">
        <f>D30*B30</f>
        <v>6.1290000000000004</v>
      </c>
    </row>
    <row r="31" spans="1:12" x14ac:dyDescent="0.3">
      <c r="A31" s="61" t="s">
        <v>87</v>
      </c>
      <c r="B31" s="62">
        <f>B30*B29</f>
        <v>9900</v>
      </c>
      <c r="C31" s="67"/>
      <c r="D31" s="68"/>
      <c r="E31" s="65"/>
    </row>
    <row r="32" spans="1:12" x14ac:dyDescent="0.3">
      <c r="A32" s="61" t="s">
        <v>88</v>
      </c>
      <c r="B32" s="62">
        <v>9</v>
      </c>
      <c r="C32" s="63" t="s">
        <v>43</v>
      </c>
      <c r="D32" s="69">
        <v>0.13800000000000001</v>
      </c>
      <c r="E32" s="65">
        <f>D32*B32</f>
        <v>1.242</v>
      </c>
    </row>
    <row r="33" spans="1:5" x14ac:dyDescent="0.3">
      <c r="A33" s="61" t="s">
        <v>46</v>
      </c>
      <c r="B33" s="62">
        <f>B32*5</f>
        <v>45</v>
      </c>
      <c r="C33" s="63" t="s">
        <v>47</v>
      </c>
      <c r="D33" s="66">
        <v>4.3400000000000001E-2</v>
      </c>
      <c r="E33" s="65">
        <f>D33*B33</f>
        <v>1.9530000000000001</v>
      </c>
    </row>
    <row r="34" spans="1:5" ht="14.4" thickBot="1" x14ac:dyDescent="0.35">
      <c r="A34" s="70" t="s">
        <v>48</v>
      </c>
      <c r="B34" s="71" t="s">
        <v>49</v>
      </c>
      <c r="C34" s="72" t="s">
        <v>50</v>
      </c>
      <c r="D34" s="73">
        <v>2</v>
      </c>
      <c r="E34" s="74">
        <f>D34</f>
        <v>2</v>
      </c>
    </row>
    <row r="35" spans="1:5" ht="14.4" thickBot="1" x14ac:dyDescent="0.35">
      <c r="E35" s="75">
        <f>SUM(E29:E34)</f>
        <v>11.324</v>
      </c>
    </row>
    <row r="36" spans="1:5" ht="14.4" thickBot="1" x14ac:dyDescent="0.35">
      <c r="D36" s="76" t="s">
        <v>98</v>
      </c>
      <c r="E36" s="77">
        <f>E35/B31</f>
        <v>1.1438383838383839E-3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FE7D4-89CC-45D8-B4EA-1126EB9AB9AA}">
  <dimension ref="A2:AD36"/>
  <sheetViews>
    <sheetView topLeftCell="G1" workbookViewId="0">
      <selection activeCell="T4" sqref="T4:T14"/>
    </sheetView>
  </sheetViews>
  <sheetFormatPr defaultColWidth="9.109375" defaultRowHeight="13.8" x14ac:dyDescent="0.3"/>
  <cols>
    <col min="1" max="1" width="28.6640625" style="14" bestFit="1" customWidth="1"/>
    <col min="2" max="2" width="10.109375" style="14" bestFit="1" customWidth="1"/>
    <col min="3" max="3" width="21" style="14" bestFit="1" customWidth="1"/>
    <col min="4" max="4" width="12.44140625" style="14" bestFit="1" customWidth="1"/>
    <col min="5" max="5" width="21" style="14" bestFit="1" customWidth="1"/>
    <col min="6" max="6" width="14.88671875" style="14" bestFit="1" customWidth="1"/>
    <col min="7" max="7" width="23.5546875" style="14" bestFit="1" customWidth="1"/>
    <col min="8" max="8" width="18.6640625" style="14" customWidth="1"/>
    <col min="9" max="9" width="0.109375" style="14" customWidth="1"/>
    <col min="10" max="10" width="9.5546875" style="14" bestFit="1" customWidth="1"/>
    <col min="11" max="11" width="15.33203125" style="82" customWidth="1"/>
    <col min="12" max="12" width="17.5546875" style="14" bestFit="1" customWidth="1"/>
    <col min="13" max="13" width="19.33203125" style="14" customWidth="1"/>
    <col min="14" max="14" width="9.109375" style="14" customWidth="1"/>
    <col min="15" max="15" width="22.88671875" style="14" customWidth="1"/>
    <col min="16" max="16" width="11.88671875" style="14" customWidth="1"/>
    <col min="17" max="17" width="23.5546875" style="14" bestFit="1" customWidth="1"/>
    <col min="18" max="18" width="24.33203125" style="14" customWidth="1"/>
    <col min="19" max="19" width="11" style="14" customWidth="1"/>
    <col min="20" max="20" width="35.5546875" style="14" bestFit="1" customWidth="1"/>
    <col min="21" max="21" width="14.6640625" style="14" bestFit="1" customWidth="1"/>
    <col min="22" max="27" width="14.6640625" style="14" customWidth="1"/>
    <col min="28" max="28" width="16.5546875" style="14" bestFit="1" customWidth="1"/>
    <col min="29" max="29" width="17.44140625" style="14" bestFit="1" customWidth="1"/>
    <col min="30" max="30" width="11.88671875" style="14" bestFit="1" customWidth="1"/>
    <col min="31" max="16384" width="9.109375" style="14"/>
  </cols>
  <sheetData>
    <row r="2" spans="1:30" ht="14.4" thickBot="1" x14ac:dyDescent="0.35"/>
    <row r="3" spans="1:30" ht="74.25" customHeight="1" thickBot="1" x14ac:dyDescent="0.35">
      <c r="A3" s="15" t="s">
        <v>57</v>
      </c>
      <c r="B3" s="15" t="s">
        <v>24</v>
      </c>
      <c r="C3" s="15" t="s">
        <v>25</v>
      </c>
      <c r="D3" s="15" t="s">
        <v>26</v>
      </c>
      <c r="E3" s="15" t="s">
        <v>55</v>
      </c>
      <c r="F3" s="15" t="s">
        <v>58</v>
      </c>
      <c r="G3" s="16" t="s">
        <v>51</v>
      </c>
      <c r="H3" s="17" t="s">
        <v>52</v>
      </c>
      <c r="I3" s="17" t="s">
        <v>61</v>
      </c>
      <c r="J3" s="90" t="s">
        <v>53</v>
      </c>
      <c r="K3" s="83" t="s">
        <v>99</v>
      </c>
      <c r="L3" s="18" t="s">
        <v>96</v>
      </c>
      <c r="M3" s="19" t="s">
        <v>54</v>
      </c>
      <c r="N3" s="19" t="s">
        <v>100</v>
      </c>
      <c r="O3" s="19" t="s">
        <v>108</v>
      </c>
      <c r="P3" s="19" t="s">
        <v>101</v>
      </c>
      <c r="Q3" s="91" t="s">
        <v>116</v>
      </c>
      <c r="R3" s="87" t="s">
        <v>107</v>
      </c>
      <c r="S3" s="88" t="s">
        <v>102</v>
      </c>
      <c r="T3" s="87" t="s">
        <v>104</v>
      </c>
      <c r="U3" s="87" t="s">
        <v>105</v>
      </c>
      <c r="V3" s="19" t="s">
        <v>109</v>
      </c>
      <c r="W3" s="20" t="s">
        <v>110</v>
      </c>
      <c r="X3" s="20"/>
      <c r="Y3" s="20"/>
      <c r="Z3" s="20" t="s">
        <v>111</v>
      </c>
      <c r="AA3" s="20" t="s">
        <v>112</v>
      </c>
      <c r="AB3" s="20" t="s">
        <v>103</v>
      </c>
      <c r="AC3" s="79" t="s">
        <v>106</v>
      </c>
      <c r="AD3" s="21" t="s">
        <v>113</v>
      </c>
    </row>
    <row r="4" spans="1:30" ht="14.4" x14ac:dyDescent="0.3">
      <c r="A4" s="15" t="s">
        <v>115</v>
      </c>
      <c r="B4" s="7" t="s">
        <v>2</v>
      </c>
      <c r="C4" s="22" t="s">
        <v>13</v>
      </c>
      <c r="D4" s="23">
        <v>2000</v>
      </c>
      <c r="E4" s="24">
        <v>0.1</v>
      </c>
      <c r="F4" s="25">
        <v>38</v>
      </c>
      <c r="G4" s="26">
        <f>F4+F4*E4</f>
        <v>41.8</v>
      </c>
      <c r="H4" s="27">
        <f>(G4*D4)/1000</f>
        <v>83.6</v>
      </c>
      <c r="I4" s="27">
        <f>C26</f>
        <v>2.08</v>
      </c>
      <c r="J4" s="89">
        <f>H4*I4</f>
        <v>173.88800000000001</v>
      </c>
      <c r="K4" s="84">
        <f>E36</f>
        <v>1.1438383838383839E-3</v>
      </c>
      <c r="L4" s="28">
        <f t="shared" ref="L4:L14" si="0">K4*D4</f>
        <v>2.2876767676767678</v>
      </c>
      <c r="M4" s="29">
        <f>A18*B18</f>
        <v>128</v>
      </c>
      <c r="N4" s="29">
        <f>C18</f>
        <v>450</v>
      </c>
      <c r="O4" s="29">
        <f>E18+F18*D18</f>
        <v>17.5</v>
      </c>
      <c r="P4" s="29">
        <f t="shared" ref="P4:P14" si="1">D4/N4</f>
        <v>4.4444444444444446</v>
      </c>
      <c r="Q4" s="28">
        <f>O4*P4</f>
        <v>77.777777777777786</v>
      </c>
      <c r="R4" s="26">
        <f>Q4+L4+J4+M4</f>
        <v>381.95345454545458</v>
      </c>
      <c r="S4" s="26">
        <f>G18</f>
        <v>0.3</v>
      </c>
      <c r="T4" s="26">
        <f>R4+R4*S4</f>
        <v>496.53949090909094</v>
      </c>
      <c r="U4" s="27">
        <f t="shared" ref="U4:U14" si="2">T4/D4</f>
        <v>0.24826974545454547</v>
      </c>
      <c r="V4" s="78">
        <f>E19+F19*D19</f>
        <v>11.25</v>
      </c>
      <c r="W4" s="78">
        <f>V4*P4</f>
        <v>50</v>
      </c>
      <c r="X4" s="92">
        <f>W4+M4+L4+J4</f>
        <v>354.1756767676768</v>
      </c>
      <c r="Y4" s="78">
        <f>G18</f>
        <v>0.3</v>
      </c>
      <c r="Z4" s="26">
        <f>X4+X4*Y4</f>
        <v>460.42837979797986</v>
      </c>
      <c r="AA4" s="78">
        <f t="shared" ref="AA4:AA14" si="3">Z4/D4</f>
        <v>0.23021418989898992</v>
      </c>
      <c r="AB4" s="30">
        <v>180</v>
      </c>
      <c r="AC4" s="81">
        <f>U4*2+(U4*2*80/100)</f>
        <v>0.89377108363636371</v>
      </c>
      <c r="AD4" s="81">
        <f>AA4*2+(AA4*2*80/100)</f>
        <v>0.82877108363636376</v>
      </c>
    </row>
    <row r="5" spans="1:30" ht="14.4" x14ac:dyDescent="0.3">
      <c r="A5" s="15" t="s">
        <v>115</v>
      </c>
      <c r="B5" s="7" t="s">
        <v>3</v>
      </c>
      <c r="C5" s="22" t="s">
        <v>14</v>
      </c>
      <c r="D5" s="23">
        <v>4000</v>
      </c>
      <c r="E5" s="24">
        <v>0.1</v>
      </c>
      <c r="F5" s="25">
        <v>38</v>
      </c>
      <c r="G5" s="26">
        <f t="shared" ref="G5:G14" si="4">F5+F5*E5</f>
        <v>41.8</v>
      </c>
      <c r="H5" s="27">
        <f t="shared" ref="H5:H14" si="5">(G5*D5)/1000</f>
        <v>167.2</v>
      </c>
      <c r="I5" s="27">
        <f>C26</f>
        <v>2.08</v>
      </c>
      <c r="J5" s="89">
        <f t="shared" ref="J5:J14" si="6">H5*I5</f>
        <v>347.77600000000001</v>
      </c>
      <c r="K5" s="84">
        <f>E36</f>
        <v>1.1438383838383839E-3</v>
      </c>
      <c r="L5" s="28">
        <f t="shared" si="0"/>
        <v>4.5753535353535355</v>
      </c>
      <c r="M5" s="29">
        <f>A18*B18</f>
        <v>128</v>
      </c>
      <c r="N5" s="29">
        <f>C18</f>
        <v>450</v>
      </c>
      <c r="O5" s="29">
        <f>E18+F18*D18</f>
        <v>17.5</v>
      </c>
      <c r="P5" s="29">
        <f t="shared" si="1"/>
        <v>8.8888888888888893</v>
      </c>
      <c r="Q5" s="28">
        <f t="shared" ref="Q5:Q14" si="7">O5*P5</f>
        <v>155.55555555555557</v>
      </c>
      <c r="R5" s="26">
        <f t="shared" ref="R5:R14" si="8">Q5+L5+J5+M5</f>
        <v>635.90690909090915</v>
      </c>
      <c r="S5" s="26">
        <f>G18</f>
        <v>0.3</v>
      </c>
      <c r="T5" s="26">
        <f t="shared" ref="T5:T14" si="9">R5+R5*S5</f>
        <v>826.67898181818191</v>
      </c>
      <c r="U5" s="27">
        <f t="shared" si="2"/>
        <v>0.20666974545454547</v>
      </c>
      <c r="V5" s="78">
        <f>E19+F19*D19</f>
        <v>11.25</v>
      </c>
      <c r="W5" s="78">
        <f t="shared" ref="W5:W14" si="10">V5*P5</f>
        <v>100</v>
      </c>
      <c r="X5" s="92">
        <f t="shared" ref="X5:X14" si="11">W5+M5+L5+J5</f>
        <v>580.35135353535361</v>
      </c>
      <c r="Y5" s="78">
        <f>G18</f>
        <v>0.3</v>
      </c>
      <c r="Z5" s="26">
        <f t="shared" ref="Z5:Z14" si="12">X5+X5*Y5</f>
        <v>754.45675959595974</v>
      </c>
      <c r="AA5" s="78">
        <f t="shared" si="3"/>
        <v>0.18861418989898993</v>
      </c>
      <c r="AB5" s="30">
        <v>160</v>
      </c>
      <c r="AC5" s="31">
        <f>U5*2+(U5*2*80/100)</f>
        <v>0.7440110836363637</v>
      </c>
      <c r="AD5" s="31">
        <f>AA5*2+(AA5*2*80/100)</f>
        <v>0.67901108363636375</v>
      </c>
    </row>
    <row r="6" spans="1:30" ht="14.4" x14ac:dyDescent="0.3">
      <c r="A6" s="15" t="s">
        <v>115</v>
      </c>
      <c r="B6" s="7" t="s">
        <v>4</v>
      </c>
      <c r="C6" s="22" t="s">
        <v>15</v>
      </c>
      <c r="D6" s="23">
        <v>7500</v>
      </c>
      <c r="E6" s="24">
        <v>7.0000000000000007E-2</v>
      </c>
      <c r="F6" s="25">
        <v>38</v>
      </c>
      <c r="G6" s="26">
        <f t="shared" si="4"/>
        <v>40.659999999999997</v>
      </c>
      <c r="H6" s="27">
        <f t="shared" si="5"/>
        <v>304.95</v>
      </c>
      <c r="I6" s="27">
        <f>C26</f>
        <v>2.08</v>
      </c>
      <c r="J6" s="89">
        <f t="shared" si="6"/>
        <v>634.29600000000005</v>
      </c>
      <c r="K6" s="84">
        <f>E36</f>
        <v>1.1438383838383839E-3</v>
      </c>
      <c r="L6" s="28">
        <f t="shared" si="0"/>
        <v>8.57878787878788</v>
      </c>
      <c r="M6" s="29">
        <f>A18*B18</f>
        <v>128</v>
      </c>
      <c r="N6" s="29">
        <f>C18</f>
        <v>450</v>
      </c>
      <c r="O6" s="29">
        <f>E18+F18*D18</f>
        <v>17.5</v>
      </c>
      <c r="P6" s="29">
        <f t="shared" si="1"/>
        <v>16.666666666666668</v>
      </c>
      <c r="Q6" s="28">
        <f t="shared" si="7"/>
        <v>291.66666666666669</v>
      </c>
      <c r="R6" s="26">
        <f t="shared" si="8"/>
        <v>1062.5414545454546</v>
      </c>
      <c r="S6" s="26">
        <f>G18</f>
        <v>0.3</v>
      </c>
      <c r="T6" s="26">
        <f t="shared" si="9"/>
        <v>1381.303890909091</v>
      </c>
      <c r="U6" s="27">
        <f t="shared" si="2"/>
        <v>0.18417385212121212</v>
      </c>
      <c r="V6" s="78">
        <f>E19+F19*D19</f>
        <v>11.25</v>
      </c>
      <c r="W6" s="78">
        <f t="shared" si="10"/>
        <v>187.5</v>
      </c>
      <c r="X6" s="92">
        <f t="shared" si="11"/>
        <v>958.37478787878786</v>
      </c>
      <c r="Y6" s="78">
        <f>G18</f>
        <v>0.3</v>
      </c>
      <c r="Z6" s="26">
        <f t="shared" si="12"/>
        <v>1245.8872242424243</v>
      </c>
      <c r="AA6" s="78">
        <f t="shared" si="3"/>
        <v>0.16611829656565658</v>
      </c>
      <c r="AB6" s="30">
        <v>140</v>
      </c>
      <c r="AC6" s="31">
        <f>U6*2+(U6*2*80/100)</f>
        <v>0.66302586763636362</v>
      </c>
      <c r="AD6" s="31">
        <f>AA6*2+(AA6*2*80/100)</f>
        <v>0.59802586763636367</v>
      </c>
    </row>
    <row r="7" spans="1:30" ht="14.4" x14ac:dyDescent="0.3">
      <c r="A7" s="15" t="s">
        <v>115</v>
      </c>
      <c r="B7" s="7" t="s">
        <v>5</v>
      </c>
      <c r="C7" s="22" t="s">
        <v>16</v>
      </c>
      <c r="D7" s="23">
        <v>12500</v>
      </c>
      <c r="E7" s="24">
        <v>7.0000000000000007E-2</v>
      </c>
      <c r="F7" s="25">
        <v>38</v>
      </c>
      <c r="G7" s="26">
        <f t="shared" si="4"/>
        <v>40.659999999999997</v>
      </c>
      <c r="H7" s="27">
        <f t="shared" si="5"/>
        <v>508.24999999999994</v>
      </c>
      <c r="I7" s="27">
        <f>C26</f>
        <v>2.08</v>
      </c>
      <c r="J7" s="89">
        <f t="shared" si="6"/>
        <v>1057.1599999999999</v>
      </c>
      <c r="K7" s="84">
        <f>E36</f>
        <v>1.1438383838383839E-3</v>
      </c>
      <c r="L7" s="28">
        <f t="shared" si="0"/>
        <v>14.297979797979799</v>
      </c>
      <c r="M7" s="29">
        <f>A18*B18</f>
        <v>128</v>
      </c>
      <c r="N7" s="29">
        <f>C18</f>
        <v>450</v>
      </c>
      <c r="O7" s="29">
        <f>E18+F18*D18</f>
        <v>17.5</v>
      </c>
      <c r="P7" s="29">
        <f t="shared" si="1"/>
        <v>27.777777777777779</v>
      </c>
      <c r="Q7" s="28">
        <f t="shared" si="7"/>
        <v>486.11111111111114</v>
      </c>
      <c r="R7" s="26">
        <f t="shared" si="8"/>
        <v>1685.5690909090908</v>
      </c>
      <c r="S7" s="26">
        <f>G18</f>
        <v>0.3</v>
      </c>
      <c r="T7" s="26">
        <f t="shared" si="9"/>
        <v>2191.239818181818</v>
      </c>
      <c r="U7" s="27">
        <f t="shared" si="2"/>
        <v>0.17529918545454545</v>
      </c>
      <c r="V7" s="78">
        <f>E19+F19*D19</f>
        <v>11.25</v>
      </c>
      <c r="W7" s="78">
        <f t="shared" si="10"/>
        <v>312.5</v>
      </c>
      <c r="X7" s="92">
        <f t="shared" si="11"/>
        <v>1511.9579797979795</v>
      </c>
      <c r="Y7" s="78">
        <f>G18</f>
        <v>0.3</v>
      </c>
      <c r="Z7" s="26">
        <f t="shared" si="12"/>
        <v>1965.5453737373734</v>
      </c>
      <c r="AA7" s="78">
        <f t="shared" si="3"/>
        <v>0.15724362989898988</v>
      </c>
      <c r="AB7" s="30">
        <v>85</v>
      </c>
      <c r="AC7" s="31">
        <f>U7+U7*AB7/100</f>
        <v>0.32430349309090911</v>
      </c>
      <c r="AD7" s="31">
        <f>AA7+AA7*AB7/100</f>
        <v>0.29090071531313128</v>
      </c>
    </row>
    <row r="8" spans="1:30" ht="14.4" x14ac:dyDescent="0.3">
      <c r="A8" s="15" t="s">
        <v>115</v>
      </c>
      <c r="B8" s="7" t="s">
        <v>6</v>
      </c>
      <c r="C8" s="22" t="s">
        <v>17</v>
      </c>
      <c r="D8" s="23">
        <v>17500</v>
      </c>
      <c r="E8" s="24">
        <v>7.0000000000000007E-2</v>
      </c>
      <c r="F8" s="25">
        <v>38</v>
      </c>
      <c r="G8" s="26">
        <f t="shared" si="4"/>
        <v>40.659999999999997</v>
      </c>
      <c r="H8" s="27">
        <f t="shared" si="5"/>
        <v>711.54999999999984</v>
      </c>
      <c r="I8" s="27">
        <f>C26</f>
        <v>2.08</v>
      </c>
      <c r="J8" s="89">
        <f t="shared" si="6"/>
        <v>1480.0239999999997</v>
      </c>
      <c r="K8" s="84">
        <f>E36</f>
        <v>1.1438383838383839E-3</v>
      </c>
      <c r="L8" s="28">
        <f t="shared" si="0"/>
        <v>20.017171717171717</v>
      </c>
      <c r="M8" s="29">
        <f>A18*B18</f>
        <v>128</v>
      </c>
      <c r="N8" s="29">
        <f>C18</f>
        <v>450</v>
      </c>
      <c r="O8" s="29">
        <f>E18+F18*D18</f>
        <v>17.5</v>
      </c>
      <c r="P8" s="29">
        <f t="shared" si="1"/>
        <v>38.888888888888886</v>
      </c>
      <c r="Q8" s="28">
        <f t="shared" si="7"/>
        <v>680.55555555555554</v>
      </c>
      <c r="R8" s="26">
        <f t="shared" si="8"/>
        <v>2308.5967272727266</v>
      </c>
      <c r="S8" s="26">
        <f>G18</f>
        <v>0.3</v>
      </c>
      <c r="T8" s="26">
        <f t="shared" si="9"/>
        <v>3001.1757454545445</v>
      </c>
      <c r="U8" s="27">
        <f t="shared" si="2"/>
        <v>0.17149575688311683</v>
      </c>
      <c r="V8" s="78">
        <f>E19+F19*D19</f>
        <v>11.25</v>
      </c>
      <c r="W8" s="78">
        <f t="shared" si="10"/>
        <v>437.49999999999994</v>
      </c>
      <c r="X8" s="92">
        <f t="shared" si="11"/>
        <v>2065.5411717171714</v>
      </c>
      <c r="Y8" s="78">
        <f>G18</f>
        <v>0.3</v>
      </c>
      <c r="Z8" s="26">
        <f t="shared" si="12"/>
        <v>2685.2035232323228</v>
      </c>
      <c r="AA8" s="78">
        <f t="shared" si="3"/>
        <v>0.15344020132756131</v>
      </c>
      <c r="AB8" s="30">
        <v>80</v>
      </c>
      <c r="AC8" s="31">
        <f t="shared" ref="AC8:AC14" si="13">U8+U8*AB8/100</f>
        <v>0.30869236238961029</v>
      </c>
      <c r="AD8" s="31">
        <f t="shared" ref="AD8:AD14" si="14">AA8+AA8*AB8/100</f>
        <v>0.27619236238961037</v>
      </c>
    </row>
    <row r="9" spans="1:30" ht="14.4" x14ac:dyDescent="0.3">
      <c r="A9" s="15" t="s">
        <v>115</v>
      </c>
      <c r="B9" s="7" t="s">
        <v>7</v>
      </c>
      <c r="C9" s="22" t="s">
        <v>18</v>
      </c>
      <c r="D9" s="23">
        <v>25000</v>
      </c>
      <c r="E9" s="24">
        <v>0.05</v>
      </c>
      <c r="F9" s="25">
        <v>38</v>
      </c>
      <c r="G9" s="26">
        <f t="shared" si="4"/>
        <v>39.9</v>
      </c>
      <c r="H9" s="27">
        <f t="shared" si="5"/>
        <v>997.5</v>
      </c>
      <c r="I9" s="27">
        <f>C26</f>
        <v>2.08</v>
      </c>
      <c r="J9" s="89">
        <f t="shared" si="6"/>
        <v>2074.8000000000002</v>
      </c>
      <c r="K9" s="84">
        <f>E36</f>
        <v>1.1438383838383839E-3</v>
      </c>
      <c r="L9" s="28">
        <f t="shared" si="0"/>
        <v>28.595959595959599</v>
      </c>
      <c r="M9" s="29">
        <f>A18*B18</f>
        <v>128</v>
      </c>
      <c r="N9" s="29">
        <f>C18</f>
        <v>450</v>
      </c>
      <c r="O9" s="29">
        <f>E18+F18*D18</f>
        <v>17.5</v>
      </c>
      <c r="P9" s="29">
        <f t="shared" si="1"/>
        <v>55.555555555555557</v>
      </c>
      <c r="Q9" s="28">
        <f t="shared" si="7"/>
        <v>972.22222222222229</v>
      </c>
      <c r="R9" s="26">
        <f t="shared" si="8"/>
        <v>3203.6181818181822</v>
      </c>
      <c r="S9" s="26">
        <f>G18</f>
        <v>0.3</v>
      </c>
      <c r="T9" s="26">
        <f t="shared" si="9"/>
        <v>4164.7036363636371</v>
      </c>
      <c r="U9" s="27">
        <f t="shared" si="2"/>
        <v>0.16658814545454548</v>
      </c>
      <c r="V9" s="78">
        <f>E19+F19*D19</f>
        <v>11.25</v>
      </c>
      <c r="W9" s="78">
        <f t="shared" si="10"/>
        <v>625</v>
      </c>
      <c r="X9" s="92">
        <f t="shared" si="11"/>
        <v>2856.3959595959595</v>
      </c>
      <c r="Y9" s="78">
        <f>G18</f>
        <v>0.3</v>
      </c>
      <c r="Z9" s="26">
        <f t="shared" si="12"/>
        <v>3713.3147474747475</v>
      </c>
      <c r="AA9" s="78">
        <f t="shared" si="3"/>
        <v>0.1485325898989899</v>
      </c>
      <c r="AB9" s="30">
        <v>75</v>
      </c>
      <c r="AC9" s="31">
        <f t="shared" si="13"/>
        <v>0.29152925454545459</v>
      </c>
      <c r="AD9" s="31">
        <f t="shared" si="14"/>
        <v>0.25993203232323231</v>
      </c>
    </row>
    <row r="10" spans="1:30" ht="14.4" x14ac:dyDescent="0.3">
      <c r="A10" s="15" t="s">
        <v>115</v>
      </c>
      <c r="B10" s="7" t="s">
        <v>8</v>
      </c>
      <c r="C10" s="22" t="s">
        <v>19</v>
      </c>
      <c r="D10" s="23">
        <v>35000</v>
      </c>
      <c r="E10" s="24">
        <v>0.05</v>
      </c>
      <c r="F10" s="25">
        <v>38</v>
      </c>
      <c r="G10" s="26">
        <f t="shared" si="4"/>
        <v>39.9</v>
      </c>
      <c r="H10" s="27">
        <f t="shared" si="5"/>
        <v>1396.5</v>
      </c>
      <c r="I10" s="27">
        <f>C26</f>
        <v>2.08</v>
      </c>
      <c r="J10" s="89">
        <f t="shared" si="6"/>
        <v>2904.7200000000003</v>
      </c>
      <c r="K10" s="84">
        <f>E36</f>
        <v>1.1438383838383839E-3</v>
      </c>
      <c r="L10" s="28">
        <f t="shared" si="0"/>
        <v>40.034343434343434</v>
      </c>
      <c r="M10" s="29">
        <f>A18*B18</f>
        <v>128</v>
      </c>
      <c r="N10" s="29">
        <f>C18</f>
        <v>450</v>
      </c>
      <c r="O10" s="29">
        <f>E18+F18*D18</f>
        <v>17.5</v>
      </c>
      <c r="P10" s="29">
        <f t="shared" si="1"/>
        <v>77.777777777777771</v>
      </c>
      <c r="Q10" s="28">
        <f t="shared" si="7"/>
        <v>1361.1111111111111</v>
      </c>
      <c r="R10" s="26">
        <f t="shared" si="8"/>
        <v>4433.8654545454547</v>
      </c>
      <c r="S10" s="26">
        <f>G18</f>
        <v>0.3</v>
      </c>
      <c r="T10" s="26">
        <f t="shared" si="9"/>
        <v>5764.025090909091</v>
      </c>
      <c r="U10" s="27">
        <f t="shared" si="2"/>
        <v>0.16468643116883117</v>
      </c>
      <c r="V10" s="78">
        <f>E19+F19*D19</f>
        <v>11.25</v>
      </c>
      <c r="W10" s="78">
        <f t="shared" si="10"/>
        <v>874.99999999999989</v>
      </c>
      <c r="X10" s="92">
        <f t="shared" si="11"/>
        <v>3947.7543434343434</v>
      </c>
      <c r="Y10" s="78">
        <f>G18</f>
        <v>0.3</v>
      </c>
      <c r="Z10" s="26">
        <f t="shared" si="12"/>
        <v>5132.0806464646466</v>
      </c>
      <c r="AA10" s="78">
        <f t="shared" si="3"/>
        <v>0.14663087561327562</v>
      </c>
      <c r="AB10" s="30">
        <v>75</v>
      </c>
      <c r="AC10" s="31">
        <f t="shared" si="13"/>
        <v>0.28820125454545453</v>
      </c>
      <c r="AD10" s="31">
        <f t="shared" si="14"/>
        <v>0.25660403232323237</v>
      </c>
    </row>
    <row r="11" spans="1:30" ht="14.4" x14ac:dyDescent="0.3">
      <c r="A11" s="15" t="s">
        <v>115</v>
      </c>
      <c r="B11" s="7" t="s">
        <v>9</v>
      </c>
      <c r="C11" s="22" t="s">
        <v>20</v>
      </c>
      <c r="D11" s="23">
        <v>45000</v>
      </c>
      <c r="E11" s="24">
        <v>0.05</v>
      </c>
      <c r="F11" s="25">
        <v>38</v>
      </c>
      <c r="G11" s="26">
        <f t="shared" si="4"/>
        <v>39.9</v>
      </c>
      <c r="H11" s="27">
        <f t="shared" si="5"/>
        <v>1795.5</v>
      </c>
      <c r="I11" s="27">
        <f>C26</f>
        <v>2.08</v>
      </c>
      <c r="J11" s="89">
        <f t="shared" si="6"/>
        <v>3734.6400000000003</v>
      </c>
      <c r="K11" s="84">
        <f>E36</f>
        <v>1.1438383838383839E-3</v>
      </c>
      <c r="L11" s="28">
        <f t="shared" si="0"/>
        <v>51.472727272727276</v>
      </c>
      <c r="M11" s="29">
        <f>A18*B18</f>
        <v>128</v>
      </c>
      <c r="N11" s="29">
        <f>C18</f>
        <v>450</v>
      </c>
      <c r="O11" s="29">
        <f>E18+F18*D18</f>
        <v>17.5</v>
      </c>
      <c r="P11" s="29">
        <f t="shared" si="1"/>
        <v>100</v>
      </c>
      <c r="Q11" s="28">
        <f t="shared" si="7"/>
        <v>1750</v>
      </c>
      <c r="R11" s="26">
        <f t="shared" si="8"/>
        <v>5664.1127272727281</v>
      </c>
      <c r="S11" s="26">
        <f>G18</f>
        <v>0.3</v>
      </c>
      <c r="T11" s="26">
        <f t="shared" si="9"/>
        <v>7363.3465454545467</v>
      </c>
      <c r="U11" s="27">
        <f t="shared" si="2"/>
        <v>0.16362992323232325</v>
      </c>
      <c r="V11" s="78">
        <f>E19+F19*D19</f>
        <v>11.25</v>
      </c>
      <c r="W11" s="78">
        <f t="shared" si="10"/>
        <v>1125</v>
      </c>
      <c r="X11" s="92">
        <f t="shared" si="11"/>
        <v>5039.1127272727281</v>
      </c>
      <c r="Y11" s="78">
        <f>G18</f>
        <v>0.3</v>
      </c>
      <c r="Z11" s="26">
        <f t="shared" si="12"/>
        <v>6550.8465454545467</v>
      </c>
      <c r="AA11" s="78">
        <f t="shared" si="3"/>
        <v>0.14557436767676771</v>
      </c>
      <c r="AB11" s="30">
        <v>70</v>
      </c>
      <c r="AC11" s="31">
        <f t="shared" si="13"/>
        <v>0.27817086949494951</v>
      </c>
      <c r="AD11" s="31">
        <f t="shared" si="14"/>
        <v>0.2474764250505051</v>
      </c>
    </row>
    <row r="12" spans="1:30" ht="14.4" x14ac:dyDescent="0.3">
      <c r="A12" s="15" t="s">
        <v>115</v>
      </c>
      <c r="B12" s="7" t="s">
        <v>10</v>
      </c>
      <c r="C12" s="22" t="s">
        <v>21</v>
      </c>
      <c r="D12" s="23">
        <v>75000</v>
      </c>
      <c r="E12" s="24">
        <v>0.05</v>
      </c>
      <c r="F12" s="25">
        <v>38</v>
      </c>
      <c r="G12" s="26">
        <f t="shared" si="4"/>
        <v>39.9</v>
      </c>
      <c r="H12" s="27">
        <f t="shared" si="5"/>
        <v>2992.5</v>
      </c>
      <c r="I12" s="27">
        <f>C26</f>
        <v>2.08</v>
      </c>
      <c r="J12" s="89">
        <f t="shared" si="6"/>
        <v>6224.4000000000005</v>
      </c>
      <c r="K12" s="84">
        <f>E36</f>
        <v>1.1438383838383839E-3</v>
      </c>
      <c r="L12" s="28">
        <f t="shared" si="0"/>
        <v>85.787878787878796</v>
      </c>
      <c r="M12" s="29">
        <f>A18*B18</f>
        <v>128</v>
      </c>
      <c r="N12" s="29">
        <f>C18</f>
        <v>450</v>
      </c>
      <c r="O12" s="29">
        <f>E18+F18*D18</f>
        <v>17.5</v>
      </c>
      <c r="P12" s="29">
        <f t="shared" si="1"/>
        <v>166.66666666666666</v>
      </c>
      <c r="Q12" s="28">
        <f>O12*P12</f>
        <v>2916.6666666666665</v>
      </c>
      <c r="R12" s="26">
        <f t="shared" si="8"/>
        <v>9354.8545454545456</v>
      </c>
      <c r="S12" s="26">
        <f>G18</f>
        <v>0.3</v>
      </c>
      <c r="T12" s="26">
        <f t="shared" si="9"/>
        <v>12161.310909090909</v>
      </c>
      <c r="U12" s="27">
        <f t="shared" si="2"/>
        <v>0.16215081212121213</v>
      </c>
      <c r="V12" s="78">
        <f>E19+F19*D19</f>
        <v>11.25</v>
      </c>
      <c r="W12" s="78">
        <f t="shared" si="10"/>
        <v>1875</v>
      </c>
      <c r="X12" s="92">
        <f t="shared" si="11"/>
        <v>8313.1878787878795</v>
      </c>
      <c r="Y12" s="78">
        <f>G18</f>
        <v>0.3</v>
      </c>
      <c r="Z12" s="26">
        <f t="shared" si="12"/>
        <v>10807.144242424243</v>
      </c>
      <c r="AA12" s="78">
        <f t="shared" si="3"/>
        <v>0.14409525656565658</v>
      </c>
      <c r="AB12" s="30">
        <v>70</v>
      </c>
      <c r="AC12" s="31">
        <f t="shared" si="13"/>
        <v>0.27565638060606062</v>
      </c>
      <c r="AD12" s="31">
        <f t="shared" si="14"/>
        <v>0.24496193616161618</v>
      </c>
    </row>
    <row r="13" spans="1:30" ht="14.4" x14ac:dyDescent="0.3">
      <c r="A13" s="15" t="s">
        <v>115</v>
      </c>
      <c r="B13" s="7" t="s">
        <v>11</v>
      </c>
      <c r="C13" s="22" t="s">
        <v>22</v>
      </c>
      <c r="D13" s="23">
        <v>125000</v>
      </c>
      <c r="E13" s="24">
        <v>0.03</v>
      </c>
      <c r="F13" s="25">
        <v>38</v>
      </c>
      <c r="G13" s="26">
        <f t="shared" si="4"/>
        <v>39.14</v>
      </c>
      <c r="H13" s="27">
        <f t="shared" si="5"/>
        <v>4892.5</v>
      </c>
      <c r="I13" s="27">
        <f>C26</f>
        <v>2.08</v>
      </c>
      <c r="J13" s="89">
        <f t="shared" si="6"/>
        <v>10176.4</v>
      </c>
      <c r="K13" s="84">
        <f>E36</f>
        <v>1.1438383838383839E-3</v>
      </c>
      <c r="L13" s="28">
        <f t="shared" si="0"/>
        <v>142.97979797979798</v>
      </c>
      <c r="M13" s="29">
        <f>A18*B18</f>
        <v>128</v>
      </c>
      <c r="N13" s="29">
        <f>C18</f>
        <v>450</v>
      </c>
      <c r="O13" s="29">
        <f>E18+F18*D18</f>
        <v>17.5</v>
      </c>
      <c r="P13" s="29">
        <f t="shared" si="1"/>
        <v>277.77777777777777</v>
      </c>
      <c r="Q13" s="28">
        <f t="shared" si="7"/>
        <v>4861.1111111111113</v>
      </c>
      <c r="R13" s="26">
        <f t="shared" si="8"/>
        <v>15308.49090909091</v>
      </c>
      <c r="S13" s="26">
        <f>G18</f>
        <v>0.3</v>
      </c>
      <c r="T13" s="26">
        <f t="shared" si="9"/>
        <v>19901.038181818181</v>
      </c>
      <c r="U13" s="27">
        <f t="shared" si="2"/>
        <v>0.15920830545454545</v>
      </c>
      <c r="V13" s="78">
        <f>E19+F19*D19</f>
        <v>11.25</v>
      </c>
      <c r="W13" s="78">
        <f t="shared" si="10"/>
        <v>3125</v>
      </c>
      <c r="X13" s="92">
        <f t="shared" si="11"/>
        <v>13572.379797979798</v>
      </c>
      <c r="Y13" s="78">
        <f>G18</f>
        <v>0.3</v>
      </c>
      <c r="Z13" s="26">
        <f t="shared" si="12"/>
        <v>17644.093737373736</v>
      </c>
      <c r="AA13" s="78">
        <f t="shared" si="3"/>
        <v>0.14115274989898988</v>
      </c>
      <c r="AB13" s="30">
        <v>65</v>
      </c>
      <c r="AC13" s="31">
        <f t="shared" si="13"/>
        <v>0.26269370399999997</v>
      </c>
      <c r="AD13" s="31">
        <f t="shared" si="14"/>
        <v>0.23290203733333328</v>
      </c>
    </row>
    <row r="14" spans="1:30" ht="15" thickBot="1" x14ac:dyDescent="0.35">
      <c r="A14" s="15" t="s">
        <v>115</v>
      </c>
      <c r="B14" s="7" t="s">
        <v>12</v>
      </c>
      <c r="C14" s="22" t="s">
        <v>23</v>
      </c>
      <c r="D14" s="23">
        <v>200000</v>
      </c>
      <c r="E14" s="24">
        <v>0.03</v>
      </c>
      <c r="F14" s="25">
        <v>38</v>
      </c>
      <c r="G14" s="26">
        <f t="shared" si="4"/>
        <v>39.14</v>
      </c>
      <c r="H14" s="27">
        <f t="shared" si="5"/>
        <v>7828</v>
      </c>
      <c r="I14" s="27">
        <f>C26</f>
        <v>2.08</v>
      </c>
      <c r="J14" s="89">
        <f t="shared" si="6"/>
        <v>16282.24</v>
      </c>
      <c r="K14" s="84">
        <f>E36</f>
        <v>1.1438383838383839E-3</v>
      </c>
      <c r="L14" s="28">
        <f t="shared" si="0"/>
        <v>228.76767676767679</v>
      </c>
      <c r="M14" s="29">
        <f>A18*B18</f>
        <v>128</v>
      </c>
      <c r="N14" s="29">
        <f>C18</f>
        <v>450</v>
      </c>
      <c r="O14" s="29">
        <f>E18+F18*D18</f>
        <v>17.5</v>
      </c>
      <c r="P14" s="29">
        <f t="shared" si="1"/>
        <v>444.44444444444446</v>
      </c>
      <c r="Q14" s="28">
        <f t="shared" si="7"/>
        <v>7777.7777777777783</v>
      </c>
      <c r="R14" s="26">
        <f t="shared" si="8"/>
        <v>24416.785454545454</v>
      </c>
      <c r="S14" s="26">
        <f>G18</f>
        <v>0.3</v>
      </c>
      <c r="T14" s="26">
        <f t="shared" si="9"/>
        <v>31741.821090909089</v>
      </c>
      <c r="U14" s="27">
        <f t="shared" si="2"/>
        <v>0.15870910545454545</v>
      </c>
      <c r="V14" s="78">
        <f>E19+F19*D19</f>
        <v>11.25</v>
      </c>
      <c r="W14" s="78">
        <f t="shared" si="10"/>
        <v>5000</v>
      </c>
      <c r="X14" s="92">
        <f t="shared" si="11"/>
        <v>21639.007676767676</v>
      </c>
      <c r="Y14" s="78">
        <f>G18</f>
        <v>0.3</v>
      </c>
      <c r="Z14" s="26">
        <f t="shared" si="12"/>
        <v>28130.709979797979</v>
      </c>
      <c r="AA14" s="78">
        <f t="shared" si="3"/>
        <v>0.1406535498989899</v>
      </c>
      <c r="AB14" s="30">
        <v>60</v>
      </c>
      <c r="AC14" s="32">
        <f t="shared" si="13"/>
        <v>0.25393456872727271</v>
      </c>
      <c r="AD14" s="32">
        <f t="shared" si="14"/>
        <v>0.22504567983838386</v>
      </c>
    </row>
    <row r="15" spans="1:30" ht="14.4" thickBot="1" x14ac:dyDescent="0.35"/>
    <row r="16" spans="1:30" x14ac:dyDescent="0.3">
      <c r="A16" s="33" t="s">
        <v>27</v>
      </c>
      <c r="B16" s="34"/>
      <c r="C16" s="34"/>
      <c r="D16" s="34"/>
      <c r="E16" s="34"/>
      <c r="F16" s="34"/>
      <c r="G16" s="35"/>
      <c r="AC16" s="80"/>
    </row>
    <row r="17" spans="1:12" x14ac:dyDescent="0.3">
      <c r="A17" s="36" t="s">
        <v>28</v>
      </c>
      <c r="B17" s="37" t="s">
        <v>29</v>
      </c>
      <c r="C17" s="37" t="s">
        <v>30</v>
      </c>
      <c r="D17" s="37" t="s">
        <v>31</v>
      </c>
      <c r="E17" s="37" t="s">
        <v>32</v>
      </c>
      <c r="F17" s="37" t="s">
        <v>33</v>
      </c>
      <c r="G17" s="38" t="s">
        <v>34</v>
      </c>
      <c r="J17" s="39"/>
      <c r="K17" s="85"/>
      <c r="L17" s="14" t="s">
        <v>59</v>
      </c>
    </row>
    <row r="18" spans="1:12" ht="14.4" thickBot="1" x14ac:dyDescent="0.35">
      <c r="A18" s="40">
        <v>4</v>
      </c>
      <c r="B18" s="41">
        <v>32</v>
      </c>
      <c r="C18" s="41">
        <v>450</v>
      </c>
      <c r="D18" s="41">
        <v>0.5</v>
      </c>
      <c r="E18" s="41">
        <v>5</v>
      </c>
      <c r="F18" s="42">
        <v>25</v>
      </c>
      <c r="G18" s="43">
        <v>0.3</v>
      </c>
    </row>
    <row r="19" spans="1:12" ht="14.4" thickBot="1" x14ac:dyDescent="0.35">
      <c r="A19" s="40">
        <v>4</v>
      </c>
      <c r="B19" s="41">
        <v>32</v>
      </c>
      <c r="C19" s="41">
        <v>450</v>
      </c>
      <c r="D19" s="41">
        <v>0.25</v>
      </c>
      <c r="E19" s="41">
        <v>5</v>
      </c>
      <c r="F19" s="42">
        <v>25</v>
      </c>
      <c r="G19" s="43">
        <v>0.3</v>
      </c>
    </row>
    <row r="20" spans="1:12" ht="14.4" thickBot="1" x14ac:dyDescent="0.35">
      <c r="J20" s="44"/>
      <c r="K20" s="86"/>
      <c r="L20" s="14" t="s">
        <v>60</v>
      </c>
    </row>
    <row r="21" spans="1:12" x14ac:dyDescent="0.3">
      <c r="A21" s="45" t="s">
        <v>35</v>
      </c>
      <c r="B21" s="46"/>
      <c r="C21" s="46" t="s">
        <v>36</v>
      </c>
      <c r="D21" s="47" t="s">
        <v>37</v>
      </c>
    </row>
    <row r="22" spans="1:12" x14ac:dyDescent="0.3">
      <c r="A22" s="48" t="s">
        <v>40</v>
      </c>
      <c r="B22" s="49">
        <v>2</v>
      </c>
      <c r="C22" s="50">
        <v>96</v>
      </c>
      <c r="D22" s="51"/>
    </row>
    <row r="23" spans="1:12" x14ac:dyDescent="0.3">
      <c r="A23" s="48" t="s">
        <v>40</v>
      </c>
      <c r="B23" s="49">
        <v>4</v>
      </c>
      <c r="C23" s="50">
        <v>4</v>
      </c>
      <c r="D23" s="51"/>
    </row>
    <row r="24" spans="1:12" x14ac:dyDescent="0.3">
      <c r="A24" s="48" t="s">
        <v>40</v>
      </c>
      <c r="B24" s="49">
        <v>0</v>
      </c>
      <c r="C24" s="50"/>
      <c r="D24" s="51"/>
    </row>
    <row r="25" spans="1:12" ht="14.4" thickBot="1" x14ac:dyDescent="0.35">
      <c r="A25" s="48" t="s">
        <v>44</v>
      </c>
      <c r="B25" s="49">
        <v>0</v>
      </c>
      <c r="C25" s="50"/>
      <c r="D25" s="51"/>
    </row>
    <row r="26" spans="1:12" ht="14.4" thickBot="1" x14ac:dyDescent="0.35">
      <c r="A26" s="52" t="s">
        <v>45</v>
      </c>
      <c r="B26" s="53">
        <f>SUM(B22:B25)</f>
        <v>6</v>
      </c>
      <c r="C26" s="54">
        <f>(B22*C22/100)+(B23*C23/100)+(B24*C24/100)+(B25*C25/100)</f>
        <v>2.08</v>
      </c>
      <c r="D26" s="55" t="s">
        <v>62</v>
      </c>
    </row>
    <row r="27" spans="1:12" ht="14.4" thickBot="1" x14ac:dyDescent="0.35"/>
    <row r="28" spans="1:12" x14ac:dyDescent="0.3">
      <c r="A28" s="56" t="s">
        <v>38</v>
      </c>
      <c r="B28" s="57"/>
      <c r="C28" s="58"/>
      <c r="D28" s="59" t="s">
        <v>39</v>
      </c>
      <c r="E28" s="60" t="s">
        <v>97</v>
      </c>
    </row>
    <row r="29" spans="1:12" x14ac:dyDescent="0.3">
      <c r="A29" s="61" t="s">
        <v>42</v>
      </c>
      <c r="B29" s="62">
        <v>1100</v>
      </c>
      <c r="C29" s="63"/>
      <c r="D29" s="64"/>
      <c r="E29" s="65"/>
    </row>
    <row r="30" spans="1:12" x14ac:dyDescent="0.3">
      <c r="A30" s="61" t="s">
        <v>86</v>
      </c>
      <c r="B30" s="62">
        <v>9</v>
      </c>
      <c r="C30" s="63" t="s">
        <v>41</v>
      </c>
      <c r="D30" s="66">
        <v>0.68100000000000005</v>
      </c>
      <c r="E30" s="65">
        <f>D30*B30</f>
        <v>6.1290000000000004</v>
      </c>
    </row>
    <row r="31" spans="1:12" x14ac:dyDescent="0.3">
      <c r="A31" s="61" t="s">
        <v>87</v>
      </c>
      <c r="B31" s="62">
        <f>B30*B29</f>
        <v>9900</v>
      </c>
      <c r="C31" s="67"/>
      <c r="D31" s="68"/>
      <c r="E31" s="65"/>
    </row>
    <row r="32" spans="1:12" x14ac:dyDescent="0.3">
      <c r="A32" s="61" t="s">
        <v>88</v>
      </c>
      <c r="B32" s="62">
        <v>9</v>
      </c>
      <c r="C32" s="63" t="s">
        <v>43</v>
      </c>
      <c r="D32" s="69">
        <v>0.13800000000000001</v>
      </c>
      <c r="E32" s="65">
        <f>D32*B32</f>
        <v>1.242</v>
      </c>
    </row>
    <row r="33" spans="1:5" x14ac:dyDescent="0.3">
      <c r="A33" s="61" t="s">
        <v>46</v>
      </c>
      <c r="B33" s="62">
        <f>B32*5</f>
        <v>45</v>
      </c>
      <c r="C33" s="63" t="s">
        <v>47</v>
      </c>
      <c r="D33" s="66">
        <v>4.3400000000000001E-2</v>
      </c>
      <c r="E33" s="65">
        <f>D33*B33</f>
        <v>1.9530000000000001</v>
      </c>
    </row>
    <row r="34" spans="1:5" ht="14.4" thickBot="1" x14ac:dyDescent="0.35">
      <c r="A34" s="70" t="s">
        <v>48</v>
      </c>
      <c r="B34" s="71" t="s">
        <v>49</v>
      </c>
      <c r="C34" s="72" t="s">
        <v>50</v>
      </c>
      <c r="D34" s="73">
        <v>2</v>
      </c>
      <c r="E34" s="74">
        <f>D34</f>
        <v>2</v>
      </c>
    </row>
    <row r="35" spans="1:5" ht="14.4" thickBot="1" x14ac:dyDescent="0.35">
      <c r="E35" s="75">
        <f>SUM(E29:E34)</f>
        <v>11.324</v>
      </c>
    </row>
    <row r="36" spans="1:5" ht="14.4" thickBot="1" x14ac:dyDescent="0.35">
      <c r="D36" s="76" t="s">
        <v>98</v>
      </c>
      <c r="E36" s="77">
        <f>E35/B31</f>
        <v>1.1438383838383839E-3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3EFCE-1BB6-4543-BBAC-E084F53A7D82}">
  <dimension ref="A2:AD36"/>
  <sheetViews>
    <sheetView topLeftCell="I1" workbookViewId="0">
      <selection activeCell="T4" sqref="T4:T14"/>
    </sheetView>
  </sheetViews>
  <sheetFormatPr defaultColWidth="9.109375" defaultRowHeight="13.8" x14ac:dyDescent="0.3"/>
  <cols>
    <col min="1" max="1" width="28.6640625" style="14" bestFit="1" customWidth="1"/>
    <col min="2" max="2" width="10.109375" style="14" bestFit="1" customWidth="1"/>
    <col min="3" max="3" width="21" style="14" bestFit="1" customWidth="1"/>
    <col min="4" max="4" width="12.44140625" style="14" bestFit="1" customWidth="1"/>
    <col min="5" max="5" width="21" style="14" bestFit="1" customWidth="1"/>
    <col min="6" max="6" width="14.88671875" style="14" bestFit="1" customWidth="1"/>
    <col min="7" max="7" width="23.5546875" style="14" bestFit="1" customWidth="1"/>
    <col min="8" max="8" width="18.6640625" style="14" customWidth="1"/>
    <col min="9" max="9" width="0.109375" style="14" customWidth="1"/>
    <col min="10" max="10" width="9.5546875" style="14" bestFit="1" customWidth="1"/>
    <col min="11" max="11" width="15.33203125" style="82" customWidth="1"/>
    <col min="12" max="12" width="17.5546875" style="14" bestFit="1" customWidth="1"/>
    <col min="13" max="13" width="19.33203125" style="14" customWidth="1"/>
    <col min="14" max="14" width="9.109375" style="14" customWidth="1"/>
    <col min="15" max="15" width="22.88671875" style="14" customWidth="1"/>
    <col min="16" max="16" width="11.88671875" style="14" customWidth="1"/>
    <col min="17" max="17" width="23.5546875" style="14" bestFit="1" customWidth="1"/>
    <col min="18" max="18" width="24.33203125" style="14" customWidth="1"/>
    <col min="19" max="19" width="11" style="14" customWidth="1"/>
    <col min="20" max="20" width="35.5546875" style="14" bestFit="1" customWidth="1"/>
    <col min="21" max="21" width="14.6640625" style="14" bestFit="1" customWidth="1"/>
    <col min="22" max="27" width="14.6640625" style="14" customWidth="1"/>
    <col min="28" max="28" width="16.5546875" style="14" bestFit="1" customWidth="1"/>
    <col min="29" max="29" width="17.44140625" style="14" bestFit="1" customWidth="1"/>
    <col min="30" max="30" width="11.88671875" style="14" bestFit="1" customWidth="1"/>
    <col min="31" max="16384" width="9.109375" style="14"/>
  </cols>
  <sheetData>
    <row r="2" spans="1:30" ht="14.4" thickBot="1" x14ac:dyDescent="0.35"/>
    <row r="3" spans="1:30" ht="74.25" customHeight="1" thickBot="1" x14ac:dyDescent="0.35">
      <c r="A3" s="15" t="s">
        <v>57</v>
      </c>
      <c r="B3" s="15" t="s">
        <v>24</v>
      </c>
      <c r="C3" s="15" t="s">
        <v>25</v>
      </c>
      <c r="D3" s="15" t="s">
        <v>26</v>
      </c>
      <c r="E3" s="15" t="s">
        <v>55</v>
      </c>
      <c r="F3" s="15" t="s">
        <v>58</v>
      </c>
      <c r="G3" s="16" t="s">
        <v>51</v>
      </c>
      <c r="H3" s="17" t="s">
        <v>52</v>
      </c>
      <c r="I3" s="17" t="s">
        <v>61</v>
      </c>
      <c r="J3" s="90" t="s">
        <v>53</v>
      </c>
      <c r="K3" s="83" t="s">
        <v>99</v>
      </c>
      <c r="L3" s="18" t="s">
        <v>96</v>
      </c>
      <c r="M3" s="19" t="s">
        <v>54</v>
      </c>
      <c r="N3" s="19" t="s">
        <v>100</v>
      </c>
      <c r="O3" s="19" t="s">
        <v>108</v>
      </c>
      <c r="P3" s="19" t="s">
        <v>101</v>
      </c>
      <c r="Q3" s="91" t="s">
        <v>116</v>
      </c>
      <c r="R3" s="87" t="s">
        <v>107</v>
      </c>
      <c r="S3" s="88" t="s">
        <v>102</v>
      </c>
      <c r="T3" s="87" t="s">
        <v>104</v>
      </c>
      <c r="U3" s="87" t="s">
        <v>105</v>
      </c>
      <c r="V3" s="19" t="s">
        <v>109</v>
      </c>
      <c r="W3" s="20" t="s">
        <v>110</v>
      </c>
      <c r="X3" s="20"/>
      <c r="Y3" s="20"/>
      <c r="Z3" s="20" t="s">
        <v>111</v>
      </c>
      <c r="AA3" s="20" t="s">
        <v>112</v>
      </c>
      <c r="AB3" s="20" t="s">
        <v>103</v>
      </c>
      <c r="AC3" s="79" t="s">
        <v>106</v>
      </c>
      <c r="AD3" s="21" t="s">
        <v>113</v>
      </c>
    </row>
    <row r="4" spans="1:30" ht="14.4" x14ac:dyDescent="0.3">
      <c r="A4" s="15" t="s">
        <v>115</v>
      </c>
      <c r="B4" s="7" t="s">
        <v>2</v>
      </c>
      <c r="C4" s="22" t="s">
        <v>13</v>
      </c>
      <c r="D4" s="23">
        <v>2000</v>
      </c>
      <c r="E4" s="24">
        <v>0.1</v>
      </c>
      <c r="F4" s="25">
        <v>38</v>
      </c>
      <c r="G4" s="26">
        <f>F4+F4*E4</f>
        <v>41.8</v>
      </c>
      <c r="H4" s="27">
        <f>(G4*D4)/1000</f>
        <v>83.6</v>
      </c>
      <c r="I4" s="27">
        <f>C26</f>
        <v>2.52</v>
      </c>
      <c r="J4" s="89">
        <f>H4*I4</f>
        <v>210.672</v>
      </c>
      <c r="K4" s="84">
        <f>E36</f>
        <v>1.1438383838383839E-3</v>
      </c>
      <c r="L4" s="28">
        <f t="shared" ref="L4:L14" si="0">K4*D4</f>
        <v>2.2876767676767678</v>
      </c>
      <c r="M4" s="29">
        <f>A18*B18</f>
        <v>128</v>
      </c>
      <c r="N4" s="29">
        <f>C18</f>
        <v>450</v>
      </c>
      <c r="O4" s="29">
        <f>E18+F18*D18</f>
        <v>17.5</v>
      </c>
      <c r="P4" s="29">
        <f t="shared" ref="P4:P14" si="1">D4/N4</f>
        <v>4.4444444444444446</v>
      </c>
      <c r="Q4" s="28">
        <f>O4*P4</f>
        <v>77.777777777777786</v>
      </c>
      <c r="R4" s="26">
        <f>Q4+L4+J4+M4</f>
        <v>418.73745454545457</v>
      </c>
      <c r="S4" s="26">
        <f>G18</f>
        <v>0.3</v>
      </c>
      <c r="T4" s="26">
        <f>R4+R4*S4</f>
        <v>544.35869090909091</v>
      </c>
      <c r="U4" s="27">
        <f t="shared" ref="U4:U14" si="2">T4/D4</f>
        <v>0.27217934545454547</v>
      </c>
      <c r="V4" s="78">
        <f>E19+F19*D19</f>
        <v>11.25</v>
      </c>
      <c r="W4" s="78">
        <f>V4*P4</f>
        <v>50</v>
      </c>
      <c r="X4" s="92">
        <f>W4+M4+L4+J4</f>
        <v>390.9596767676768</v>
      </c>
      <c r="Y4" s="78">
        <f>G18</f>
        <v>0.3</v>
      </c>
      <c r="Z4" s="26">
        <f>X4+X4*Y4</f>
        <v>508.24757979797982</v>
      </c>
      <c r="AA4" s="78">
        <f t="shared" ref="AA4:AA14" si="3">Z4/D4</f>
        <v>0.25412378989898993</v>
      </c>
      <c r="AB4" s="30">
        <v>180</v>
      </c>
      <c r="AC4" s="81">
        <f>U4*2+(U4*2*80/100)</f>
        <v>0.97984564363636362</v>
      </c>
      <c r="AD4" s="81">
        <f>AA4*2+(AA4*2*80/100)</f>
        <v>0.91484564363636367</v>
      </c>
    </row>
    <row r="5" spans="1:30" ht="14.4" x14ac:dyDescent="0.3">
      <c r="A5" s="15" t="s">
        <v>115</v>
      </c>
      <c r="B5" s="7" t="s">
        <v>3</v>
      </c>
      <c r="C5" s="22" t="s">
        <v>14</v>
      </c>
      <c r="D5" s="23">
        <v>4000</v>
      </c>
      <c r="E5" s="24">
        <v>0.1</v>
      </c>
      <c r="F5" s="25">
        <v>38</v>
      </c>
      <c r="G5" s="26">
        <f t="shared" ref="G5:G14" si="4">F5+F5*E5</f>
        <v>41.8</v>
      </c>
      <c r="H5" s="27">
        <f t="shared" ref="H5:H14" si="5">(G5*D5)/1000</f>
        <v>167.2</v>
      </c>
      <c r="I5" s="27">
        <f>C26</f>
        <v>2.52</v>
      </c>
      <c r="J5" s="89">
        <f t="shared" ref="J5:J14" si="6">H5*I5</f>
        <v>421.34399999999999</v>
      </c>
      <c r="K5" s="84">
        <f>E36</f>
        <v>1.1438383838383839E-3</v>
      </c>
      <c r="L5" s="28">
        <f t="shared" si="0"/>
        <v>4.5753535353535355</v>
      </c>
      <c r="M5" s="29">
        <f>A18*B18</f>
        <v>128</v>
      </c>
      <c r="N5" s="29">
        <f>C18</f>
        <v>450</v>
      </c>
      <c r="O5" s="29">
        <f>E18+F18*D18</f>
        <v>17.5</v>
      </c>
      <c r="P5" s="29">
        <f t="shared" si="1"/>
        <v>8.8888888888888893</v>
      </c>
      <c r="Q5" s="28">
        <f t="shared" ref="Q5:Q14" si="7">O5*P5</f>
        <v>155.55555555555557</v>
      </c>
      <c r="R5" s="26">
        <f t="shared" ref="R5:R14" si="8">Q5+L5+J5+M5</f>
        <v>709.47490909090914</v>
      </c>
      <c r="S5" s="26">
        <f>G18</f>
        <v>0.3</v>
      </c>
      <c r="T5" s="26">
        <f t="shared" ref="T5:T14" si="9">R5+R5*S5</f>
        <v>922.31738181818184</v>
      </c>
      <c r="U5" s="27">
        <f t="shared" si="2"/>
        <v>0.23057934545454545</v>
      </c>
      <c r="V5" s="78">
        <f>E19+F19*D19</f>
        <v>11.25</v>
      </c>
      <c r="W5" s="78">
        <f t="shared" ref="W5:W14" si="10">V5*P5</f>
        <v>100</v>
      </c>
      <c r="X5" s="92">
        <f t="shared" ref="X5:X14" si="11">W5+M5+L5+J5</f>
        <v>653.91935353535359</v>
      </c>
      <c r="Y5" s="78">
        <f>G18</f>
        <v>0.3</v>
      </c>
      <c r="Z5" s="26">
        <f t="shared" ref="Z5:Z14" si="12">X5+X5*Y5</f>
        <v>850.09515959595967</v>
      </c>
      <c r="AA5" s="78">
        <f t="shared" si="3"/>
        <v>0.21252378989898993</v>
      </c>
      <c r="AB5" s="30">
        <v>160</v>
      </c>
      <c r="AC5" s="31">
        <f>U5*2+(U5*2*80/100)</f>
        <v>0.83008564363636361</v>
      </c>
      <c r="AD5" s="31">
        <f>AA5*2+(AA5*2*80/100)</f>
        <v>0.76508564363636378</v>
      </c>
    </row>
    <row r="6" spans="1:30" ht="14.4" x14ac:dyDescent="0.3">
      <c r="A6" s="15" t="s">
        <v>115</v>
      </c>
      <c r="B6" s="7" t="s">
        <v>4</v>
      </c>
      <c r="C6" s="22" t="s">
        <v>15</v>
      </c>
      <c r="D6" s="23">
        <v>7500</v>
      </c>
      <c r="E6" s="24">
        <v>7.0000000000000007E-2</v>
      </c>
      <c r="F6" s="25">
        <v>38</v>
      </c>
      <c r="G6" s="26">
        <f t="shared" si="4"/>
        <v>40.659999999999997</v>
      </c>
      <c r="H6" s="27">
        <f t="shared" si="5"/>
        <v>304.95</v>
      </c>
      <c r="I6" s="27">
        <f>C26</f>
        <v>2.52</v>
      </c>
      <c r="J6" s="89">
        <f t="shared" si="6"/>
        <v>768.47399999999993</v>
      </c>
      <c r="K6" s="84">
        <f>E36</f>
        <v>1.1438383838383839E-3</v>
      </c>
      <c r="L6" s="28">
        <f t="shared" si="0"/>
        <v>8.57878787878788</v>
      </c>
      <c r="M6" s="29">
        <f>A18*B18</f>
        <v>128</v>
      </c>
      <c r="N6" s="29">
        <f>C18</f>
        <v>450</v>
      </c>
      <c r="O6" s="29">
        <f>E18+F18*D18</f>
        <v>17.5</v>
      </c>
      <c r="P6" s="29">
        <f t="shared" si="1"/>
        <v>16.666666666666668</v>
      </c>
      <c r="Q6" s="28">
        <f t="shared" si="7"/>
        <v>291.66666666666669</v>
      </c>
      <c r="R6" s="26">
        <f t="shared" si="8"/>
        <v>1196.7194545454545</v>
      </c>
      <c r="S6" s="26">
        <f>G18</f>
        <v>0.3</v>
      </c>
      <c r="T6" s="26">
        <f t="shared" si="9"/>
        <v>1555.7352909090907</v>
      </c>
      <c r="U6" s="27">
        <f t="shared" si="2"/>
        <v>0.2074313721212121</v>
      </c>
      <c r="V6" s="78">
        <f>E19+F19*D19</f>
        <v>11.25</v>
      </c>
      <c r="W6" s="78">
        <f t="shared" si="10"/>
        <v>187.5</v>
      </c>
      <c r="X6" s="92">
        <f t="shared" si="11"/>
        <v>1092.5527878787877</v>
      </c>
      <c r="Y6" s="78">
        <f>G18</f>
        <v>0.3</v>
      </c>
      <c r="Z6" s="26">
        <f t="shared" si="12"/>
        <v>1420.318624242424</v>
      </c>
      <c r="AA6" s="78">
        <f t="shared" si="3"/>
        <v>0.18937581656565652</v>
      </c>
      <c r="AB6" s="30">
        <v>140</v>
      </c>
      <c r="AC6" s="31">
        <f>U6*2+(U6*2*80/100)</f>
        <v>0.74675293963636358</v>
      </c>
      <c r="AD6" s="31">
        <f>AA6*2+(AA6*2*80/100)</f>
        <v>0.68175293963636352</v>
      </c>
    </row>
    <row r="7" spans="1:30" ht="14.4" x14ac:dyDescent="0.3">
      <c r="A7" s="15" t="s">
        <v>115</v>
      </c>
      <c r="B7" s="7" t="s">
        <v>5</v>
      </c>
      <c r="C7" s="22" t="s">
        <v>16</v>
      </c>
      <c r="D7" s="23">
        <v>12500</v>
      </c>
      <c r="E7" s="24">
        <v>7.0000000000000007E-2</v>
      </c>
      <c r="F7" s="25">
        <v>38</v>
      </c>
      <c r="G7" s="26">
        <f t="shared" si="4"/>
        <v>40.659999999999997</v>
      </c>
      <c r="H7" s="27">
        <f t="shared" si="5"/>
        <v>508.24999999999994</v>
      </c>
      <c r="I7" s="27">
        <f>C26</f>
        <v>2.52</v>
      </c>
      <c r="J7" s="89">
        <f t="shared" si="6"/>
        <v>1280.79</v>
      </c>
      <c r="K7" s="84">
        <f>E36</f>
        <v>1.1438383838383839E-3</v>
      </c>
      <c r="L7" s="28">
        <f t="shared" si="0"/>
        <v>14.297979797979799</v>
      </c>
      <c r="M7" s="29">
        <f>A18*B18</f>
        <v>128</v>
      </c>
      <c r="N7" s="29">
        <f>C18</f>
        <v>450</v>
      </c>
      <c r="O7" s="29">
        <f>E18+F18*D18</f>
        <v>17.5</v>
      </c>
      <c r="P7" s="29">
        <f t="shared" si="1"/>
        <v>27.777777777777779</v>
      </c>
      <c r="Q7" s="28">
        <f t="shared" si="7"/>
        <v>486.11111111111114</v>
      </c>
      <c r="R7" s="26">
        <f t="shared" si="8"/>
        <v>1909.199090909091</v>
      </c>
      <c r="S7" s="26">
        <f>G18</f>
        <v>0.3</v>
      </c>
      <c r="T7" s="26">
        <f t="shared" si="9"/>
        <v>2481.9588181818181</v>
      </c>
      <c r="U7" s="27">
        <f t="shared" si="2"/>
        <v>0.19855670545454546</v>
      </c>
      <c r="V7" s="78">
        <f>E19+F19*D19</f>
        <v>11.25</v>
      </c>
      <c r="W7" s="78">
        <f t="shared" si="10"/>
        <v>312.5</v>
      </c>
      <c r="X7" s="92">
        <f t="shared" si="11"/>
        <v>1735.5879797979796</v>
      </c>
      <c r="Y7" s="78">
        <f>G18</f>
        <v>0.3</v>
      </c>
      <c r="Z7" s="26">
        <f t="shared" si="12"/>
        <v>2256.2643737373737</v>
      </c>
      <c r="AA7" s="78">
        <f t="shared" si="3"/>
        <v>0.18050114989898991</v>
      </c>
      <c r="AB7" s="30">
        <v>85</v>
      </c>
      <c r="AC7" s="31">
        <f>U7+U7*AB7/100</f>
        <v>0.36732990509090913</v>
      </c>
      <c r="AD7" s="31">
        <f>AA7+AA7*AB7/100</f>
        <v>0.33392712731313134</v>
      </c>
    </row>
    <row r="8" spans="1:30" ht="14.4" x14ac:dyDescent="0.3">
      <c r="A8" s="15" t="s">
        <v>115</v>
      </c>
      <c r="B8" s="7" t="s">
        <v>6</v>
      </c>
      <c r="C8" s="22" t="s">
        <v>17</v>
      </c>
      <c r="D8" s="23">
        <v>17500</v>
      </c>
      <c r="E8" s="24">
        <v>7.0000000000000007E-2</v>
      </c>
      <c r="F8" s="25">
        <v>38</v>
      </c>
      <c r="G8" s="26">
        <f t="shared" si="4"/>
        <v>40.659999999999997</v>
      </c>
      <c r="H8" s="27">
        <f t="shared" si="5"/>
        <v>711.54999999999984</v>
      </c>
      <c r="I8" s="27">
        <f>C26</f>
        <v>2.52</v>
      </c>
      <c r="J8" s="89">
        <f t="shared" si="6"/>
        <v>1793.1059999999995</v>
      </c>
      <c r="K8" s="84">
        <f>E36</f>
        <v>1.1438383838383839E-3</v>
      </c>
      <c r="L8" s="28">
        <f t="shared" si="0"/>
        <v>20.017171717171717</v>
      </c>
      <c r="M8" s="29">
        <f>A18*B18</f>
        <v>128</v>
      </c>
      <c r="N8" s="29">
        <f>C18</f>
        <v>450</v>
      </c>
      <c r="O8" s="29">
        <f>E18+F18*D18</f>
        <v>17.5</v>
      </c>
      <c r="P8" s="29">
        <f t="shared" si="1"/>
        <v>38.888888888888886</v>
      </c>
      <c r="Q8" s="28">
        <f t="shared" si="7"/>
        <v>680.55555555555554</v>
      </c>
      <c r="R8" s="26">
        <f t="shared" si="8"/>
        <v>2621.678727272727</v>
      </c>
      <c r="S8" s="26">
        <f>G18</f>
        <v>0.3</v>
      </c>
      <c r="T8" s="26">
        <f t="shared" si="9"/>
        <v>3408.1823454545452</v>
      </c>
      <c r="U8" s="27">
        <f t="shared" si="2"/>
        <v>0.19475327688311686</v>
      </c>
      <c r="V8" s="78">
        <f>E19+F19*D19</f>
        <v>11.25</v>
      </c>
      <c r="W8" s="78">
        <f t="shared" si="10"/>
        <v>437.49999999999994</v>
      </c>
      <c r="X8" s="92">
        <f t="shared" si="11"/>
        <v>2378.6231717171713</v>
      </c>
      <c r="Y8" s="78">
        <f>G18</f>
        <v>0.3</v>
      </c>
      <c r="Z8" s="26">
        <f t="shared" si="12"/>
        <v>3092.2101232323225</v>
      </c>
      <c r="AA8" s="78">
        <f t="shared" si="3"/>
        <v>0.17669772132756129</v>
      </c>
      <c r="AB8" s="30">
        <v>80</v>
      </c>
      <c r="AC8" s="31">
        <f t="shared" ref="AC8:AC14" si="13">U8+U8*AB8/100</f>
        <v>0.35055589838961032</v>
      </c>
      <c r="AD8" s="31">
        <f t="shared" ref="AD8:AD14" si="14">AA8+AA8*AB8/100</f>
        <v>0.31805589838961035</v>
      </c>
    </row>
    <row r="9" spans="1:30" ht="14.4" x14ac:dyDescent="0.3">
      <c r="A9" s="15" t="s">
        <v>115</v>
      </c>
      <c r="B9" s="7" t="s">
        <v>7</v>
      </c>
      <c r="C9" s="22" t="s">
        <v>18</v>
      </c>
      <c r="D9" s="23">
        <v>25000</v>
      </c>
      <c r="E9" s="24">
        <v>0.05</v>
      </c>
      <c r="F9" s="25">
        <v>38</v>
      </c>
      <c r="G9" s="26">
        <f t="shared" si="4"/>
        <v>39.9</v>
      </c>
      <c r="H9" s="27">
        <f t="shared" si="5"/>
        <v>997.5</v>
      </c>
      <c r="I9" s="27">
        <f>C26</f>
        <v>2.52</v>
      </c>
      <c r="J9" s="89">
        <f t="shared" si="6"/>
        <v>2513.6999999999998</v>
      </c>
      <c r="K9" s="84">
        <f>E36</f>
        <v>1.1438383838383839E-3</v>
      </c>
      <c r="L9" s="28">
        <f t="shared" si="0"/>
        <v>28.595959595959599</v>
      </c>
      <c r="M9" s="29">
        <f>A18*B18</f>
        <v>128</v>
      </c>
      <c r="N9" s="29">
        <f>C18</f>
        <v>450</v>
      </c>
      <c r="O9" s="29">
        <f>E18+F18*D18</f>
        <v>17.5</v>
      </c>
      <c r="P9" s="29">
        <f t="shared" si="1"/>
        <v>55.555555555555557</v>
      </c>
      <c r="Q9" s="28">
        <f t="shared" si="7"/>
        <v>972.22222222222229</v>
      </c>
      <c r="R9" s="26">
        <f t="shared" si="8"/>
        <v>3642.5181818181818</v>
      </c>
      <c r="S9" s="26">
        <f>G18</f>
        <v>0.3</v>
      </c>
      <c r="T9" s="26">
        <f t="shared" si="9"/>
        <v>4735.2736363636359</v>
      </c>
      <c r="U9" s="27">
        <f t="shared" si="2"/>
        <v>0.18941094545454543</v>
      </c>
      <c r="V9" s="78">
        <f>E19+F19*D19</f>
        <v>11.25</v>
      </c>
      <c r="W9" s="78">
        <f t="shared" si="10"/>
        <v>625</v>
      </c>
      <c r="X9" s="92">
        <f t="shared" si="11"/>
        <v>3295.2959595959592</v>
      </c>
      <c r="Y9" s="78">
        <f>G18</f>
        <v>0.3</v>
      </c>
      <c r="Z9" s="26">
        <f t="shared" si="12"/>
        <v>4283.8847474747472</v>
      </c>
      <c r="AA9" s="78">
        <f t="shared" si="3"/>
        <v>0.17135538989898988</v>
      </c>
      <c r="AB9" s="30">
        <v>75</v>
      </c>
      <c r="AC9" s="31">
        <f t="shared" si="13"/>
        <v>0.3314691545454545</v>
      </c>
      <c r="AD9" s="31">
        <f t="shared" si="14"/>
        <v>0.29987193232323228</v>
      </c>
    </row>
    <row r="10" spans="1:30" ht="14.4" x14ac:dyDescent="0.3">
      <c r="A10" s="15" t="s">
        <v>115</v>
      </c>
      <c r="B10" s="7" t="s">
        <v>8</v>
      </c>
      <c r="C10" s="22" t="s">
        <v>19</v>
      </c>
      <c r="D10" s="23">
        <v>35000</v>
      </c>
      <c r="E10" s="24">
        <v>0.05</v>
      </c>
      <c r="F10" s="25">
        <v>38</v>
      </c>
      <c r="G10" s="26">
        <f t="shared" si="4"/>
        <v>39.9</v>
      </c>
      <c r="H10" s="27">
        <f t="shared" si="5"/>
        <v>1396.5</v>
      </c>
      <c r="I10" s="27">
        <f>C26</f>
        <v>2.52</v>
      </c>
      <c r="J10" s="89">
        <f t="shared" si="6"/>
        <v>3519.18</v>
      </c>
      <c r="K10" s="84">
        <f>E36</f>
        <v>1.1438383838383839E-3</v>
      </c>
      <c r="L10" s="28">
        <f t="shared" si="0"/>
        <v>40.034343434343434</v>
      </c>
      <c r="M10" s="29">
        <f>A18*B18</f>
        <v>128</v>
      </c>
      <c r="N10" s="29">
        <f>C18</f>
        <v>450</v>
      </c>
      <c r="O10" s="29">
        <f>E18+F18*D18</f>
        <v>17.5</v>
      </c>
      <c r="P10" s="29">
        <f t="shared" si="1"/>
        <v>77.777777777777771</v>
      </c>
      <c r="Q10" s="28">
        <f t="shared" si="7"/>
        <v>1361.1111111111111</v>
      </c>
      <c r="R10" s="26">
        <f t="shared" si="8"/>
        <v>5048.3254545454547</v>
      </c>
      <c r="S10" s="26">
        <f>G18</f>
        <v>0.3</v>
      </c>
      <c r="T10" s="26">
        <f t="shared" si="9"/>
        <v>6562.8230909090908</v>
      </c>
      <c r="U10" s="27">
        <f t="shared" si="2"/>
        <v>0.18750923116883117</v>
      </c>
      <c r="V10" s="78">
        <f>E19+F19*D19</f>
        <v>11.25</v>
      </c>
      <c r="W10" s="78">
        <f t="shared" si="10"/>
        <v>874.99999999999989</v>
      </c>
      <c r="X10" s="92">
        <f t="shared" si="11"/>
        <v>4562.2143434343434</v>
      </c>
      <c r="Y10" s="78">
        <f>G18</f>
        <v>0.3</v>
      </c>
      <c r="Z10" s="26">
        <f t="shared" si="12"/>
        <v>5930.8786464646464</v>
      </c>
      <c r="AA10" s="78">
        <f t="shared" si="3"/>
        <v>0.16945367561327562</v>
      </c>
      <c r="AB10" s="30">
        <v>75</v>
      </c>
      <c r="AC10" s="31">
        <f t="shared" si="13"/>
        <v>0.32814115454545456</v>
      </c>
      <c r="AD10" s="31">
        <f t="shared" si="14"/>
        <v>0.29654393232323234</v>
      </c>
    </row>
    <row r="11" spans="1:30" ht="14.4" x14ac:dyDescent="0.3">
      <c r="A11" s="15" t="s">
        <v>115</v>
      </c>
      <c r="B11" s="7" t="s">
        <v>9</v>
      </c>
      <c r="C11" s="22" t="s">
        <v>20</v>
      </c>
      <c r="D11" s="23">
        <v>45000</v>
      </c>
      <c r="E11" s="24">
        <v>0.05</v>
      </c>
      <c r="F11" s="25">
        <v>38</v>
      </c>
      <c r="G11" s="26">
        <f t="shared" si="4"/>
        <v>39.9</v>
      </c>
      <c r="H11" s="27">
        <f t="shared" si="5"/>
        <v>1795.5</v>
      </c>
      <c r="I11" s="27">
        <f>C26</f>
        <v>2.52</v>
      </c>
      <c r="J11" s="89">
        <f t="shared" si="6"/>
        <v>4524.66</v>
      </c>
      <c r="K11" s="84">
        <f>E36</f>
        <v>1.1438383838383839E-3</v>
      </c>
      <c r="L11" s="28">
        <f t="shared" si="0"/>
        <v>51.472727272727276</v>
      </c>
      <c r="M11" s="29">
        <f>A18*B18</f>
        <v>128</v>
      </c>
      <c r="N11" s="29">
        <f>C18</f>
        <v>450</v>
      </c>
      <c r="O11" s="29">
        <f>E18+F18*D18</f>
        <v>17.5</v>
      </c>
      <c r="P11" s="29">
        <f t="shared" si="1"/>
        <v>100</v>
      </c>
      <c r="Q11" s="28">
        <f t="shared" si="7"/>
        <v>1750</v>
      </c>
      <c r="R11" s="26">
        <f t="shared" si="8"/>
        <v>6454.1327272727267</v>
      </c>
      <c r="S11" s="26">
        <f>G18</f>
        <v>0.3</v>
      </c>
      <c r="T11" s="26">
        <f t="shared" si="9"/>
        <v>8390.3725454545456</v>
      </c>
      <c r="U11" s="27">
        <f t="shared" si="2"/>
        <v>0.18645272323232323</v>
      </c>
      <c r="V11" s="78">
        <f>E19+F19*D19</f>
        <v>11.25</v>
      </c>
      <c r="W11" s="78">
        <f t="shared" si="10"/>
        <v>1125</v>
      </c>
      <c r="X11" s="92">
        <f t="shared" si="11"/>
        <v>5829.1327272727267</v>
      </c>
      <c r="Y11" s="78">
        <f>G18</f>
        <v>0.3</v>
      </c>
      <c r="Z11" s="26">
        <f t="shared" si="12"/>
        <v>7577.8725454545447</v>
      </c>
      <c r="AA11" s="78">
        <f t="shared" si="3"/>
        <v>0.16839716767676766</v>
      </c>
      <c r="AB11" s="30">
        <v>70</v>
      </c>
      <c r="AC11" s="31">
        <f t="shared" si="13"/>
        <v>0.3169696294949495</v>
      </c>
      <c r="AD11" s="31">
        <f t="shared" si="14"/>
        <v>0.28627518505050498</v>
      </c>
    </row>
    <row r="12" spans="1:30" ht="14.4" x14ac:dyDescent="0.3">
      <c r="A12" s="15" t="s">
        <v>115</v>
      </c>
      <c r="B12" s="7" t="s">
        <v>10</v>
      </c>
      <c r="C12" s="22" t="s">
        <v>21</v>
      </c>
      <c r="D12" s="23">
        <v>75000</v>
      </c>
      <c r="E12" s="24">
        <v>0.05</v>
      </c>
      <c r="F12" s="25">
        <v>38</v>
      </c>
      <c r="G12" s="26">
        <f t="shared" si="4"/>
        <v>39.9</v>
      </c>
      <c r="H12" s="27">
        <f t="shared" si="5"/>
        <v>2992.5</v>
      </c>
      <c r="I12" s="27">
        <f>C26</f>
        <v>2.52</v>
      </c>
      <c r="J12" s="89">
        <f t="shared" si="6"/>
        <v>7541.1</v>
      </c>
      <c r="K12" s="84">
        <f>E36</f>
        <v>1.1438383838383839E-3</v>
      </c>
      <c r="L12" s="28">
        <f t="shared" si="0"/>
        <v>85.787878787878796</v>
      </c>
      <c r="M12" s="29">
        <f>A18*B18</f>
        <v>128</v>
      </c>
      <c r="N12" s="29">
        <f>C18</f>
        <v>450</v>
      </c>
      <c r="O12" s="29">
        <f>E18+F18*D18</f>
        <v>17.5</v>
      </c>
      <c r="P12" s="29">
        <f t="shared" si="1"/>
        <v>166.66666666666666</v>
      </c>
      <c r="Q12" s="28">
        <f>O12*P12</f>
        <v>2916.6666666666665</v>
      </c>
      <c r="R12" s="26">
        <f t="shared" si="8"/>
        <v>10671.554545454546</v>
      </c>
      <c r="S12" s="26">
        <f>G18</f>
        <v>0.3</v>
      </c>
      <c r="T12" s="26">
        <f t="shared" si="9"/>
        <v>13873.02090909091</v>
      </c>
      <c r="U12" s="27">
        <f t="shared" si="2"/>
        <v>0.18497361212121213</v>
      </c>
      <c r="V12" s="78">
        <f>E19+F19*D19</f>
        <v>11.25</v>
      </c>
      <c r="W12" s="78">
        <f t="shared" si="10"/>
        <v>1875</v>
      </c>
      <c r="X12" s="92">
        <f t="shared" si="11"/>
        <v>9629.8878787878784</v>
      </c>
      <c r="Y12" s="78">
        <f>G18</f>
        <v>0.3</v>
      </c>
      <c r="Z12" s="26">
        <f t="shared" si="12"/>
        <v>12518.854242424242</v>
      </c>
      <c r="AA12" s="78">
        <f t="shared" si="3"/>
        <v>0.16691805656565656</v>
      </c>
      <c r="AB12" s="30">
        <v>70</v>
      </c>
      <c r="AC12" s="31">
        <f t="shared" si="13"/>
        <v>0.31445514060606061</v>
      </c>
      <c r="AD12" s="31">
        <f t="shared" si="14"/>
        <v>0.28376069616161614</v>
      </c>
    </row>
    <row r="13" spans="1:30" ht="14.4" x14ac:dyDescent="0.3">
      <c r="A13" s="15" t="s">
        <v>115</v>
      </c>
      <c r="B13" s="7" t="s">
        <v>11</v>
      </c>
      <c r="C13" s="22" t="s">
        <v>22</v>
      </c>
      <c r="D13" s="23">
        <v>125000</v>
      </c>
      <c r="E13" s="24">
        <v>0.03</v>
      </c>
      <c r="F13" s="25">
        <v>38</v>
      </c>
      <c r="G13" s="26">
        <f t="shared" si="4"/>
        <v>39.14</v>
      </c>
      <c r="H13" s="27">
        <f t="shared" si="5"/>
        <v>4892.5</v>
      </c>
      <c r="I13" s="27">
        <f>C26</f>
        <v>2.52</v>
      </c>
      <c r="J13" s="89">
        <f t="shared" si="6"/>
        <v>12329.1</v>
      </c>
      <c r="K13" s="84">
        <f>E36</f>
        <v>1.1438383838383839E-3</v>
      </c>
      <c r="L13" s="28">
        <f t="shared" si="0"/>
        <v>142.97979797979798</v>
      </c>
      <c r="M13" s="29">
        <f>A18*B18</f>
        <v>128</v>
      </c>
      <c r="N13" s="29">
        <f>C18</f>
        <v>450</v>
      </c>
      <c r="O13" s="29">
        <f>E18+F18*D18</f>
        <v>17.5</v>
      </c>
      <c r="P13" s="29">
        <f t="shared" si="1"/>
        <v>277.77777777777777</v>
      </c>
      <c r="Q13" s="28">
        <f t="shared" si="7"/>
        <v>4861.1111111111113</v>
      </c>
      <c r="R13" s="26">
        <f t="shared" si="8"/>
        <v>17461.19090909091</v>
      </c>
      <c r="S13" s="26">
        <f>G18</f>
        <v>0.3</v>
      </c>
      <c r="T13" s="26">
        <f t="shared" si="9"/>
        <v>22699.548181818183</v>
      </c>
      <c r="U13" s="27">
        <f t="shared" si="2"/>
        <v>0.18159638545454546</v>
      </c>
      <c r="V13" s="78">
        <f>E19+F19*D19</f>
        <v>11.25</v>
      </c>
      <c r="W13" s="78">
        <f t="shared" si="10"/>
        <v>3125</v>
      </c>
      <c r="X13" s="92">
        <f t="shared" si="11"/>
        <v>15725.079797979799</v>
      </c>
      <c r="Y13" s="78">
        <f>G18</f>
        <v>0.3</v>
      </c>
      <c r="Z13" s="26">
        <f t="shared" si="12"/>
        <v>20442.603737373738</v>
      </c>
      <c r="AA13" s="78">
        <f t="shared" si="3"/>
        <v>0.16354082989898991</v>
      </c>
      <c r="AB13" s="30">
        <v>65</v>
      </c>
      <c r="AC13" s="31">
        <f t="shared" si="13"/>
        <v>0.29963403599999999</v>
      </c>
      <c r="AD13" s="31">
        <f t="shared" si="14"/>
        <v>0.26984236933333333</v>
      </c>
    </row>
    <row r="14" spans="1:30" ht="15" thickBot="1" x14ac:dyDescent="0.35">
      <c r="A14" s="15" t="s">
        <v>115</v>
      </c>
      <c r="B14" s="7" t="s">
        <v>12</v>
      </c>
      <c r="C14" s="22" t="s">
        <v>23</v>
      </c>
      <c r="D14" s="23">
        <v>200000</v>
      </c>
      <c r="E14" s="24">
        <v>0.03</v>
      </c>
      <c r="F14" s="25">
        <v>38</v>
      </c>
      <c r="G14" s="26">
        <f t="shared" si="4"/>
        <v>39.14</v>
      </c>
      <c r="H14" s="27">
        <f t="shared" si="5"/>
        <v>7828</v>
      </c>
      <c r="I14" s="27">
        <f>C26</f>
        <v>2.52</v>
      </c>
      <c r="J14" s="89">
        <f t="shared" si="6"/>
        <v>19726.560000000001</v>
      </c>
      <c r="K14" s="84">
        <f>E36</f>
        <v>1.1438383838383839E-3</v>
      </c>
      <c r="L14" s="28">
        <f t="shared" si="0"/>
        <v>228.76767676767679</v>
      </c>
      <c r="M14" s="29">
        <f>A18*B18</f>
        <v>128</v>
      </c>
      <c r="N14" s="29">
        <f>C18</f>
        <v>450</v>
      </c>
      <c r="O14" s="29">
        <f>E18+F18*D18</f>
        <v>17.5</v>
      </c>
      <c r="P14" s="29">
        <f t="shared" si="1"/>
        <v>444.44444444444446</v>
      </c>
      <c r="Q14" s="28">
        <f t="shared" si="7"/>
        <v>7777.7777777777783</v>
      </c>
      <c r="R14" s="26">
        <f t="shared" si="8"/>
        <v>27861.105454545457</v>
      </c>
      <c r="S14" s="26">
        <f>G18</f>
        <v>0.3</v>
      </c>
      <c r="T14" s="26">
        <f t="shared" si="9"/>
        <v>36219.437090909094</v>
      </c>
      <c r="U14" s="27">
        <f t="shared" si="2"/>
        <v>0.18109718545454548</v>
      </c>
      <c r="V14" s="78">
        <f>E19+F19*D19</f>
        <v>11.25</v>
      </c>
      <c r="W14" s="78">
        <f t="shared" si="10"/>
        <v>5000</v>
      </c>
      <c r="X14" s="92">
        <f t="shared" si="11"/>
        <v>25083.32767676768</v>
      </c>
      <c r="Y14" s="78">
        <f>G18</f>
        <v>0.3</v>
      </c>
      <c r="Z14" s="26">
        <f t="shared" si="12"/>
        <v>32608.325979797984</v>
      </c>
      <c r="AA14" s="78">
        <f t="shared" si="3"/>
        <v>0.16304162989898993</v>
      </c>
      <c r="AB14" s="30">
        <v>60</v>
      </c>
      <c r="AC14" s="32">
        <f t="shared" si="13"/>
        <v>0.28975549672727274</v>
      </c>
      <c r="AD14" s="32">
        <f t="shared" si="14"/>
        <v>0.26086660783838389</v>
      </c>
    </row>
    <row r="15" spans="1:30" ht="14.4" thickBot="1" x14ac:dyDescent="0.35"/>
    <row r="16" spans="1:30" x14ac:dyDescent="0.3">
      <c r="A16" s="33" t="s">
        <v>27</v>
      </c>
      <c r="B16" s="34"/>
      <c r="C16" s="34"/>
      <c r="D16" s="34"/>
      <c r="E16" s="34"/>
      <c r="F16" s="34"/>
      <c r="G16" s="35"/>
      <c r="AC16" s="80"/>
    </row>
    <row r="17" spans="1:12" x14ac:dyDescent="0.3">
      <c r="A17" s="36" t="s">
        <v>28</v>
      </c>
      <c r="B17" s="37" t="s">
        <v>29</v>
      </c>
      <c r="C17" s="37" t="s">
        <v>30</v>
      </c>
      <c r="D17" s="37" t="s">
        <v>31</v>
      </c>
      <c r="E17" s="37" t="s">
        <v>32</v>
      </c>
      <c r="F17" s="37" t="s">
        <v>33</v>
      </c>
      <c r="G17" s="38" t="s">
        <v>34</v>
      </c>
      <c r="J17" s="39"/>
      <c r="K17" s="85"/>
      <c r="L17" s="14" t="s">
        <v>59</v>
      </c>
    </row>
    <row r="18" spans="1:12" ht="14.4" thickBot="1" x14ac:dyDescent="0.35">
      <c r="A18" s="40">
        <v>4</v>
      </c>
      <c r="B18" s="41">
        <v>32</v>
      </c>
      <c r="C18" s="41">
        <v>450</v>
      </c>
      <c r="D18" s="41">
        <v>0.5</v>
      </c>
      <c r="E18" s="41">
        <v>5</v>
      </c>
      <c r="F18" s="42">
        <v>25</v>
      </c>
      <c r="G18" s="43">
        <v>0.3</v>
      </c>
    </row>
    <row r="19" spans="1:12" ht="14.4" thickBot="1" x14ac:dyDescent="0.35">
      <c r="A19" s="40">
        <v>4</v>
      </c>
      <c r="B19" s="41">
        <v>32</v>
      </c>
      <c r="C19" s="41">
        <v>450</v>
      </c>
      <c r="D19" s="41">
        <v>0.25</v>
      </c>
      <c r="E19" s="41">
        <v>5</v>
      </c>
      <c r="F19" s="42">
        <v>25</v>
      </c>
      <c r="G19" s="43">
        <v>0.3</v>
      </c>
    </row>
    <row r="20" spans="1:12" ht="14.4" thickBot="1" x14ac:dyDescent="0.35">
      <c r="J20" s="44"/>
      <c r="K20" s="86"/>
      <c r="L20" s="14" t="s">
        <v>60</v>
      </c>
    </row>
    <row r="21" spans="1:12" x14ac:dyDescent="0.3">
      <c r="A21" s="45" t="s">
        <v>35</v>
      </c>
      <c r="B21" s="46"/>
      <c r="C21" s="46" t="s">
        <v>36</v>
      </c>
      <c r="D21" s="47" t="s">
        <v>37</v>
      </c>
    </row>
    <row r="22" spans="1:12" x14ac:dyDescent="0.3">
      <c r="A22" s="48" t="s">
        <v>40</v>
      </c>
      <c r="B22" s="49">
        <v>2</v>
      </c>
      <c r="C22" s="50">
        <v>96</v>
      </c>
      <c r="D22" s="51"/>
    </row>
    <row r="23" spans="1:12" x14ac:dyDescent="0.3">
      <c r="A23" s="48" t="s">
        <v>40</v>
      </c>
      <c r="B23" s="49">
        <v>15</v>
      </c>
      <c r="C23" s="50">
        <v>4</v>
      </c>
      <c r="D23" s="51"/>
    </row>
    <row r="24" spans="1:12" x14ac:dyDescent="0.3">
      <c r="A24" s="48" t="s">
        <v>40</v>
      </c>
      <c r="B24" s="49">
        <v>0</v>
      </c>
      <c r="C24" s="50"/>
      <c r="D24" s="51"/>
    </row>
    <row r="25" spans="1:12" ht="14.4" thickBot="1" x14ac:dyDescent="0.35">
      <c r="A25" s="48" t="s">
        <v>44</v>
      </c>
      <c r="B25" s="49">
        <v>0</v>
      </c>
      <c r="C25" s="50"/>
      <c r="D25" s="51"/>
    </row>
    <row r="26" spans="1:12" ht="14.4" thickBot="1" x14ac:dyDescent="0.35">
      <c r="A26" s="52" t="s">
        <v>45</v>
      </c>
      <c r="B26" s="53">
        <f>SUM(B22:B25)</f>
        <v>17</v>
      </c>
      <c r="C26" s="54">
        <f>(B22*C22/100)+(B23*C23/100)+(B24*C24/100)+(B25*C25/100)</f>
        <v>2.52</v>
      </c>
      <c r="D26" s="55" t="s">
        <v>62</v>
      </c>
    </row>
    <row r="27" spans="1:12" ht="14.4" thickBot="1" x14ac:dyDescent="0.35"/>
    <row r="28" spans="1:12" x14ac:dyDescent="0.3">
      <c r="A28" s="56" t="s">
        <v>38</v>
      </c>
      <c r="B28" s="57"/>
      <c r="C28" s="58"/>
      <c r="D28" s="59" t="s">
        <v>39</v>
      </c>
      <c r="E28" s="60" t="s">
        <v>97</v>
      </c>
    </row>
    <row r="29" spans="1:12" x14ac:dyDescent="0.3">
      <c r="A29" s="61" t="s">
        <v>42</v>
      </c>
      <c r="B29" s="62">
        <v>1100</v>
      </c>
      <c r="C29" s="63"/>
      <c r="D29" s="64"/>
      <c r="E29" s="65"/>
    </row>
    <row r="30" spans="1:12" x14ac:dyDescent="0.3">
      <c r="A30" s="61" t="s">
        <v>86</v>
      </c>
      <c r="B30" s="62">
        <v>9</v>
      </c>
      <c r="C30" s="63" t="s">
        <v>41</v>
      </c>
      <c r="D30" s="66">
        <v>0.68100000000000005</v>
      </c>
      <c r="E30" s="65">
        <f>D30*B30</f>
        <v>6.1290000000000004</v>
      </c>
    </row>
    <row r="31" spans="1:12" x14ac:dyDescent="0.3">
      <c r="A31" s="61" t="s">
        <v>87</v>
      </c>
      <c r="B31" s="62">
        <f>B30*B29</f>
        <v>9900</v>
      </c>
      <c r="C31" s="67"/>
      <c r="D31" s="68"/>
      <c r="E31" s="65"/>
    </row>
    <row r="32" spans="1:12" x14ac:dyDescent="0.3">
      <c r="A32" s="61" t="s">
        <v>88</v>
      </c>
      <c r="B32" s="62">
        <v>9</v>
      </c>
      <c r="C32" s="63" t="s">
        <v>43</v>
      </c>
      <c r="D32" s="69">
        <v>0.13800000000000001</v>
      </c>
      <c r="E32" s="65">
        <f>D32*B32</f>
        <v>1.242</v>
      </c>
    </row>
    <row r="33" spans="1:5" x14ac:dyDescent="0.3">
      <c r="A33" s="61" t="s">
        <v>46</v>
      </c>
      <c r="B33" s="62">
        <f>B32*5</f>
        <v>45</v>
      </c>
      <c r="C33" s="63" t="s">
        <v>47</v>
      </c>
      <c r="D33" s="66">
        <v>4.3400000000000001E-2</v>
      </c>
      <c r="E33" s="65">
        <f>D33*B33</f>
        <v>1.9530000000000001</v>
      </c>
    </row>
    <row r="34" spans="1:5" ht="14.4" thickBot="1" x14ac:dyDescent="0.35">
      <c r="A34" s="70" t="s">
        <v>48</v>
      </c>
      <c r="B34" s="71" t="s">
        <v>49</v>
      </c>
      <c r="C34" s="72" t="s">
        <v>50</v>
      </c>
      <c r="D34" s="73">
        <v>2</v>
      </c>
      <c r="E34" s="74">
        <f>D34</f>
        <v>2</v>
      </c>
    </row>
    <row r="35" spans="1:5" ht="14.4" thickBot="1" x14ac:dyDescent="0.35">
      <c r="E35" s="75">
        <f>SUM(E29:E34)</f>
        <v>11.324</v>
      </c>
    </row>
    <row r="36" spans="1:5" ht="14.4" thickBot="1" x14ac:dyDescent="0.35">
      <c r="D36" s="76" t="s">
        <v>98</v>
      </c>
      <c r="E36" s="77">
        <f>E35/B31</f>
        <v>1.1438383838383839E-3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F7592-3CE0-4565-93F1-43FF9C495B8F}">
  <dimension ref="A2:AD36"/>
  <sheetViews>
    <sheetView topLeftCell="G2" workbookViewId="0">
      <selection activeCell="T4" sqref="T4:T14"/>
    </sheetView>
  </sheetViews>
  <sheetFormatPr defaultColWidth="9.109375" defaultRowHeight="13.8" x14ac:dyDescent="0.3"/>
  <cols>
    <col min="1" max="1" width="28.6640625" style="14" bestFit="1" customWidth="1"/>
    <col min="2" max="2" width="9.88671875" style="14" bestFit="1" customWidth="1"/>
    <col min="3" max="3" width="20.44140625" style="14" bestFit="1" customWidth="1"/>
    <col min="4" max="4" width="12.44140625" style="14" bestFit="1" customWidth="1"/>
    <col min="5" max="5" width="20.33203125" style="14" bestFit="1" customWidth="1"/>
    <col min="6" max="6" width="14.33203125" style="14" bestFit="1" customWidth="1"/>
    <col min="7" max="7" width="22.88671875" style="14" bestFit="1" customWidth="1"/>
    <col min="8" max="8" width="17.33203125" style="14" bestFit="1" customWidth="1"/>
    <col min="9" max="9" width="0.109375" style="14" customWidth="1"/>
    <col min="10" max="10" width="9.5546875" style="14" bestFit="1" customWidth="1"/>
    <col min="11" max="11" width="15.33203125" style="82" customWidth="1"/>
    <col min="12" max="12" width="17.5546875" style="14" bestFit="1" customWidth="1"/>
    <col min="13" max="13" width="19.33203125" style="14" customWidth="1"/>
    <col min="14" max="14" width="9.109375" style="14" customWidth="1"/>
    <col min="15" max="15" width="22.88671875" style="14" customWidth="1"/>
    <col min="16" max="16" width="11.88671875" style="14" customWidth="1"/>
    <col min="17" max="17" width="23.5546875" style="14" bestFit="1" customWidth="1"/>
    <col min="18" max="18" width="24.33203125" style="14" customWidth="1"/>
    <col min="19" max="19" width="11" style="14" customWidth="1"/>
    <col min="20" max="20" width="35.5546875" style="14" bestFit="1" customWidth="1"/>
    <col min="21" max="21" width="14.6640625" style="14" bestFit="1" customWidth="1"/>
    <col min="22" max="27" width="14.6640625" style="14" customWidth="1"/>
    <col min="28" max="28" width="16.5546875" style="14" bestFit="1" customWidth="1"/>
    <col min="29" max="29" width="17.44140625" style="14" bestFit="1" customWidth="1"/>
    <col min="30" max="30" width="11.88671875" style="14" bestFit="1" customWidth="1"/>
    <col min="31" max="16384" width="9.109375" style="14"/>
  </cols>
  <sheetData>
    <row r="2" spans="1:30" ht="14.4" thickBot="1" x14ac:dyDescent="0.35"/>
    <row r="3" spans="1:30" ht="74.25" customHeight="1" thickBot="1" x14ac:dyDescent="0.35">
      <c r="A3" s="15" t="s">
        <v>57</v>
      </c>
      <c r="B3" s="15" t="s">
        <v>24</v>
      </c>
      <c r="C3" s="15" t="s">
        <v>25</v>
      </c>
      <c r="D3" s="15" t="s">
        <v>26</v>
      </c>
      <c r="E3" s="15" t="s">
        <v>55</v>
      </c>
      <c r="F3" s="15" t="s">
        <v>58</v>
      </c>
      <c r="G3" s="16" t="s">
        <v>51</v>
      </c>
      <c r="H3" s="17" t="s">
        <v>52</v>
      </c>
      <c r="I3" s="17" t="s">
        <v>61</v>
      </c>
      <c r="J3" s="90" t="s">
        <v>53</v>
      </c>
      <c r="K3" s="83" t="s">
        <v>99</v>
      </c>
      <c r="L3" s="18" t="s">
        <v>96</v>
      </c>
      <c r="M3" s="19" t="s">
        <v>54</v>
      </c>
      <c r="N3" s="19" t="s">
        <v>100</v>
      </c>
      <c r="O3" s="19" t="s">
        <v>108</v>
      </c>
      <c r="P3" s="19" t="s">
        <v>101</v>
      </c>
      <c r="Q3" s="91" t="s">
        <v>116</v>
      </c>
      <c r="R3" s="87" t="s">
        <v>107</v>
      </c>
      <c r="S3" s="88" t="s">
        <v>102</v>
      </c>
      <c r="T3" s="87" t="s">
        <v>104</v>
      </c>
      <c r="U3" s="87" t="s">
        <v>105</v>
      </c>
      <c r="V3" s="19" t="s">
        <v>109</v>
      </c>
      <c r="W3" s="20" t="s">
        <v>110</v>
      </c>
      <c r="X3" s="20"/>
      <c r="Y3" s="20"/>
      <c r="Z3" s="20" t="s">
        <v>111</v>
      </c>
      <c r="AA3" s="20" t="s">
        <v>112</v>
      </c>
      <c r="AB3" s="20" t="s">
        <v>103</v>
      </c>
      <c r="AC3" s="79" t="s">
        <v>106</v>
      </c>
      <c r="AD3" s="21" t="s">
        <v>113</v>
      </c>
    </row>
    <row r="4" spans="1:30" ht="14.4" x14ac:dyDescent="0.3">
      <c r="A4" s="15" t="s">
        <v>115</v>
      </c>
      <c r="B4" s="7" t="s">
        <v>2</v>
      </c>
      <c r="C4" s="22" t="s">
        <v>13</v>
      </c>
      <c r="D4" s="23">
        <v>2000</v>
      </c>
      <c r="E4" s="24">
        <v>0.1</v>
      </c>
      <c r="F4" s="25">
        <v>38</v>
      </c>
      <c r="G4" s="26">
        <f>F4+F4*E4</f>
        <v>41.8</v>
      </c>
      <c r="H4" s="27">
        <f>(G4*D4)/1000</f>
        <v>83.6</v>
      </c>
      <c r="I4" s="27">
        <f>C26</f>
        <v>1.5999999999999999</v>
      </c>
      <c r="J4" s="89">
        <f>H4*I4</f>
        <v>133.76</v>
      </c>
      <c r="K4" s="84">
        <f>E36</f>
        <v>1.1438383838383839E-3</v>
      </c>
      <c r="L4" s="28">
        <f t="shared" ref="L4:L14" si="0">K4*D4</f>
        <v>2.2876767676767678</v>
      </c>
      <c r="M4" s="29">
        <f>A18*B18</f>
        <v>128</v>
      </c>
      <c r="N4" s="29">
        <f>C18</f>
        <v>450</v>
      </c>
      <c r="O4" s="29">
        <f>E18+F18*D18</f>
        <v>17.5</v>
      </c>
      <c r="P4" s="29">
        <f t="shared" ref="P4:P14" si="1">D4/N4</f>
        <v>4.4444444444444446</v>
      </c>
      <c r="Q4" s="28">
        <f>O4*P4</f>
        <v>77.777777777777786</v>
      </c>
      <c r="R4" s="26">
        <f>Q4+L4+J4+M4</f>
        <v>341.82545454545453</v>
      </c>
      <c r="S4" s="26">
        <f>G18</f>
        <v>0.3</v>
      </c>
      <c r="T4" s="26">
        <f>R4+R4*S4</f>
        <v>444.37309090909088</v>
      </c>
      <c r="U4" s="27">
        <f t="shared" ref="U4:U14" si="2">T4/D4</f>
        <v>0.22218654545454544</v>
      </c>
      <c r="V4" s="78">
        <f>E19+F19*D19</f>
        <v>11.25</v>
      </c>
      <c r="W4" s="78">
        <f>V4*P4</f>
        <v>50</v>
      </c>
      <c r="X4" s="92">
        <f>W4+M4+L4+J4</f>
        <v>314.04767676767676</v>
      </c>
      <c r="Y4" s="78">
        <f>G18</f>
        <v>0.3</v>
      </c>
      <c r="Z4" s="26">
        <f>X4+X4*Y4</f>
        <v>408.26197979797979</v>
      </c>
      <c r="AA4" s="78">
        <f t="shared" ref="AA4:AA14" si="3">Z4/D4</f>
        <v>0.2041309898989899</v>
      </c>
      <c r="AB4" s="30">
        <v>180</v>
      </c>
      <c r="AC4" s="81">
        <f>U4*2+(U4*2*80/100)</f>
        <v>0.79987156363636358</v>
      </c>
      <c r="AD4" s="81">
        <f>AA4*2+(AA4*2*80/100)</f>
        <v>0.73487156363636363</v>
      </c>
    </row>
    <row r="5" spans="1:30" ht="14.4" x14ac:dyDescent="0.3">
      <c r="A5" s="15" t="s">
        <v>115</v>
      </c>
      <c r="B5" s="7" t="s">
        <v>3</v>
      </c>
      <c r="C5" s="22" t="s">
        <v>14</v>
      </c>
      <c r="D5" s="23">
        <v>4000</v>
      </c>
      <c r="E5" s="24">
        <v>0.1</v>
      </c>
      <c r="F5" s="25">
        <v>38</v>
      </c>
      <c r="G5" s="26">
        <f t="shared" ref="G5:G14" si="4">F5+F5*E5</f>
        <v>41.8</v>
      </c>
      <c r="H5" s="27">
        <f t="shared" ref="H5:H14" si="5">(G5*D5)/1000</f>
        <v>167.2</v>
      </c>
      <c r="I5" s="27">
        <f>C26</f>
        <v>1.5999999999999999</v>
      </c>
      <c r="J5" s="89">
        <f t="shared" ref="J5:J14" si="6">H5*I5</f>
        <v>267.52</v>
      </c>
      <c r="K5" s="84">
        <f>E36</f>
        <v>1.1438383838383839E-3</v>
      </c>
      <c r="L5" s="28">
        <f t="shared" si="0"/>
        <v>4.5753535353535355</v>
      </c>
      <c r="M5" s="29">
        <f>A18*B18</f>
        <v>128</v>
      </c>
      <c r="N5" s="29">
        <f>C18</f>
        <v>450</v>
      </c>
      <c r="O5" s="29">
        <f>E18+F18*D18</f>
        <v>17.5</v>
      </c>
      <c r="P5" s="29">
        <f t="shared" si="1"/>
        <v>8.8888888888888893</v>
      </c>
      <c r="Q5" s="28">
        <f t="shared" ref="Q5:Q14" si="7">O5*P5</f>
        <v>155.55555555555557</v>
      </c>
      <c r="R5" s="26">
        <f t="shared" ref="R5:R14" si="8">Q5+L5+J5+M5</f>
        <v>555.65090909090907</v>
      </c>
      <c r="S5" s="26">
        <f>G18</f>
        <v>0.3</v>
      </c>
      <c r="T5" s="26">
        <f t="shared" ref="T5:T14" si="9">R5+R5*S5</f>
        <v>722.34618181818178</v>
      </c>
      <c r="U5" s="27">
        <f t="shared" si="2"/>
        <v>0.18058654545454544</v>
      </c>
      <c r="V5" s="78">
        <f>E19+F19*D19</f>
        <v>11.25</v>
      </c>
      <c r="W5" s="78">
        <f t="shared" ref="W5:W14" si="10">V5*P5</f>
        <v>100</v>
      </c>
      <c r="X5" s="92">
        <f t="shared" ref="X5:X14" si="11">W5+M5+L5+J5</f>
        <v>500.09535353535352</v>
      </c>
      <c r="Y5" s="78">
        <f>G18</f>
        <v>0.3</v>
      </c>
      <c r="Z5" s="26">
        <f t="shared" ref="Z5:Z14" si="12">X5+X5*Y5</f>
        <v>650.1239595959596</v>
      </c>
      <c r="AA5" s="78">
        <f t="shared" si="3"/>
        <v>0.1625309898989899</v>
      </c>
      <c r="AB5" s="30">
        <v>160</v>
      </c>
      <c r="AC5" s="31">
        <f>U5*2+(U5*2*80/100)</f>
        <v>0.65011156363636358</v>
      </c>
      <c r="AD5" s="31">
        <f>AA5*2+(AA5*2*80/100)</f>
        <v>0.58511156363636363</v>
      </c>
    </row>
    <row r="6" spans="1:30" ht="14.4" x14ac:dyDescent="0.3">
      <c r="A6" s="15" t="s">
        <v>115</v>
      </c>
      <c r="B6" s="7" t="s">
        <v>4</v>
      </c>
      <c r="C6" s="22" t="s">
        <v>15</v>
      </c>
      <c r="D6" s="23">
        <v>7500</v>
      </c>
      <c r="E6" s="24">
        <v>7.0000000000000007E-2</v>
      </c>
      <c r="F6" s="25">
        <v>38</v>
      </c>
      <c r="G6" s="26">
        <f t="shared" si="4"/>
        <v>40.659999999999997</v>
      </c>
      <c r="H6" s="27">
        <f t="shared" si="5"/>
        <v>304.95</v>
      </c>
      <c r="I6" s="27">
        <f>C26</f>
        <v>1.5999999999999999</v>
      </c>
      <c r="J6" s="89">
        <f t="shared" si="6"/>
        <v>487.91999999999996</v>
      </c>
      <c r="K6" s="84">
        <f>E36</f>
        <v>1.1438383838383839E-3</v>
      </c>
      <c r="L6" s="28">
        <f t="shared" si="0"/>
        <v>8.57878787878788</v>
      </c>
      <c r="M6" s="29">
        <f>A18*B18</f>
        <v>128</v>
      </c>
      <c r="N6" s="29">
        <f>C18</f>
        <v>450</v>
      </c>
      <c r="O6" s="29">
        <f>E18+F18*D18</f>
        <v>17.5</v>
      </c>
      <c r="P6" s="29">
        <f t="shared" si="1"/>
        <v>16.666666666666668</v>
      </c>
      <c r="Q6" s="28">
        <f t="shared" si="7"/>
        <v>291.66666666666669</v>
      </c>
      <c r="R6" s="26">
        <f t="shared" si="8"/>
        <v>916.16545454545451</v>
      </c>
      <c r="S6" s="26">
        <f>G18</f>
        <v>0.3</v>
      </c>
      <c r="T6" s="26">
        <f t="shared" si="9"/>
        <v>1191.0150909090908</v>
      </c>
      <c r="U6" s="27">
        <f t="shared" si="2"/>
        <v>0.15880201212121209</v>
      </c>
      <c r="V6" s="78">
        <f>E19+F19*D19</f>
        <v>11.25</v>
      </c>
      <c r="W6" s="78">
        <f t="shared" si="10"/>
        <v>187.5</v>
      </c>
      <c r="X6" s="92">
        <f t="shared" si="11"/>
        <v>811.99878787878788</v>
      </c>
      <c r="Y6" s="78">
        <f>G18</f>
        <v>0.3</v>
      </c>
      <c r="Z6" s="26">
        <f t="shared" si="12"/>
        <v>1055.5984242424242</v>
      </c>
      <c r="AA6" s="78">
        <f t="shared" si="3"/>
        <v>0.14074645656565657</v>
      </c>
      <c r="AB6" s="30">
        <v>140</v>
      </c>
      <c r="AC6" s="31">
        <f>U6*2+(U6*2*80/100)</f>
        <v>0.57168724363636358</v>
      </c>
      <c r="AD6" s="31">
        <f>AA6*2+(AA6*2*80/100)</f>
        <v>0.50668724363636364</v>
      </c>
    </row>
    <row r="7" spans="1:30" ht="14.4" x14ac:dyDescent="0.3">
      <c r="A7" s="15" t="s">
        <v>115</v>
      </c>
      <c r="B7" s="7" t="s">
        <v>5</v>
      </c>
      <c r="C7" s="22" t="s">
        <v>16</v>
      </c>
      <c r="D7" s="23">
        <v>12500</v>
      </c>
      <c r="E7" s="24">
        <v>7.0000000000000007E-2</v>
      </c>
      <c r="F7" s="25">
        <v>38</v>
      </c>
      <c r="G7" s="26">
        <f t="shared" si="4"/>
        <v>40.659999999999997</v>
      </c>
      <c r="H7" s="27">
        <f t="shared" si="5"/>
        <v>508.24999999999994</v>
      </c>
      <c r="I7" s="27">
        <f>C26</f>
        <v>1.5999999999999999</v>
      </c>
      <c r="J7" s="89">
        <f t="shared" si="6"/>
        <v>813.19999999999982</v>
      </c>
      <c r="K7" s="84">
        <f>E36</f>
        <v>1.1438383838383839E-3</v>
      </c>
      <c r="L7" s="28">
        <f t="shared" si="0"/>
        <v>14.297979797979799</v>
      </c>
      <c r="M7" s="29">
        <f>A18*B18</f>
        <v>128</v>
      </c>
      <c r="N7" s="29">
        <f>C18</f>
        <v>450</v>
      </c>
      <c r="O7" s="29">
        <f>E18+F18*D18</f>
        <v>17.5</v>
      </c>
      <c r="P7" s="29">
        <f t="shared" si="1"/>
        <v>27.777777777777779</v>
      </c>
      <c r="Q7" s="28">
        <f t="shared" si="7"/>
        <v>486.11111111111114</v>
      </c>
      <c r="R7" s="26">
        <f t="shared" si="8"/>
        <v>1441.6090909090908</v>
      </c>
      <c r="S7" s="26">
        <f>G18</f>
        <v>0.3</v>
      </c>
      <c r="T7" s="26">
        <f t="shared" si="9"/>
        <v>1874.0918181818181</v>
      </c>
      <c r="U7" s="27">
        <f t="shared" si="2"/>
        <v>0.14992734545454545</v>
      </c>
      <c r="V7" s="78">
        <f>E19+F19*D19</f>
        <v>11.25</v>
      </c>
      <c r="W7" s="78">
        <f t="shared" si="10"/>
        <v>312.5</v>
      </c>
      <c r="X7" s="92">
        <f t="shared" si="11"/>
        <v>1267.9979797979795</v>
      </c>
      <c r="Y7" s="78">
        <f>G18</f>
        <v>0.3</v>
      </c>
      <c r="Z7" s="26">
        <f t="shared" si="12"/>
        <v>1648.3973737373733</v>
      </c>
      <c r="AA7" s="78">
        <f t="shared" si="3"/>
        <v>0.13187178989898987</v>
      </c>
      <c r="AB7" s="30">
        <v>85</v>
      </c>
      <c r="AC7" s="31">
        <f>U7+U7*AB7/100</f>
        <v>0.27736558909090908</v>
      </c>
      <c r="AD7" s="31">
        <f>AA7+AA7*AB7/100</f>
        <v>0.24396281131313124</v>
      </c>
    </row>
    <row r="8" spans="1:30" ht="14.4" x14ac:dyDescent="0.3">
      <c r="A8" s="15" t="s">
        <v>115</v>
      </c>
      <c r="B8" s="7" t="s">
        <v>6</v>
      </c>
      <c r="C8" s="22" t="s">
        <v>17</v>
      </c>
      <c r="D8" s="23">
        <v>17500</v>
      </c>
      <c r="E8" s="24">
        <v>7.0000000000000007E-2</v>
      </c>
      <c r="F8" s="25">
        <v>38</v>
      </c>
      <c r="G8" s="26">
        <f t="shared" si="4"/>
        <v>40.659999999999997</v>
      </c>
      <c r="H8" s="27">
        <f t="shared" si="5"/>
        <v>711.54999999999984</v>
      </c>
      <c r="I8" s="27">
        <f>C26</f>
        <v>1.5999999999999999</v>
      </c>
      <c r="J8" s="89">
        <f t="shared" si="6"/>
        <v>1138.4799999999996</v>
      </c>
      <c r="K8" s="84">
        <f>E36</f>
        <v>1.1438383838383839E-3</v>
      </c>
      <c r="L8" s="28">
        <f t="shared" si="0"/>
        <v>20.017171717171717</v>
      </c>
      <c r="M8" s="29">
        <f>A18*B18</f>
        <v>128</v>
      </c>
      <c r="N8" s="29">
        <f>C18</f>
        <v>450</v>
      </c>
      <c r="O8" s="29">
        <f>E18+F18*D18</f>
        <v>17.5</v>
      </c>
      <c r="P8" s="29">
        <f t="shared" si="1"/>
        <v>38.888888888888886</v>
      </c>
      <c r="Q8" s="28">
        <f t="shared" si="7"/>
        <v>680.55555555555554</v>
      </c>
      <c r="R8" s="26">
        <f t="shared" si="8"/>
        <v>1967.0527272727268</v>
      </c>
      <c r="S8" s="26">
        <f>G18</f>
        <v>0.3</v>
      </c>
      <c r="T8" s="26">
        <f t="shared" si="9"/>
        <v>2557.168545454545</v>
      </c>
      <c r="U8" s="27">
        <f t="shared" si="2"/>
        <v>0.14612391688311685</v>
      </c>
      <c r="V8" s="78">
        <f>E19+F19*D19</f>
        <v>11.25</v>
      </c>
      <c r="W8" s="78">
        <f t="shared" si="10"/>
        <v>437.49999999999994</v>
      </c>
      <c r="X8" s="92">
        <f t="shared" si="11"/>
        <v>1723.9971717171711</v>
      </c>
      <c r="Y8" s="78">
        <f>G18</f>
        <v>0.3</v>
      </c>
      <c r="Z8" s="26">
        <f t="shared" si="12"/>
        <v>2241.1963232323224</v>
      </c>
      <c r="AA8" s="78">
        <f t="shared" si="3"/>
        <v>0.12806836132756128</v>
      </c>
      <c r="AB8" s="30">
        <v>80</v>
      </c>
      <c r="AC8" s="31">
        <f t="shared" ref="AC8:AC14" si="13">U8+U8*AB8/100</f>
        <v>0.26302305038961032</v>
      </c>
      <c r="AD8" s="31">
        <f t="shared" ref="AD8:AD14" si="14">AA8+AA8*AB8/100</f>
        <v>0.2305230503896103</v>
      </c>
    </row>
    <row r="9" spans="1:30" ht="14.4" x14ac:dyDescent="0.3">
      <c r="A9" s="15" t="s">
        <v>115</v>
      </c>
      <c r="B9" s="7" t="s">
        <v>7</v>
      </c>
      <c r="C9" s="22" t="s">
        <v>18</v>
      </c>
      <c r="D9" s="23">
        <v>25000</v>
      </c>
      <c r="E9" s="24">
        <v>0.05</v>
      </c>
      <c r="F9" s="25">
        <v>38</v>
      </c>
      <c r="G9" s="26">
        <f t="shared" si="4"/>
        <v>39.9</v>
      </c>
      <c r="H9" s="27">
        <f t="shared" si="5"/>
        <v>997.5</v>
      </c>
      <c r="I9" s="27">
        <f>C26</f>
        <v>1.5999999999999999</v>
      </c>
      <c r="J9" s="89">
        <f t="shared" si="6"/>
        <v>1595.9999999999998</v>
      </c>
      <c r="K9" s="84">
        <f>E36</f>
        <v>1.1438383838383839E-3</v>
      </c>
      <c r="L9" s="28">
        <f t="shared" si="0"/>
        <v>28.595959595959599</v>
      </c>
      <c r="M9" s="29">
        <f>A18*B18</f>
        <v>128</v>
      </c>
      <c r="N9" s="29">
        <f>C18</f>
        <v>450</v>
      </c>
      <c r="O9" s="29">
        <f>E18+F18*D18</f>
        <v>17.5</v>
      </c>
      <c r="P9" s="29">
        <f t="shared" si="1"/>
        <v>55.555555555555557</v>
      </c>
      <c r="Q9" s="28">
        <f t="shared" si="7"/>
        <v>972.22222222222229</v>
      </c>
      <c r="R9" s="26">
        <f t="shared" si="8"/>
        <v>2724.8181818181815</v>
      </c>
      <c r="S9" s="26">
        <f>G18</f>
        <v>0.3</v>
      </c>
      <c r="T9" s="26">
        <f t="shared" si="9"/>
        <v>3542.2636363636361</v>
      </c>
      <c r="U9" s="27">
        <f t="shared" si="2"/>
        <v>0.14169054545454546</v>
      </c>
      <c r="V9" s="78">
        <f>E19+F19*D19</f>
        <v>11.25</v>
      </c>
      <c r="W9" s="78">
        <f t="shared" si="10"/>
        <v>625</v>
      </c>
      <c r="X9" s="92">
        <f t="shared" si="11"/>
        <v>2377.5959595959594</v>
      </c>
      <c r="Y9" s="78">
        <f>G18</f>
        <v>0.3</v>
      </c>
      <c r="Z9" s="26">
        <f t="shared" si="12"/>
        <v>3090.874747474747</v>
      </c>
      <c r="AA9" s="78">
        <f t="shared" si="3"/>
        <v>0.12363498989898988</v>
      </c>
      <c r="AB9" s="30">
        <v>75</v>
      </c>
      <c r="AC9" s="31">
        <f t="shared" si="13"/>
        <v>0.24795845454545457</v>
      </c>
      <c r="AD9" s="31">
        <f t="shared" si="14"/>
        <v>0.21636123232323229</v>
      </c>
    </row>
    <row r="10" spans="1:30" ht="14.4" x14ac:dyDescent="0.3">
      <c r="A10" s="15" t="s">
        <v>115</v>
      </c>
      <c r="B10" s="7" t="s">
        <v>8</v>
      </c>
      <c r="C10" s="22" t="s">
        <v>19</v>
      </c>
      <c r="D10" s="23">
        <v>35000</v>
      </c>
      <c r="E10" s="24">
        <v>0.05</v>
      </c>
      <c r="F10" s="25">
        <v>38</v>
      </c>
      <c r="G10" s="26">
        <f t="shared" si="4"/>
        <v>39.9</v>
      </c>
      <c r="H10" s="27">
        <f t="shared" si="5"/>
        <v>1396.5</v>
      </c>
      <c r="I10" s="27">
        <f>C26</f>
        <v>1.5999999999999999</v>
      </c>
      <c r="J10" s="89">
        <f t="shared" si="6"/>
        <v>2234.3999999999996</v>
      </c>
      <c r="K10" s="84">
        <f>E36</f>
        <v>1.1438383838383839E-3</v>
      </c>
      <c r="L10" s="28">
        <f t="shared" si="0"/>
        <v>40.034343434343434</v>
      </c>
      <c r="M10" s="29">
        <f>A18*B18</f>
        <v>128</v>
      </c>
      <c r="N10" s="29">
        <f>C18</f>
        <v>450</v>
      </c>
      <c r="O10" s="29">
        <f>E18+F18*D18</f>
        <v>17.5</v>
      </c>
      <c r="P10" s="29">
        <f t="shared" si="1"/>
        <v>77.777777777777771</v>
      </c>
      <c r="Q10" s="28">
        <f t="shared" si="7"/>
        <v>1361.1111111111111</v>
      </c>
      <c r="R10" s="26">
        <f t="shared" si="8"/>
        <v>3763.545454545454</v>
      </c>
      <c r="S10" s="26">
        <f>G18</f>
        <v>0.3</v>
      </c>
      <c r="T10" s="26">
        <f t="shared" si="9"/>
        <v>4892.6090909090899</v>
      </c>
      <c r="U10" s="27">
        <f t="shared" si="2"/>
        <v>0.13978883116883115</v>
      </c>
      <c r="V10" s="78">
        <f>E19+F19*D19</f>
        <v>11.25</v>
      </c>
      <c r="W10" s="78">
        <f t="shared" si="10"/>
        <v>874.99999999999989</v>
      </c>
      <c r="X10" s="92">
        <f t="shared" si="11"/>
        <v>3277.4343434343427</v>
      </c>
      <c r="Y10" s="78">
        <f>G18</f>
        <v>0.3</v>
      </c>
      <c r="Z10" s="26">
        <f t="shared" si="12"/>
        <v>4260.6646464646456</v>
      </c>
      <c r="AA10" s="78">
        <f t="shared" si="3"/>
        <v>0.12173327561327558</v>
      </c>
      <c r="AB10" s="30">
        <v>75</v>
      </c>
      <c r="AC10" s="31">
        <f t="shared" si="13"/>
        <v>0.24463045454545451</v>
      </c>
      <c r="AD10" s="31">
        <f t="shared" si="14"/>
        <v>0.21303323232323229</v>
      </c>
    </row>
    <row r="11" spans="1:30" ht="14.4" x14ac:dyDescent="0.3">
      <c r="A11" s="15" t="s">
        <v>115</v>
      </c>
      <c r="B11" s="7" t="s">
        <v>9</v>
      </c>
      <c r="C11" s="22" t="s">
        <v>20</v>
      </c>
      <c r="D11" s="23">
        <v>45000</v>
      </c>
      <c r="E11" s="24">
        <v>0.05</v>
      </c>
      <c r="F11" s="25">
        <v>38</v>
      </c>
      <c r="G11" s="26">
        <f t="shared" si="4"/>
        <v>39.9</v>
      </c>
      <c r="H11" s="27">
        <f t="shared" si="5"/>
        <v>1795.5</v>
      </c>
      <c r="I11" s="27">
        <f>C26</f>
        <v>1.5999999999999999</v>
      </c>
      <c r="J11" s="89">
        <f t="shared" si="6"/>
        <v>2872.7999999999997</v>
      </c>
      <c r="K11" s="84">
        <f>E36</f>
        <v>1.1438383838383839E-3</v>
      </c>
      <c r="L11" s="28">
        <f t="shared" si="0"/>
        <v>51.472727272727276</v>
      </c>
      <c r="M11" s="29">
        <f>A18*B18</f>
        <v>128</v>
      </c>
      <c r="N11" s="29">
        <f>C18</f>
        <v>450</v>
      </c>
      <c r="O11" s="29">
        <f>E18+F18*D18</f>
        <v>17.5</v>
      </c>
      <c r="P11" s="29">
        <f t="shared" si="1"/>
        <v>100</v>
      </c>
      <c r="Q11" s="28">
        <f t="shared" si="7"/>
        <v>1750</v>
      </c>
      <c r="R11" s="26">
        <f t="shared" si="8"/>
        <v>4802.272727272727</v>
      </c>
      <c r="S11" s="26">
        <f>G18</f>
        <v>0.3</v>
      </c>
      <c r="T11" s="26">
        <f t="shared" si="9"/>
        <v>6242.954545454545</v>
      </c>
      <c r="U11" s="27">
        <f t="shared" si="2"/>
        <v>0.13873232323232323</v>
      </c>
      <c r="V11" s="78">
        <f>E19+F19*D19</f>
        <v>11.25</v>
      </c>
      <c r="W11" s="78">
        <f t="shared" si="10"/>
        <v>1125</v>
      </c>
      <c r="X11" s="92">
        <f t="shared" si="11"/>
        <v>4177.272727272727</v>
      </c>
      <c r="Y11" s="78">
        <f>G18</f>
        <v>0.3</v>
      </c>
      <c r="Z11" s="26">
        <f t="shared" si="12"/>
        <v>5430.454545454545</v>
      </c>
      <c r="AA11" s="78">
        <f t="shared" si="3"/>
        <v>0.12067676767676767</v>
      </c>
      <c r="AB11" s="30">
        <v>70</v>
      </c>
      <c r="AC11" s="31">
        <f t="shared" si="13"/>
        <v>0.2358449494949495</v>
      </c>
      <c r="AD11" s="31">
        <f t="shared" si="14"/>
        <v>0.20515050505050506</v>
      </c>
    </row>
    <row r="12" spans="1:30" ht="14.4" x14ac:dyDescent="0.3">
      <c r="A12" s="15" t="s">
        <v>115</v>
      </c>
      <c r="B12" s="7" t="s">
        <v>10</v>
      </c>
      <c r="C12" s="22" t="s">
        <v>21</v>
      </c>
      <c r="D12" s="23">
        <v>75000</v>
      </c>
      <c r="E12" s="24">
        <v>0.05</v>
      </c>
      <c r="F12" s="25">
        <v>38</v>
      </c>
      <c r="G12" s="26">
        <f t="shared" si="4"/>
        <v>39.9</v>
      </c>
      <c r="H12" s="27">
        <f t="shared" si="5"/>
        <v>2992.5</v>
      </c>
      <c r="I12" s="27">
        <f>C26</f>
        <v>1.5999999999999999</v>
      </c>
      <c r="J12" s="89">
        <f t="shared" si="6"/>
        <v>4788</v>
      </c>
      <c r="K12" s="84">
        <f>E36</f>
        <v>1.1438383838383839E-3</v>
      </c>
      <c r="L12" s="28">
        <f t="shared" si="0"/>
        <v>85.787878787878796</v>
      </c>
      <c r="M12" s="29">
        <f>A18*B18</f>
        <v>128</v>
      </c>
      <c r="N12" s="29">
        <f>C18</f>
        <v>450</v>
      </c>
      <c r="O12" s="29">
        <f>E18+F18*D18</f>
        <v>17.5</v>
      </c>
      <c r="P12" s="29">
        <f t="shared" si="1"/>
        <v>166.66666666666666</v>
      </c>
      <c r="Q12" s="28">
        <f>O12*P12</f>
        <v>2916.6666666666665</v>
      </c>
      <c r="R12" s="26">
        <f t="shared" si="8"/>
        <v>7918.454545454546</v>
      </c>
      <c r="S12" s="26">
        <f>G18</f>
        <v>0.3</v>
      </c>
      <c r="T12" s="26">
        <f t="shared" si="9"/>
        <v>10293.99090909091</v>
      </c>
      <c r="U12" s="27">
        <f t="shared" si="2"/>
        <v>0.13725321212121214</v>
      </c>
      <c r="V12" s="78">
        <f>E19+F19*D19</f>
        <v>11.25</v>
      </c>
      <c r="W12" s="78">
        <f t="shared" si="10"/>
        <v>1875</v>
      </c>
      <c r="X12" s="92">
        <f t="shared" si="11"/>
        <v>6876.787878787879</v>
      </c>
      <c r="Y12" s="78">
        <f>G18</f>
        <v>0.3</v>
      </c>
      <c r="Z12" s="26">
        <f t="shared" si="12"/>
        <v>8939.8242424242417</v>
      </c>
      <c r="AA12" s="78">
        <f t="shared" si="3"/>
        <v>0.11919765656565656</v>
      </c>
      <c r="AB12" s="30">
        <v>70</v>
      </c>
      <c r="AC12" s="31">
        <f t="shared" si="13"/>
        <v>0.23333046060606064</v>
      </c>
      <c r="AD12" s="31">
        <f t="shared" si="14"/>
        <v>0.20263601616161614</v>
      </c>
    </row>
    <row r="13" spans="1:30" ht="14.4" x14ac:dyDescent="0.3">
      <c r="A13" s="15" t="s">
        <v>115</v>
      </c>
      <c r="B13" s="7" t="s">
        <v>11</v>
      </c>
      <c r="C13" s="22" t="s">
        <v>22</v>
      </c>
      <c r="D13" s="23">
        <v>125000</v>
      </c>
      <c r="E13" s="24">
        <v>0.03</v>
      </c>
      <c r="F13" s="25">
        <v>38</v>
      </c>
      <c r="G13" s="26">
        <f t="shared" si="4"/>
        <v>39.14</v>
      </c>
      <c r="H13" s="27">
        <f t="shared" si="5"/>
        <v>4892.5</v>
      </c>
      <c r="I13" s="27">
        <f>C26</f>
        <v>1.5999999999999999</v>
      </c>
      <c r="J13" s="89">
        <f t="shared" si="6"/>
        <v>7827.9999999999991</v>
      </c>
      <c r="K13" s="84">
        <f>E36</f>
        <v>1.1438383838383839E-3</v>
      </c>
      <c r="L13" s="28">
        <f t="shared" si="0"/>
        <v>142.97979797979798</v>
      </c>
      <c r="M13" s="29">
        <f>A18*B18</f>
        <v>128</v>
      </c>
      <c r="N13" s="29">
        <f>C18</f>
        <v>450</v>
      </c>
      <c r="O13" s="29">
        <f>E18+F18*D18</f>
        <v>17.5</v>
      </c>
      <c r="P13" s="29">
        <f t="shared" si="1"/>
        <v>277.77777777777777</v>
      </c>
      <c r="Q13" s="28">
        <f t="shared" si="7"/>
        <v>4861.1111111111113</v>
      </c>
      <c r="R13" s="26">
        <f t="shared" si="8"/>
        <v>12960.090909090908</v>
      </c>
      <c r="S13" s="26">
        <f>G18</f>
        <v>0.3</v>
      </c>
      <c r="T13" s="26">
        <f t="shared" si="9"/>
        <v>16848.118181818179</v>
      </c>
      <c r="U13" s="27">
        <f t="shared" si="2"/>
        <v>0.13478494545454545</v>
      </c>
      <c r="V13" s="78">
        <f>E19+F19*D19</f>
        <v>11.25</v>
      </c>
      <c r="W13" s="78">
        <f t="shared" si="10"/>
        <v>3125</v>
      </c>
      <c r="X13" s="92">
        <f t="shared" si="11"/>
        <v>11223.979797979797</v>
      </c>
      <c r="Y13" s="78">
        <f>G18</f>
        <v>0.3</v>
      </c>
      <c r="Z13" s="26">
        <f t="shared" si="12"/>
        <v>14591.173737373736</v>
      </c>
      <c r="AA13" s="78">
        <f t="shared" si="3"/>
        <v>0.11672938989898989</v>
      </c>
      <c r="AB13" s="30">
        <v>65</v>
      </c>
      <c r="AC13" s="31">
        <f t="shared" si="13"/>
        <v>0.22239515999999998</v>
      </c>
      <c r="AD13" s="31">
        <f t="shared" si="14"/>
        <v>0.19260349333333332</v>
      </c>
    </row>
    <row r="14" spans="1:30" ht="15" thickBot="1" x14ac:dyDescent="0.35">
      <c r="A14" s="15" t="s">
        <v>115</v>
      </c>
      <c r="B14" s="7" t="s">
        <v>12</v>
      </c>
      <c r="C14" s="22" t="s">
        <v>23</v>
      </c>
      <c r="D14" s="23">
        <v>200000</v>
      </c>
      <c r="E14" s="24">
        <v>0.03</v>
      </c>
      <c r="F14" s="25">
        <v>38</v>
      </c>
      <c r="G14" s="26">
        <f t="shared" si="4"/>
        <v>39.14</v>
      </c>
      <c r="H14" s="27">
        <f t="shared" si="5"/>
        <v>7828</v>
      </c>
      <c r="I14" s="27">
        <f>C26</f>
        <v>1.5999999999999999</v>
      </c>
      <c r="J14" s="89">
        <f t="shared" si="6"/>
        <v>12524.8</v>
      </c>
      <c r="K14" s="84">
        <f>E36</f>
        <v>1.1438383838383839E-3</v>
      </c>
      <c r="L14" s="28">
        <f t="shared" si="0"/>
        <v>228.76767676767679</v>
      </c>
      <c r="M14" s="29">
        <f>A18*B18</f>
        <v>128</v>
      </c>
      <c r="N14" s="29">
        <f>C18</f>
        <v>450</v>
      </c>
      <c r="O14" s="29">
        <f>E18+F18*D18</f>
        <v>17.5</v>
      </c>
      <c r="P14" s="29">
        <f t="shared" si="1"/>
        <v>444.44444444444446</v>
      </c>
      <c r="Q14" s="28">
        <f t="shared" si="7"/>
        <v>7777.7777777777783</v>
      </c>
      <c r="R14" s="26">
        <f t="shared" si="8"/>
        <v>20659.345454545455</v>
      </c>
      <c r="S14" s="26">
        <f>G18</f>
        <v>0.3</v>
      </c>
      <c r="T14" s="26">
        <f t="shared" si="9"/>
        <v>26857.149090909094</v>
      </c>
      <c r="U14" s="27">
        <f t="shared" si="2"/>
        <v>0.13428574545454547</v>
      </c>
      <c r="V14" s="78">
        <f>E19+F19*D19</f>
        <v>11.25</v>
      </c>
      <c r="W14" s="78">
        <f t="shared" si="10"/>
        <v>5000</v>
      </c>
      <c r="X14" s="92">
        <f t="shared" si="11"/>
        <v>17881.567676767678</v>
      </c>
      <c r="Y14" s="78">
        <f>G18</f>
        <v>0.3</v>
      </c>
      <c r="Z14" s="26">
        <f t="shared" si="12"/>
        <v>23246.03797979798</v>
      </c>
      <c r="AA14" s="78">
        <f t="shared" si="3"/>
        <v>0.11623018989898991</v>
      </c>
      <c r="AB14" s="30">
        <v>60</v>
      </c>
      <c r="AC14" s="32">
        <f t="shared" si="13"/>
        <v>0.21485719272727277</v>
      </c>
      <c r="AD14" s="32">
        <f t="shared" si="14"/>
        <v>0.18596830383838386</v>
      </c>
    </row>
    <row r="15" spans="1:30" ht="14.4" thickBot="1" x14ac:dyDescent="0.35"/>
    <row r="16" spans="1:30" x14ac:dyDescent="0.3">
      <c r="A16" s="33" t="s">
        <v>27</v>
      </c>
      <c r="B16" s="34"/>
      <c r="C16" s="34"/>
      <c r="D16" s="34"/>
      <c r="E16" s="34"/>
      <c r="F16" s="34"/>
      <c r="G16" s="35"/>
      <c r="AC16" s="80"/>
    </row>
    <row r="17" spans="1:12" x14ac:dyDescent="0.3">
      <c r="A17" s="36" t="s">
        <v>28</v>
      </c>
      <c r="B17" s="37" t="s">
        <v>29</v>
      </c>
      <c r="C17" s="37" t="s">
        <v>30</v>
      </c>
      <c r="D17" s="37" t="s">
        <v>31</v>
      </c>
      <c r="E17" s="37" t="s">
        <v>32</v>
      </c>
      <c r="F17" s="37" t="s">
        <v>33</v>
      </c>
      <c r="G17" s="38" t="s">
        <v>34</v>
      </c>
      <c r="J17" s="39"/>
      <c r="K17" s="85"/>
      <c r="L17" s="14" t="s">
        <v>59</v>
      </c>
    </row>
    <row r="18" spans="1:12" ht="14.4" thickBot="1" x14ac:dyDescent="0.35">
      <c r="A18" s="40">
        <v>4</v>
      </c>
      <c r="B18" s="41">
        <v>32</v>
      </c>
      <c r="C18" s="41">
        <v>450</v>
      </c>
      <c r="D18" s="41">
        <v>0.5</v>
      </c>
      <c r="E18" s="41">
        <v>5</v>
      </c>
      <c r="F18" s="42">
        <v>25</v>
      </c>
      <c r="G18" s="43">
        <v>0.3</v>
      </c>
    </row>
    <row r="19" spans="1:12" ht="14.4" thickBot="1" x14ac:dyDescent="0.35">
      <c r="A19" s="40">
        <v>4</v>
      </c>
      <c r="B19" s="41">
        <v>32</v>
      </c>
      <c r="C19" s="41">
        <v>450</v>
      </c>
      <c r="D19" s="41">
        <v>0.25</v>
      </c>
      <c r="E19" s="41">
        <v>5</v>
      </c>
      <c r="F19" s="42">
        <v>25</v>
      </c>
      <c r="G19" s="43">
        <v>0.3</v>
      </c>
    </row>
    <row r="20" spans="1:12" ht="14.4" thickBot="1" x14ac:dyDescent="0.35">
      <c r="J20" s="44"/>
      <c r="K20" s="86"/>
      <c r="L20" s="14" t="s">
        <v>60</v>
      </c>
    </row>
    <row r="21" spans="1:12" x14ac:dyDescent="0.3">
      <c r="A21" s="45" t="s">
        <v>35</v>
      </c>
      <c r="B21" s="46"/>
      <c r="C21" s="46" t="s">
        <v>36</v>
      </c>
      <c r="D21" s="47" t="s">
        <v>37</v>
      </c>
    </row>
    <row r="22" spans="1:12" x14ac:dyDescent="0.3">
      <c r="A22" s="48" t="s">
        <v>40</v>
      </c>
      <c r="B22" s="49">
        <v>1.5</v>
      </c>
      <c r="C22" s="50">
        <v>96</v>
      </c>
      <c r="D22" s="51"/>
    </row>
    <row r="23" spans="1:12" x14ac:dyDescent="0.3">
      <c r="A23" s="48" t="s">
        <v>40</v>
      </c>
      <c r="B23" s="49">
        <v>4</v>
      </c>
      <c r="C23" s="50">
        <v>4</v>
      </c>
      <c r="D23" s="51"/>
    </row>
    <row r="24" spans="1:12" x14ac:dyDescent="0.3">
      <c r="A24" s="48" t="s">
        <v>40</v>
      </c>
      <c r="B24" s="49">
        <v>0</v>
      </c>
      <c r="C24" s="50"/>
      <c r="D24" s="51"/>
    </row>
    <row r="25" spans="1:12" ht="14.4" thickBot="1" x14ac:dyDescent="0.35">
      <c r="A25" s="48" t="s">
        <v>44</v>
      </c>
      <c r="B25" s="49">
        <v>0</v>
      </c>
      <c r="C25" s="50"/>
      <c r="D25" s="51"/>
    </row>
    <row r="26" spans="1:12" ht="14.4" thickBot="1" x14ac:dyDescent="0.35">
      <c r="A26" s="52" t="s">
        <v>45</v>
      </c>
      <c r="B26" s="53">
        <f>SUM(B22:B25)</f>
        <v>5.5</v>
      </c>
      <c r="C26" s="54">
        <f>(B22*C22/100)+(B23*C23/100)+(B24*C24/100)+(B25*C25/100)</f>
        <v>1.5999999999999999</v>
      </c>
      <c r="D26" s="55" t="s">
        <v>62</v>
      </c>
    </row>
    <row r="27" spans="1:12" ht="14.4" thickBot="1" x14ac:dyDescent="0.35"/>
    <row r="28" spans="1:12" x14ac:dyDescent="0.3">
      <c r="A28" s="56" t="s">
        <v>38</v>
      </c>
      <c r="B28" s="57"/>
      <c r="C28" s="58"/>
      <c r="D28" s="59" t="s">
        <v>39</v>
      </c>
      <c r="E28" s="60" t="s">
        <v>97</v>
      </c>
    </row>
    <row r="29" spans="1:12" x14ac:dyDescent="0.3">
      <c r="A29" s="61" t="s">
        <v>42</v>
      </c>
      <c r="B29" s="62">
        <v>1100</v>
      </c>
      <c r="C29" s="63"/>
      <c r="D29" s="64"/>
      <c r="E29" s="65"/>
    </row>
    <row r="30" spans="1:12" x14ac:dyDescent="0.3">
      <c r="A30" s="61" t="s">
        <v>86</v>
      </c>
      <c r="B30" s="62">
        <v>9</v>
      </c>
      <c r="C30" s="63" t="s">
        <v>41</v>
      </c>
      <c r="D30" s="66">
        <v>0.68100000000000005</v>
      </c>
      <c r="E30" s="65">
        <f>D30*B30</f>
        <v>6.1290000000000004</v>
      </c>
    </row>
    <row r="31" spans="1:12" x14ac:dyDescent="0.3">
      <c r="A31" s="61" t="s">
        <v>87</v>
      </c>
      <c r="B31" s="62">
        <f>B30*B29</f>
        <v>9900</v>
      </c>
      <c r="C31" s="67"/>
      <c r="D31" s="68"/>
      <c r="E31" s="65"/>
    </row>
    <row r="32" spans="1:12" x14ac:dyDescent="0.3">
      <c r="A32" s="61" t="s">
        <v>88</v>
      </c>
      <c r="B32" s="62">
        <v>9</v>
      </c>
      <c r="C32" s="63" t="s">
        <v>43</v>
      </c>
      <c r="D32" s="69">
        <v>0.13800000000000001</v>
      </c>
      <c r="E32" s="65">
        <f>D32*B32</f>
        <v>1.242</v>
      </c>
    </row>
    <row r="33" spans="1:5" x14ac:dyDescent="0.3">
      <c r="A33" s="61" t="s">
        <v>46</v>
      </c>
      <c r="B33" s="62">
        <f>B32*5</f>
        <v>45</v>
      </c>
      <c r="C33" s="63" t="s">
        <v>47</v>
      </c>
      <c r="D33" s="66">
        <v>4.3400000000000001E-2</v>
      </c>
      <c r="E33" s="65">
        <f>D33*B33</f>
        <v>1.9530000000000001</v>
      </c>
    </row>
    <row r="34" spans="1:5" ht="14.4" thickBot="1" x14ac:dyDescent="0.35">
      <c r="A34" s="70" t="s">
        <v>48</v>
      </c>
      <c r="B34" s="71" t="s">
        <v>49</v>
      </c>
      <c r="C34" s="72" t="s">
        <v>50</v>
      </c>
      <c r="D34" s="73">
        <v>2</v>
      </c>
      <c r="E34" s="74">
        <f>D34</f>
        <v>2</v>
      </c>
    </row>
    <row r="35" spans="1:5" ht="14.4" thickBot="1" x14ac:dyDescent="0.35">
      <c r="E35" s="75">
        <f>SUM(E29:E34)</f>
        <v>11.324</v>
      </c>
    </row>
    <row r="36" spans="1:5" ht="14.4" thickBot="1" x14ac:dyDescent="0.35">
      <c r="D36" s="76" t="s">
        <v>98</v>
      </c>
      <c r="E36" s="77">
        <f>E35/B31</f>
        <v>1.1438383838383839E-3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475EA-BFE6-40C4-8272-EBD6404FE2F7}">
  <dimension ref="A2:AD36"/>
  <sheetViews>
    <sheetView topLeftCell="N1" workbookViewId="0">
      <selection activeCell="Z4" sqref="Z4"/>
    </sheetView>
  </sheetViews>
  <sheetFormatPr defaultColWidth="9.109375" defaultRowHeight="13.8" x14ac:dyDescent="0.3"/>
  <cols>
    <col min="1" max="1" width="28.6640625" style="14" bestFit="1" customWidth="1"/>
    <col min="2" max="2" width="10.109375" style="14" bestFit="1" customWidth="1"/>
    <col min="3" max="3" width="21" style="14" bestFit="1" customWidth="1"/>
    <col min="4" max="4" width="12.44140625" style="14" bestFit="1" customWidth="1"/>
    <col min="5" max="5" width="21" style="14" bestFit="1" customWidth="1"/>
    <col min="6" max="6" width="14.88671875" style="14" bestFit="1" customWidth="1"/>
    <col min="7" max="7" width="23.5546875" style="14" bestFit="1" customWidth="1"/>
    <col min="8" max="8" width="18.6640625" style="14" customWidth="1"/>
    <col min="9" max="9" width="0.109375" style="14" customWidth="1"/>
    <col min="10" max="10" width="9.5546875" style="14" bestFit="1" customWidth="1"/>
    <col min="11" max="11" width="15.33203125" style="82" customWidth="1"/>
    <col min="12" max="12" width="17.5546875" style="14" bestFit="1" customWidth="1"/>
    <col min="13" max="13" width="19.33203125" style="14" customWidth="1"/>
    <col min="14" max="14" width="9.109375" style="14" customWidth="1"/>
    <col min="15" max="15" width="22.88671875" style="14" customWidth="1"/>
    <col min="16" max="16" width="11.88671875" style="14" customWidth="1"/>
    <col min="17" max="17" width="23.5546875" style="14" bestFit="1" customWidth="1"/>
    <col min="18" max="18" width="24.33203125" style="14" customWidth="1"/>
    <col min="19" max="19" width="11" style="14" customWidth="1"/>
    <col min="20" max="20" width="35.5546875" style="14" bestFit="1" customWidth="1"/>
    <col min="21" max="21" width="14.6640625" style="14" bestFit="1" customWidth="1"/>
    <col min="22" max="27" width="14.6640625" style="14" customWidth="1"/>
    <col min="28" max="28" width="16.5546875" style="14" bestFit="1" customWidth="1"/>
    <col min="29" max="29" width="17.44140625" style="14" bestFit="1" customWidth="1"/>
    <col min="30" max="30" width="11.88671875" style="14" bestFit="1" customWidth="1"/>
    <col min="31" max="16384" width="9.109375" style="14"/>
  </cols>
  <sheetData>
    <row r="2" spans="1:30" ht="14.4" thickBot="1" x14ac:dyDescent="0.35"/>
    <row r="3" spans="1:30" ht="74.25" customHeight="1" thickBot="1" x14ac:dyDescent="0.35">
      <c r="A3" s="15" t="s">
        <v>57</v>
      </c>
      <c r="B3" s="15" t="s">
        <v>24</v>
      </c>
      <c r="C3" s="15" t="s">
        <v>25</v>
      </c>
      <c r="D3" s="15" t="s">
        <v>26</v>
      </c>
      <c r="E3" s="15" t="s">
        <v>55</v>
      </c>
      <c r="F3" s="15" t="s">
        <v>58</v>
      </c>
      <c r="G3" s="16" t="s">
        <v>51</v>
      </c>
      <c r="H3" s="17" t="s">
        <v>52</v>
      </c>
      <c r="I3" s="17" t="s">
        <v>61</v>
      </c>
      <c r="J3" s="90" t="s">
        <v>53</v>
      </c>
      <c r="K3" s="83" t="s">
        <v>99</v>
      </c>
      <c r="L3" s="18" t="s">
        <v>96</v>
      </c>
      <c r="M3" s="19" t="s">
        <v>54</v>
      </c>
      <c r="N3" s="19" t="s">
        <v>100</v>
      </c>
      <c r="O3" s="19" t="s">
        <v>108</v>
      </c>
      <c r="P3" s="19" t="s">
        <v>101</v>
      </c>
      <c r="Q3" s="91" t="s">
        <v>116</v>
      </c>
      <c r="R3" s="87" t="s">
        <v>107</v>
      </c>
      <c r="S3" s="88" t="s">
        <v>102</v>
      </c>
      <c r="T3" s="87" t="s">
        <v>104</v>
      </c>
      <c r="U3" s="87" t="s">
        <v>105</v>
      </c>
      <c r="V3" s="19" t="s">
        <v>109</v>
      </c>
      <c r="W3" s="20" t="s">
        <v>110</v>
      </c>
      <c r="X3" s="20"/>
      <c r="Y3" s="20"/>
      <c r="Z3" s="20" t="s">
        <v>111</v>
      </c>
      <c r="AA3" s="20" t="s">
        <v>112</v>
      </c>
      <c r="AB3" s="20" t="s">
        <v>103</v>
      </c>
      <c r="AC3" s="79" t="s">
        <v>106</v>
      </c>
      <c r="AD3" s="21" t="s">
        <v>113</v>
      </c>
    </row>
    <row r="4" spans="1:30" ht="14.4" x14ac:dyDescent="0.3">
      <c r="A4" s="15" t="s">
        <v>115</v>
      </c>
      <c r="B4" s="7" t="s">
        <v>2</v>
      </c>
      <c r="C4" s="22" t="s">
        <v>13</v>
      </c>
      <c r="D4" s="23">
        <v>2000</v>
      </c>
      <c r="E4" s="24">
        <v>0.1</v>
      </c>
      <c r="F4" s="25">
        <v>38</v>
      </c>
      <c r="G4" s="26">
        <f>F4+F4*E4</f>
        <v>41.8</v>
      </c>
      <c r="H4" s="27">
        <f>(G4*D4)/1000</f>
        <v>83.6</v>
      </c>
      <c r="I4" s="27">
        <f>C26</f>
        <v>2.04</v>
      </c>
      <c r="J4" s="89">
        <f>H4*I4</f>
        <v>170.54399999999998</v>
      </c>
      <c r="K4" s="84">
        <f>E36</f>
        <v>1.1438383838383839E-3</v>
      </c>
      <c r="L4" s="28">
        <f t="shared" ref="L4:L14" si="0">K4*D4</f>
        <v>2.2876767676767678</v>
      </c>
      <c r="M4" s="29">
        <f>A18*B18</f>
        <v>128</v>
      </c>
      <c r="N4" s="29">
        <f>C18</f>
        <v>450</v>
      </c>
      <c r="O4" s="29">
        <f>E18+F18*D18</f>
        <v>17.5</v>
      </c>
      <c r="P4" s="29">
        <f t="shared" ref="P4:P14" si="1">D4/N4</f>
        <v>4.4444444444444446</v>
      </c>
      <c r="Q4" s="28">
        <f>O4*P4</f>
        <v>77.777777777777786</v>
      </c>
      <c r="R4" s="26">
        <f>Q4+L4+J4+M4</f>
        <v>378.60945454545453</v>
      </c>
      <c r="S4" s="26">
        <f>G18</f>
        <v>0.3</v>
      </c>
      <c r="T4" s="26">
        <f>R4+R4*S4</f>
        <v>492.1922909090909</v>
      </c>
      <c r="U4" s="27">
        <f t="shared" ref="U4:U14" si="2">T4/D4</f>
        <v>0.24609614545454545</v>
      </c>
      <c r="V4" s="78">
        <f>E19+F19*D19</f>
        <v>11.25</v>
      </c>
      <c r="W4" s="78">
        <f>V4*P4</f>
        <v>50</v>
      </c>
      <c r="X4" s="92">
        <f>W4+M4+L4+J4</f>
        <v>350.83167676767675</v>
      </c>
      <c r="Y4" s="78">
        <f>G18</f>
        <v>0.3</v>
      </c>
      <c r="Z4" s="26">
        <f>X4+X4*Y4</f>
        <v>456.08117979797976</v>
      </c>
      <c r="AA4" s="78">
        <f t="shared" ref="AA4:AA14" si="3">Z4/D4</f>
        <v>0.22804058989898987</v>
      </c>
      <c r="AB4" s="30">
        <v>180</v>
      </c>
      <c r="AC4" s="81">
        <f>U4*2+(U4*2*80/100)</f>
        <v>0.8859461236363636</v>
      </c>
      <c r="AD4" s="81">
        <f>AA4*2+(AA4*2*80/100)</f>
        <v>0.82094612363636355</v>
      </c>
    </row>
    <row r="5" spans="1:30" ht="14.4" x14ac:dyDescent="0.3">
      <c r="A5" s="15" t="s">
        <v>115</v>
      </c>
      <c r="B5" s="7" t="s">
        <v>3</v>
      </c>
      <c r="C5" s="22" t="s">
        <v>14</v>
      </c>
      <c r="D5" s="23">
        <v>4000</v>
      </c>
      <c r="E5" s="24">
        <v>0.1</v>
      </c>
      <c r="F5" s="25">
        <v>38</v>
      </c>
      <c r="G5" s="26">
        <f t="shared" ref="G5:G14" si="4">F5+F5*E5</f>
        <v>41.8</v>
      </c>
      <c r="H5" s="27">
        <f t="shared" ref="H5:H14" si="5">(G5*D5)/1000</f>
        <v>167.2</v>
      </c>
      <c r="I5" s="27">
        <f>C26</f>
        <v>2.04</v>
      </c>
      <c r="J5" s="89">
        <f t="shared" ref="J5:J14" si="6">H5*I5</f>
        <v>341.08799999999997</v>
      </c>
      <c r="K5" s="84">
        <f>E36</f>
        <v>1.1438383838383839E-3</v>
      </c>
      <c r="L5" s="28">
        <f t="shared" si="0"/>
        <v>4.5753535353535355</v>
      </c>
      <c r="M5" s="29">
        <f>A18*B18</f>
        <v>128</v>
      </c>
      <c r="N5" s="29">
        <f>C18</f>
        <v>450</v>
      </c>
      <c r="O5" s="29">
        <f>E18+F18*D18</f>
        <v>17.5</v>
      </c>
      <c r="P5" s="29">
        <f t="shared" si="1"/>
        <v>8.8888888888888893</v>
      </c>
      <c r="Q5" s="28">
        <f t="shared" ref="Q5:Q14" si="7">O5*P5</f>
        <v>155.55555555555557</v>
      </c>
      <c r="R5" s="26">
        <f t="shared" ref="R5:R14" si="8">Q5+L5+J5+M5</f>
        <v>629.21890909090905</v>
      </c>
      <c r="S5" s="26">
        <f>G18</f>
        <v>0.3</v>
      </c>
      <c r="T5" s="26">
        <f t="shared" ref="T5:T14" si="9">R5+R5*S5</f>
        <v>817.98458181818182</v>
      </c>
      <c r="U5" s="27">
        <f t="shared" si="2"/>
        <v>0.20449614545454545</v>
      </c>
      <c r="V5" s="78">
        <f>E19+F19*D19</f>
        <v>11.25</v>
      </c>
      <c r="W5" s="78">
        <f t="shared" ref="W5:W14" si="10">V5*P5</f>
        <v>100</v>
      </c>
      <c r="X5" s="92">
        <f t="shared" ref="X5:X14" si="11">W5+M5+L5+J5</f>
        <v>573.66335353535351</v>
      </c>
      <c r="Y5" s="78">
        <f>G18</f>
        <v>0.3</v>
      </c>
      <c r="Z5" s="26">
        <f t="shared" ref="Z5:Z14" si="12">X5+X5*Y5</f>
        <v>745.76235959595954</v>
      </c>
      <c r="AA5" s="78">
        <f t="shared" si="3"/>
        <v>0.18644058989898987</v>
      </c>
      <c r="AB5" s="30">
        <v>160</v>
      </c>
      <c r="AC5" s="31">
        <f>U5*2+(U5*2*80/100)</f>
        <v>0.7361861236363636</v>
      </c>
      <c r="AD5" s="31">
        <f>AA5*2+(AA5*2*80/100)</f>
        <v>0.67118612363636354</v>
      </c>
    </row>
    <row r="6" spans="1:30" ht="14.4" x14ac:dyDescent="0.3">
      <c r="A6" s="15" t="s">
        <v>115</v>
      </c>
      <c r="B6" s="7" t="s">
        <v>4</v>
      </c>
      <c r="C6" s="22" t="s">
        <v>15</v>
      </c>
      <c r="D6" s="23">
        <v>7500</v>
      </c>
      <c r="E6" s="24">
        <v>7.0000000000000007E-2</v>
      </c>
      <c r="F6" s="25">
        <v>38</v>
      </c>
      <c r="G6" s="26">
        <f t="shared" si="4"/>
        <v>40.659999999999997</v>
      </c>
      <c r="H6" s="27">
        <f t="shared" si="5"/>
        <v>304.95</v>
      </c>
      <c r="I6" s="27">
        <f>C26</f>
        <v>2.04</v>
      </c>
      <c r="J6" s="89">
        <f t="shared" si="6"/>
        <v>622.09799999999996</v>
      </c>
      <c r="K6" s="84">
        <f>E36</f>
        <v>1.1438383838383839E-3</v>
      </c>
      <c r="L6" s="28">
        <f t="shared" si="0"/>
        <v>8.57878787878788</v>
      </c>
      <c r="M6" s="29">
        <f>A18*B18</f>
        <v>128</v>
      </c>
      <c r="N6" s="29">
        <f>C18</f>
        <v>450</v>
      </c>
      <c r="O6" s="29">
        <f>E18+F18*D18</f>
        <v>17.5</v>
      </c>
      <c r="P6" s="29">
        <f t="shared" si="1"/>
        <v>16.666666666666668</v>
      </c>
      <c r="Q6" s="28">
        <f t="shared" si="7"/>
        <v>291.66666666666669</v>
      </c>
      <c r="R6" s="26">
        <f t="shared" si="8"/>
        <v>1050.3434545454545</v>
      </c>
      <c r="S6" s="26">
        <f>G18</f>
        <v>0.3</v>
      </c>
      <c r="T6" s="26">
        <f t="shared" si="9"/>
        <v>1365.4464909090909</v>
      </c>
      <c r="U6" s="27">
        <f t="shared" si="2"/>
        <v>0.18205953212121212</v>
      </c>
      <c r="V6" s="78">
        <f>E19+F19*D19</f>
        <v>11.25</v>
      </c>
      <c r="W6" s="78">
        <f t="shared" si="10"/>
        <v>187.5</v>
      </c>
      <c r="X6" s="92">
        <f t="shared" si="11"/>
        <v>946.17678787878776</v>
      </c>
      <c r="Y6" s="78">
        <f>G18</f>
        <v>0.3</v>
      </c>
      <c r="Z6" s="26">
        <f t="shared" si="12"/>
        <v>1230.0298242424242</v>
      </c>
      <c r="AA6" s="78">
        <f t="shared" si="3"/>
        <v>0.16400397656565655</v>
      </c>
      <c r="AB6" s="30">
        <v>140</v>
      </c>
      <c r="AC6" s="31">
        <f>U6*2+(U6*2*80/100)</f>
        <v>0.65541431563636365</v>
      </c>
      <c r="AD6" s="31">
        <f>AA6*2+(AA6*2*80/100)</f>
        <v>0.5904143156363636</v>
      </c>
    </row>
    <row r="7" spans="1:30" ht="14.4" x14ac:dyDescent="0.3">
      <c r="A7" s="15" t="s">
        <v>115</v>
      </c>
      <c r="B7" s="7" t="s">
        <v>5</v>
      </c>
      <c r="C7" s="22" t="s">
        <v>16</v>
      </c>
      <c r="D7" s="23">
        <v>12500</v>
      </c>
      <c r="E7" s="24">
        <v>7.0000000000000007E-2</v>
      </c>
      <c r="F7" s="25">
        <v>38</v>
      </c>
      <c r="G7" s="26">
        <f t="shared" si="4"/>
        <v>40.659999999999997</v>
      </c>
      <c r="H7" s="27">
        <f t="shared" si="5"/>
        <v>508.24999999999994</v>
      </c>
      <c r="I7" s="27">
        <f>C26</f>
        <v>2.04</v>
      </c>
      <c r="J7" s="89">
        <f t="shared" si="6"/>
        <v>1036.83</v>
      </c>
      <c r="K7" s="84">
        <f>E36</f>
        <v>1.1438383838383839E-3</v>
      </c>
      <c r="L7" s="28">
        <f t="shared" si="0"/>
        <v>14.297979797979799</v>
      </c>
      <c r="M7" s="29">
        <f>A18*B18</f>
        <v>128</v>
      </c>
      <c r="N7" s="29">
        <f>C18</f>
        <v>450</v>
      </c>
      <c r="O7" s="29">
        <f>E18+F18*D18</f>
        <v>17.5</v>
      </c>
      <c r="P7" s="29">
        <f t="shared" si="1"/>
        <v>27.777777777777779</v>
      </c>
      <c r="Q7" s="28">
        <f t="shared" si="7"/>
        <v>486.11111111111114</v>
      </c>
      <c r="R7" s="26">
        <f t="shared" si="8"/>
        <v>1665.2390909090909</v>
      </c>
      <c r="S7" s="26">
        <f>G18</f>
        <v>0.3</v>
      </c>
      <c r="T7" s="26">
        <f t="shared" si="9"/>
        <v>2164.8108181818179</v>
      </c>
      <c r="U7" s="27">
        <f t="shared" si="2"/>
        <v>0.17318486545454542</v>
      </c>
      <c r="V7" s="78">
        <f>E19+F19*D19</f>
        <v>11.25</v>
      </c>
      <c r="W7" s="78">
        <f t="shared" si="10"/>
        <v>312.5</v>
      </c>
      <c r="X7" s="92">
        <f t="shared" si="11"/>
        <v>1491.6279797979796</v>
      </c>
      <c r="Y7" s="78">
        <f>G18</f>
        <v>0.3</v>
      </c>
      <c r="Z7" s="26">
        <f t="shared" si="12"/>
        <v>1939.1163737373736</v>
      </c>
      <c r="AA7" s="78">
        <f t="shared" si="3"/>
        <v>0.15512930989898988</v>
      </c>
      <c r="AB7" s="30">
        <v>85</v>
      </c>
      <c r="AC7" s="31">
        <f>U7+U7*AB7/100</f>
        <v>0.32039200109090904</v>
      </c>
      <c r="AD7" s="31">
        <f>AA7+AA7*AB7/100</f>
        <v>0.28698922331313126</v>
      </c>
    </row>
    <row r="8" spans="1:30" ht="14.4" x14ac:dyDescent="0.3">
      <c r="A8" s="15" t="s">
        <v>115</v>
      </c>
      <c r="B8" s="7" t="s">
        <v>6</v>
      </c>
      <c r="C8" s="22" t="s">
        <v>17</v>
      </c>
      <c r="D8" s="23">
        <v>17500</v>
      </c>
      <c r="E8" s="24">
        <v>7.0000000000000007E-2</v>
      </c>
      <c r="F8" s="25">
        <v>38</v>
      </c>
      <c r="G8" s="26">
        <f t="shared" si="4"/>
        <v>40.659999999999997</v>
      </c>
      <c r="H8" s="27">
        <f t="shared" si="5"/>
        <v>711.54999999999984</v>
      </c>
      <c r="I8" s="27">
        <f>C26</f>
        <v>2.04</v>
      </c>
      <c r="J8" s="89">
        <f t="shared" si="6"/>
        <v>1451.5619999999997</v>
      </c>
      <c r="K8" s="84">
        <f>E36</f>
        <v>1.1438383838383839E-3</v>
      </c>
      <c r="L8" s="28">
        <f t="shared" si="0"/>
        <v>20.017171717171717</v>
      </c>
      <c r="M8" s="29">
        <f>A18*B18</f>
        <v>128</v>
      </c>
      <c r="N8" s="29">
        <f>C18</f>
        <v>450</v>
      </c>
      <c r="O8" s="29">
        <f>E18+F18*D18</f>
        <v>17.5</v>
      </c>
      <c r="P8" s="29">
        <f t="shared" si="1"/>
        <v>38.888888888888886</v>
      </c>
      <c r="Q8" s="28">
        <f t="shared" si="7"/>
        <v>680.55555555555554</v>
      </c>
      <c r="R8" s="26">
        <f t="shared" si="8"/>
        <v>2280.1347272727271</v>
      </c>
      <c r="S8" s="26">
        <f>G18</f>
        <v>0.3</v>
      </c>
      <c r="T8" s="26">
        <f t="shared" si="9"/>
        <v>2964.1751454545451</v>
      </c>
      <c r="U8" s="27">
        <f t="shared" si="2"/>
        <v>0.16938143688311685</v>
      </c>
      <c r="V8" s="78">
        <f>E19+F19*D19</f>
        <v>11.25</v>
      </c>
      <c r="W8" s="78">
        <f t="shared" si="10"/>
        <v>437.49999999999994</v>
      </c>
      <c r="X8" s="92">
        <f t="shared" si="11"/>
        <v>2037.0791717171714</v>
      </c>
      <c r="Y8" s="78">
        <f>G18</f>
        <v>0.3</v>
      </c>
      <c r="Z8" s="26">
        <f t="shared" si="12"/>
        <v>2648.202923232323</v>
      </c>
      <c r="AA8" s="78">
        <f t="shared" si="3"/>
        <v>0.15132588132756131</v>
      </c>
      <c r="AB8" s="30">
        <v>80</v>
      </c>
      <c r="AC8" s="31">
        <f t="shared" ref="AC8:AC14" si="13">U8+U8*AB8/100</f>
        <v>0.3048865863896103</v>
      </c>
      <c r="AD8" s="31">
        <f t="shared" ref="AD8:AD14" si="14">AA8+AA8*AB8/100</f>
        <v>0.27238658638961033</v>
      </c>
    </row>
    <row r="9" spans="1:30" ht="14.4" x14ac:dyDescent="0.3">
      <c r="A9" s="15" t="s">
        <v>115</v>
      </c>
      <c r="B9" s="7" t="s">
        <v>7</v>
      </c>
      <c r="C9" s="22" t="s">
        <v>18</v>
      </c>
      <c r="D9" s="23">
        <v>25000</v>
      </c>
      <c r="E9" s="24">
        <v>0.05</v>
      </c>
      <c r="F9" s="25">
        <v>38</v>
      </c>
      <c r="G9" s="26">
        <f t="shared" si="4"/>
        <v>39.9</v>
      </c>
      <c r="H9" s="27">
        <f t="shared" si="5"/>
        <v>997.5</v>
      </c>
      <c r="I9" s="27">
        <f>C26</f>
        <v>2.04</v>
      </c>
      <c r="J9" s="89">
        <f t="shared" si="6"/>
        <v>2034.9</v>
      </c>
      <c r="K9" s="84">
        <f>E36</f>
        <v>1.1438383838383839E-3</v>
      </c>
      <c r="L9" s="28">
        <f t="shared" si="0"/>
        <v>28.595959595959599</v>
      </c>
      <c r="M9" s="29">
        <f>A18*B18</f>
        <v>128</v>
      </c>
      <c r="N9" s="29">
        <f>C18</f>
        <v>450</v>
      </c>
      <c r="O9" s="29">
        <f>E18+F18*D18</f>
        <v>17.5</v>
      </c>
      <c r="P9" s="29">
        <f t="shared" si="1"/>
        <v>55.555555555555557</v>
      </c>
      <c r="Q9" s="28">
        <f t="shared" si="7"/>
        <v>972.22222222222229</v>
      </c>
      <c r="R9" s="26">
        <f t="shared" si="8"/>
        <v>3163.7181818181821</v>
      </c>
      <c r="S9" s="26">
        <f>G18</f>
        <v>0.3</v>
      </c>
      <c r="T9" s="26">
        <f t="shared" si="9"/>
        <v>4112.8336363636363</v>
      </c>
      <c r="U9" s="27">
        <f t="shared" si="2"/>
        <v>0.16451334545454546</v>
      </c>
      <c r="V9" s="78">
        <f>E19+F19*D19</f>
        <v>11.25</v>
      </c>
      <c r="W9" s="78">
        <f t="shared" si="10"/>
        <v>625</v>
      </c>
      <c r="X9" s="92">
        <f t="shared" si="11"/>
        <v>2816.4959595959599</v>
      </c>
      <c r="Y9" s="78">
        <f>G18</f>
        <v>0.3</v>
      </c>
      <c r="Z9" s="26">
        <f t="shared" si="12"/>
        <v>3661.4447474747476</v>
      </c>
      <c r="AA9" s="78">
        <f t="shared" si="3"/>
        <v>0.14645778989898992</v>
      </c>
      <c r="AB9" s="30">
        <v>75</v>
      </c>
      <c r="AC9" s="31">
        <f t="shared" si="13"/>
        <v>0.28789835454545454</v>
      </c>
      <c r="AD9" s="31">
        <f t="shared" si="14"/>
        <v>0.25630113232323237</v>
      </c>
    </row>
    <row r="10" spans="1:30" ht="14.4" x14ac:dyDescent="0.3">
      <c r="A10" s="15" t="s">
        <v>115</v>
      </c>
      <c r="B10" s="7" t="s">
        <v>8</v>
      </c>
      <c r="C10" s="22" t="s">
        <v>19</v>
      </c>
      <c r="D10" s="23">
        <v>35000</v>
      </c>
      <c r="E10" s="24">
        <v>0.05</v>
      </c>
      <c r="F10" s="25">
        <v>38</v>
      </c>
      <c r="G10" s="26">
        <f t="shared" si="4"/>
        <v>39.9</v>
      </c>
      <c r="H10" s="27">
        <f t="shared" si="5"/>
        <v>1396.5</v>
      </c>
      <c r="I10" s="27">
        <f>C26</f>
        <v>2.04</v>
      </c>
      <c r="J10" s="89">
        <f t="shared" si="6"/>
        <v>2848.86</v>
      </c>
      <c r="K10" s="84">
        <f>E36</f>
        <v>1.1438383838383839E-3</v>
      </c>
      <c r="L10" s="28">
        <f t="shared" si="0"/>
        <v>40.034343434343434</v>
      </c>
      <c r="M10" s="29">
        <f>A18*B18</f>
        <v>128</v>
      </c>
      <c r="N10" s="29">
        <f>C18</f>
        <v>450</v>
      </c>
      <c r="O10" s="29">
        <f>E18+F18*D18</f>
        <v>17.5</v>
      </c>
      <c r="P10" s="29">
        <f t="shared" si="1"/>
        <v>77.777777777777771</v>
      </c>
      <c r="Q10" s="28">
        <f t="shared" si="7"/>
        <v>1361.1111111111111</v>
      </c>
      <c r="R10" s="26">
        <f t="shared" si="8"/>
        <v>4378.005454545455</v>
      </c>
      <c r="S10" s="26">
        <f>G18</f>
        <v>0.3</v>
      </c>
      <c r="T10" s="26">
        <f t="shared" si="9"/>
        <v>5691.4070909090915</v>
      </c>
      <c r="U10" s="27">
        <f t="shared" si="2"/>
        <v>0.16261163116883118</v>
      </c>
      <c r="V10" s="78">
        <f>E19+F19*D19</f>
        <v>11.25</v>
      </c>
      <c r="W10" s="78">
        <f t="shared" si="10"/>
        <v>874.99999999999989</v>
      </c>
      <c r="X10" s="92">
        <f t="shared" si="11"/>
        <v>3891.8943434343437</v>
      </c>
      <c r="Y10" s="78">
        <f>G18</f>
        <v>0.3</v>
      </c>
      <c r="Z10" s="26">
        <f t="shared" si="12"/>
        <v>5059.4626464646462</v>
      </c>
      <c r="AA10" s="78">
        <f t="shared" si="3"/>
        <v>0.1445560756132756</v>
      </c>
      <c r="AB10" s="30">
        <v>75</v>
      </c>
      <c r="AC10" s="31">
        <f t="shared" si="13"/>
        <v>0.28457035454545454</v>
      </c>
      <c r="AD10" s="31">
        <f t="shared" si="14"/>
        <v>0.25297313232323232</v>
      </c>
    </row>
    <row r="11" spans="1:30" ht="14.4" x14ac:dyDescent="0.3">
      <c r="A11" s="15" t="s">
        <v>115</v>
      </c>
      <c r="B11" s="7" t="s">
        <v>9</v>
      </c>
      <c r="C11" s="22" t="s">
        <v>20</v>
      </c>
      <c r="D11" s="23">
        <v>45000</v>
      </c>
      <c r="E11" s="24">
        <v>0.05</v>
      </c>
      <c r="F11" s="25">
        <v>38</v>
      </c>
      <c r="G11" s="26">
        <f t="shared" si="4"/>
        <v>39.9</v>
      </c>
      <c r="H11" s="27">
        <f t="shared" si="5"/>
        <v>1795.5</v>
      </c>
      <c r="I11" s="27">
        <f>C26</f>
        <v>2.04</v>
      </c>
      <c r="J11" s="89">
        <f t="shared" si="6"/>
        <v>3662.82</v>
      </c>
      <c r="K11" s="84">
        <f>E36</f>
        <v>1.1438383838383839E-3</v>
      </c>
      <c r="L11" s="28">
        <f t="shared" si="0"/>
        <v>51.472727272727276</v>
      </c>
      <c r="M11" s="29">
        <f>A18*B18</f>
        <v>128</v>
      </c>
      <c r="N11" s="29">
        <f>C18</f>
        <v>450</v>
      </c>
      <c r="O11" s="29">
        <f>E18+F18*D18</f>
        <v>17.5</v>
      </c>
      <c r="P11" s="29">
        <f t="shared" si="1"/>
        <v>100</v>
      </c>
      <c r="Q11" s="28">
        <f t="shared" si="7"/>
        <v>1750</v>
      </c>
      <c r="R11" s="26">
        <f t="shared" si="8"/>
        <v>5592.2927272727275</v>
      </c>
      <c r="S11" s="26">
        <f>G18</f>
        <v>0.3</v>
      </c>
      <c r="T11" s="26">
        <f t="shared" si="9"/>
        <v>7269.9805454545458</v>
      </c>
      <c r="U11" s="27">
        <f t="shared" si="2"/>
        <v>0.16155512323232324</v>
      </c>
      <c r="V11" s="78">
        <f>E19+F19*D19</f>
        <v>11.25</v>
      </c>
      <c r="W11" s="78">
        <f t="shared" si="10"/>
        <v>1125</v>
      </c>
      <c r="X11" s="92">
        <f t="shared" si="11"/>
        <v>4967.2927272727275</v>
      </c>
      <c r="Y11" s="78">
        <f>G18</f>
        <v>0.3</v>
      </c>
      <c r="Z11" s="26">
        <f t="shared" si="12"/>
        <v>6457.4805454545458</v>
      </c>
      <c r="AA11" s="78">
        <f t="shared" si="3"/>
        <v>0.14349956767676769</v>
      </c>
      <c r="AB11" s="30">
        <v>70</v>
      </c>
      <c r="AC11" s="31">
        <f t="shared" si="13"/>
        <v>0.27464370949494948</v>
      </c>
      <c r="AD11" s="31">
        <f t="shared" si="14"/>
        <v>0.24394926505050507</v>
      </c>
    </row>
    <row r="12" spans="1:30" ht="14.4" x14ac:dyDescent="0.3">
      <c r="A12" s="15" t="s">
        <v>115</v>
      </c>
      <c r="B12" s="7" t="s">
        <v>10</v>
      </c>
      <c r="C12" s="22" t="s">
        <v>21</v>
      </c>
      <c r="D12" s="23">
        <v>75000</v>
      </c>
      <c r="E12" s="24">
        <v>0.05</v>
      </c>
      <c r="F12" s="25">
        <v>38</v>
      </c>
      <c r="G12" s="26">
        <f t="shared" si="4"/>
        <v>39.9</v>
      </c>
      <c r="H12" s="27">
        <f t="shared" si="5"/>
        <v>2992.5</v>
      </c>
      <c r="I12" s="27">
        <f>C26</f>
        <v>2.04</v>
      </c>
      <c r="J12" s="89">
        <f t="shared" si="6"/>
        <v>6104.7</v>
      </c>
      <c r="K12" s="84">
        <f>E36</f>
        <v>1.1438383838383839E-3</v>
      </c>
      <c r="L12" s="28">
        <f t="shared" si="0"/>
        <v>85.787878787878796</v>
      </c>
      <c r="M12" s="29">
        <f>A18*B18</f>
        <v>128</v>
      </c>
      <c r="N12" s="29">
        <f>C18</f>
        <v>450</v>
      </c>
      <c r="O12" s="29">
        <f>E18+F18*D18</f>
        <v>17.5</v>
      </c>
      <c r="P12" s="29">
        <f t="shared" si="1"/>
        <v>166.66666666666666</v>
      </c>
      <c r="Q12" s="28">
        <f>O12*P12</f>
        <v>2916.6666666666665</v>
      </c>
      <c r="R12" s="26">
        <f t="shared" si="8"/>
        <v>9235.1545454545449</v>
      </c>
      <c r="S12" s="26">
        <f>G18</f>
        <v>0.3</v>
      </c>
      <c r="T12" s="26">
        <f t="shared" si="9"/>
        <v>12005.700909090909</v>
      </c>
      <c r="U12" s="27">
        <f t="shared" si="2"/>
        <v>0.16007601212121211</v>
      </c>
      <c r="V12" s="78">
        <f>E19+F19*D19</f>
        <v>11.25</v>
      </c>
      <c r="W12" s="78">
        <f t="shared" si="10"/>
        <v>1875</v>
      </c>
      <c r="X12" s="92">
        <f t="shared" si="11"/>
        <v>8193.4878787878788</v>
      </c>
      <c r="Y12" s="78">
        <f>G18</f>
        <v>0.3</v>
      </c>
      <c r="Z12" s="26">
        <f t="shared" si="12"/>
        <v>10651.534242424243</v>
      </c>
      <c r="AA12" s="78">
        <f t="shared" si="3"/>
        <v>0.14202045656565657</v>
      </c>
      <c r="AB12" s="30">
        <v>70</v>
      </c>
      <c r="AC12" s="31">
        <f t="shared" si="13"/>
        <v>0.2721292206060606</v>
      </c>
      <c r="AD12" s="31">
        <f t="shared" si="14"/>
        <v>0.24143477616161618</v>
      </c>
    </row>
    <row r="13" spans="1:30" ht="14.4" x14ac:dyDescent="0.3">
      <c r="A13" s="15" t="s">
        <v>115</v>
      </c>
      <c r="B13" s="7" t="s">
        <v>11</v>
      </c>
      <c r="C13" s="22" t="s">
        <v>22</v>
      </c>
      <c r="D13" s="23">
        <v>125000</v>
      </c>
      <c r="E13" s="24">
        <v>0.03</v>
      </c>
      <c r="F13" s="25">
        <v>38</v>
      </c>
      <c r="G13" s="26">
        <f t="shared" si="4"/>
        <v>39.14</v>
      </c>
      <c r="H13" s="27">
        <f t="shared" si="5"/>
        <v>4892.5</v>
      </c>
      <c r="I13" s="27">
        <f>C26</f>
        <v>2.04</v>
      </c>
      <c r="J13" s="89">
        <f t="shared" si="6"/>
        <v>9980.7000000000007</v>
      </c>
      <c r="K13" s="84">
        <f>E36</f>
        <v>1.1438383838383839E-3</v>
      </c>
      <c r="L13" s="28">
        <f t="shared" si="0"/>
        <v>142.97979797979798</v>
      </c>
      <c r="M13" s="29">
        <f>A18*B18</f>
        <v>128</v>
      </c>
      <c r="N13" s="29">
        <f>C18</f>
        <v>450</v>
      </c>
      <c r="O13" s="29">
        <f>E18+F18*D18</f>
        <v>17.5</v>
      </c>
      <c r="P13" s="29">
        <f t="shared" si="1"/>
        <v>277.77777777777777</v>
      </c>
      <c r="Q13" s="28">
        <f t="shared" si="7"/>
        <v>4861.1111111111113</v>
      </c>
      <c r="R13" s="26">
        <f t="shared" si="8"/>
        <v>15112.790909090909</v>
      </c>
      <c r="S13" s="26">
        <f>G18</f>
        <v>0.3</v>
      </c>
      <c r="T13" s="26">
        <f t="shared" si="9"/>
        <v>19646.628181818181</v>
      </c>
      <c r="U13" s="27">
        <f t="shared" si="2"/>
        <v>0.15717302545454545</v>
      </c>
      <c r="V13" s="78">
        <f>E19+F19*D19</f>
        <v>11.25</v>
      </c>
      <c r="W13" s="78">
        <f t="shared" si="10"/>
        <v>3125</v>
      </c>
      <c r="X13" s="92">
        <f t="shared" si="11"/>
        <v>13376.679797979799</v>
      </c>
      <c r="Y13" s="78">
        <f>G18</f>
        <v>0.3</v>
      </c>
      <c r="Z13" s="26">
        <f t="shared" si="12"/>
        <v>17389.68373737374</v>
      </c>
      <c r="AA13" s="78">
        <f t="shared" si="3"/>
        <v>0.13911746989898993</v>
      </c>
      <c r="AB13" s="30">
        <v>65</v>
      </c>
      <c r="AC13" s="31">
        <f t="shared" si="13"/>
        <v>0.259335492</v>
      </c>
      <c r="AD13" s="31">
        <f t="shared" si="14"/>
        <v>0.2295438253333334</v>
      </c>
    </row>
    <row r="14" spans="1:30" ht="15" thickBot="1" x14ac:dyDescent="0.35">
      <c r="A14" s="15" t="s">
        <v>115</v>
      </c>
      <c r="B14" s="7" t="s">
        <v>12</v>
      </c>
      <c r="C14" s="22" t="s">
        <v>23</v>
      </c>
      <c r="D14" s="23">
        <v>200000</v>
      </c>
      <c r="E14" s="24">
        <v>0.03</v>
      </c>
      <c r="F14" s="25">
        <v>38</v>
      </c>
      <c r="G14" s="26">
        <f t="shared" si="4"/>
        <v>39.14</v>
      </c>
      <c r="H14" s="27">
        <f t="shared" si="5"/>
        <v>7828</v>
      </c>
      <c r="I14" s="27">
        <f>C26</f>
        <v>2.04</v>
      </c>
      <c r="J14" s="89">
        <f t="shared" si="6"/>
        <v>15969.12</v>
      </c>
      <c r="K14" s="84">
        <f>E36</f>
        <v>1.1438383838383839E-3</v>
      </c>
      <c r="L14" s="28">
        <f t="shared" si="0"/>
        <v>228.76767676767679</v>
      </c>
      <c r="M14" s="29">
        <f>A18*B18</f>
        <v>128</v>
      </c>
      <c r="N14" s="29">
        <f>C18</f>
        <v>450</v>
      </c>
      <c r="O14" s="29">
        <f>E18+F18*D18</f>
        <v>17.5</v>
      </c>
      <c r="P14" s="29">
        <f t="shared" si="1"/>
        <v>444.44444444444446</v>
      </c>
      <c r="Q14" s="28">
        <f t="shared" si="7"/>
        <v>7777.7777777777783</v>
      </c>
      <c r="R14" s="26">
        <f t="shared" si="8"/>
        <v>24103.665454545455</v>
      </c>
      <c r="S14" s="26">
        <f>G18</f>
        <v>0.3</v>
      </c>
      <c r="T14" s="26">
        <f t="shared" si="9"/>
        <v>31334.765090909092</v>
      </c>
      <c r="U14" s="27">
        <f t="shared" si="2"/>
        <v>0.15667382545454545</v>
      </c>
      <c r="V14" s="78">
        <f>E19+F19*D19</f>
        <v>11.25</v>
      </c>
      <c r="W14" s="78">
        <f t="shared" si="10"/>
        <v>5000</v>
      </c>
      <c r="X14" s="92">
        <f t="shared" si="11"/>
        <v>21325.887676767677</v>
      </c>
      <c r="Y14" s="78">
        <f>G18</f>
        <v>0.3</v>
      </c>
      <c r="Z14" s="26">
        <f t="shared" si="12"/>
        <v>27723.653979797979</v>
      </c>
      <c r="AA14" s="78">
        <f t="shared" si="3"/>
        <v>0.1386182698989899</v>
      </c>
      <c r="AB14" s="30">
        <v>60</v>
      </c>
      <c r="AC14" s="32">
        <f t="shared" si="13"/>
        <v>0.25067812072727269</v>
      </c>
      <c r="AD14" s="32">
        <f t="shared" si="14"/>
        <v>0.22178923183838384</v>
      </c>
    </row>
    <row r="15" spans="1:30" ht="14.4" thickBot="1" x14ac:dyDescent="0.35"/>
    <row r="16" spans="1:30" x14ac:dyDescent="0.3">
      <c r="A16" s="33" t="s">
        <v>27</v>
      </c>
      <c r="B16" s="34"/>
      <c r="C16" s="34"/>
      <c r="D16" s="34"/>
      <c r="E16" s="34"/>
      <c r="F16" s="34"/>
      <c r="G16" s="35"/>
      <c r="AC16" s="80"/>
    </row>
    <row r="17" spans="1:12" x14ac:dyDescent="0.3">
      <c r="A17" s="36" t="s">
        <v>28</v>
      </c>
      <c r="B17" s="37" t="s">
        <v>29</v>
      </c>
      <c r="C17" s="37" t="s">
        <v>30</v>
      </c>
      <c r="D17" s="37" t="s">
        <v>31</v>
      </c>
      <c r="E17" s="37" t="s">
        <v>32</v>
      </c>
      <c r="F17" s="37" t="s">
        <v>33</v>
      </c>
      <c r="G17" s="38" t="s">
        <v>34</v>
      </c>
      <c r="J17" s="39"/>
      <c r="K17" s="85"/>
      <c r="L17" s="14" t="s">
        <v>59</v>
      </c>
    </row>
    <row r="18" spans="1:12" ht="14.4" thickBot="1" x14ac:dyDescent="0.35">
      <c r="A18" s="40">
        <v>4</v>
      </c>
      <c r="B18" s="41">
        <v>32</v>
      </c>
      <c r="C18" s="41">
        <v>450</v>
      </c>
      <c r="D18" s="41">
        <v>0.5</v>
      </c>
      <c r="E18" s="41">
        <v>5</v>
      </c>
      <c r="F18" s="42">
        <v>25</v>
      </c>
      <c r="G18" s="43">
        <v>0.3</v>
      </c>
    </row>
    <row r="19" spans="1:12" ht="14.4" thickBot="1" x14ac:dyDescent="0.35">
      <c r="A19" s="40">
        <v>4</v>
      </c>
      <c r="B19" s="41">
        <v>32</v>
      </c>
      <c r="C19" s="41">
        <v>450</v>
      </c>
      <c r="D19" s="41">
        <v>0.25</v>
      </c>
      <c r="E19" s="41">
        <v>5</v>
      </c>
      <c r="F19" s="42">
        <v>25</v>
      </c>
      <c r="G19" s="43">
        <v>0.3</v>
      </c>
    </row>
    <row r="20" spans="1:12" ht="14.4" thickBot="1" x14ac:dyDescent="0.35">
      <c r="J20" s="44"/>
      <c r="K20" s="86"/>
      <c r="L20" s="14" t="s">
        <v>60</v>
      </c>
    </row>
    <row r="21" spans="1:12" x14ac:dyDescent="0.3">
      <c r="A21" s="45" t="s">
        <v>35</v>
      </c>
      <c r="B21" s="46"/>
      <c r="C21" s="46" t="s">
        <v>36</v>
      </c>
      <c r="D21" s="47" t="s">
        <v>37</v>
      </c>
    </row>
    <row r="22" spans="1:12" x14ac:dyDescent="0.3">
      <c r="A22" s="48" t="s">
        <v>40</v>
      </c>
      <c r="B22" s="49">
        <v>1.5</v>
      </c>
      <c r="C22" s="50">
        <v>96</v>
      </c>
      <c r="D22" s="51"/>
    </row>
    <row r="23" spans="1:12" x14ac:dyDescent="0.3">
      <c r="A23" s="48" t="s">
        <v>40</v>
      </c>
      <c r="B23" s="49">
        <v>15</v>
      </c>
      <c r="C23" s="50">
        <v>4</v>
      </c>
      <c r="D23" s="51"/>
    </row>
    <row r="24" spans="1:12" x14ac:dyDescent="0.3">
      <c r="A24" s="48" t="s">
        <v>40</v>
      </c>
      <c r="B24" s="49">
        <v>0</v>
      </c>
      <c r="C24" s="50"/>
      <c r="D24" s="51"/>
    </row>
    <row r="25" spans="1:12" ht="14.4" thickBot="1" x14ac:dyDescent="0.35">
      <c r="A25" s="48" t="s">
        <v>44</v>
      </c>
      <c r="B25" s="49">
        <v>0</v>
      </c>
      <c r="C25" s="50"/>
      <c r="D25" s="51"/>
    </row>
    <row r="26" spans="1:12" ht="14.4" thickBot="1" x14ac:dyDescent="0.35">
      <c r="A26" s="52" t="s">
        <v>45</v>
      </c>
      <c r="B26" s="53">
        <f>SUM(B22:B25)</f>
        <v>16.5</v>
      </c>
      <c r="C26" s="54">
        <f>(B22*C22/100)+(B23*C23/100)+(B24*C24/100)+(B25*C25/100)</f>
        <v>2.04</v>
      </c>
      <c r="D26" s="55" t="s">
        <v>62</v>
      </c>
    </row>
    <row r="27" spans="1:12" ht="14.4" thickBot="1" x14ac:dyDescent="0.35"/>
    <row r="28" spans="1:12" x14ac:dyDescent="0.3">
      <c r="A28" s="56" t="s">
        <v>38</v>
      </c>
      <c r="B28" s="57"/>
      <c r="C28" s="58"/>
      <c r="D28" s="59" t="s">
        <v>39</v>
      </c>
      <c r="E28" s="60" t="s">
        <v>97</v>
      </c>
    </row>
    <row r="29" spans="1:12" x14ac:dyDescent="0.3">
      <c r="A29" s="61" t="s">
        <v>42</v>
      </c>
      <c r="B29" s="62">
        <v>1100</v>
      </c>
      <c r="C29" s="63"/>
      <c r="D29" s="64"/>
      <c r="E29" s="65"/>
    </row>
    <row r="30" spans="1:12" x14ac:dyDescent="0.3">
      <c r="A30" s="61" t="s">
        <v>86</v>
      </c>
      <c r="B30" s="62">
        <v>9</v>
      </c>
      <c r="C30" s="63" t="s">
        <v>41</v>
      </c>
      <c r="D30" s="66">
        <v>0.68100000000000005</v>
      </c>
      <c r="E30" s="65">
        <f>D30*B30</f>
        <v>6.1290000000000004</v>
      </c>
    </row>
    <row r="31" spans="1:12" x14ac:dyDescent="0.3">
      <c r="A31" s="61" t="s">
        <v>87</v>
      </c>
      <c r="B31" s="62">
        <f>B30*B29</f>
        <v>9900</v>
      </c>
      <c r="C31" s="67"/>
      <c r="D31" s="68"/>
      <c r="E31" s="65"/>
    </row>
    <row r="32" spans="1:12" x14ac:dyDescent="0.3">
      <c r="A32" s="61" t="s">
        <v>88</v>
      </c>
      <c r="B32" s="62">
        <v>9</v>
      </c>
      <c r="C32" s="63" t="s">
        <v>43</v>
      </c>
      <c r="D32" s="69">
        <v>0.13800000000000001</v>
      </c>
      <c r="E32" s="65">
        <f>D32*B32</f>
        <v>1.242</v>
      </c>
    </row>
    <row r="33" spans="1:5" x14ac:dyDescent="0.3">
      <c r="A33" s="61" t="s">
        <v>46</v>
      </c>
      <c r="B33" s="62">
        <f>B32*5</f>
        <v>45</v>
      </c>
      <c r="C33" s="63" t="s">
        <v>47</v>
      </c>
      <c r="D33" s="66">
        <v>4.3400000000000001E-2</v>
      </c>
      <c r="E33" s="65">
        <f>D33*B33</f>
        <v>1.9530000000000001</v>
      </c>
    </row>
    <row r="34" spans="1:5" ht="14.4" thickBot="1" x14ac:dyDescent="0.35">
      <c r="A34" s="70" t="s">
        <v>48</v>
      </c>
      <c r="B34" s="71" t="s">
        <v>49</v>
      </c>
      <c r="C34" s="72" t="s">
        <v>50</v>
      </c>
      <c r="D34" s="73">
        <v>2</v>
      </c>
      <c r="E34" s="74">
        <f>D34</f>
        <v>2</v>
      </c>
    </row>
    <row r="35" spans="1:5" ht="14.4" thickBot="1" x14ac:dyDescent="0.35">
      <c r="E35" s="75">
        <f>SUM(E29:E34)</f>
        <v>11.324</v>
      </c>
    </row>
    <row r="36" spans="1:5" ht="14.4" thickBot="1" x14ac:dyDescent="0.35">
      <c r="D36" s="76" t="s">
        <v>98</v>
      </c>
      <c r="E36" s="77">
        <f>E35/B31</f>
        <v>1.1438383838383839E-3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06700-0C1B-4756-ACC1-B338D5A9F3C2}">
  <dimension ref="A2:AD36"/>
  <sheetViews>
    <sheetView topLeftCell="I1" workbookViewId="0">
      <selection activeCell="T4" sqref="T4:T14"/>
    </sheetView>
  </sheetViews>
  <sheetFormatPr defaultColWidth="9.109375" defaultRowHeight="13.8" x14ac:dyDescent="0.3"/>
  <cols>
    <col min="1" max="1" width="28.6640625" style="14" bestFit="1" customWidth="1"/>
    <col min="2" max="2" width="10.109375" style="14" bestFit="1" customWidth="1"/>
    <col min="3" max="3" width="21" style="14" bestFit="1" customWidth="1"/>
    <col min="4" max="4" width="12.44140625" style="14" bestFit="1" customWidth="1"/>
    <col min="5" max="5" width="21" style="14" bestFit="1" customWidth="1"/>
    <col min="6" max="6" width="14.88671875" style="14" bestFit="1" customWidth="1"/>
    <col min="7" max="7" width="23.5546875" style="14" bestFit="1" customWidth="1"/>
    <col min="8" max="8" width="18.6640625" style="14" customWidth="1"/>
    <col min="9" max="9" width="0.109375" style="14" customWidth="1"/>
    <col min="10" max="10" width="9.5546875" style="14" bestFit="1" customWidth="1"/>
    <col min="11" max="11" width="15.33203125" style="82" customWidth="1"/>
    <col min="12" max="12" width="17.5546875" style="14" bestFit="1" customWidth="1"/>
    <col min="13" max="13" width="19.33203125" style="14" customWidth="1"/>
    <col min="14" max="14" width="9.109375" style="14" customWidth="1"/>
    <col min="15" max="15" width="22.88671875" style="14" customWidth="1"/>
    <col min="16" max="16" width="11.88671875" style="14" customWidth="1"/>
    <col min="17" max="17" width="23.5546875" style="14" bestFit="1" customWidth="1"/>
    <col min="18" max="18" width="24.33203125" style="14" customWidth="1"/>
    <col min="19" max="19" width="11" style="14" customWidth="1"/>
    <col min="20" max="20" width="35.5546875" style="14" bestFit="1" customWidth="1"/>
    <col min="21" max="21" width="14.6640625" style="14" bestFit="1" customWidth="1"/>
    <col min="22" max="27" width="14.6640625" style="14" customWidth="1"/>
    <col min="28" max="28" width="16.5546875" style="14" bestFit="1" customWidth="1"/>
    <col min="29" max="29" width="17.44140625" style="14" bestFit="1" customWidth="1"/>
    <col min="30" max="30" width="11.88671875" style="14" bestFit="1" customWidth="1"/>
    <col min="31" max="16384" width="9.109375" style="14"/>
  </cols>
  <sheetData>
    <row r="2" spans="1:30" ht="14.4" thickBot="1" x14ac:dyDescent="0.35"/>
    <row r="3" spans="1:30" ht="74.25" customHeight="1" thickBot="1" x14ac:dyDescent="0.35">
      <c r="A3" s="15" t="s">
        <v>57</v>
      </c>
      <c r="B3" s="15" t="s">
        <v>24</v>
      </c>
      <c r="C3" s="15" t="s">
        <v>25</v>
      </c>
      <c r="D3" s="15" t="s">
        <v>26</v>
      </c>
      <c r="E3" s="15" t="s">
        <v>55</v>
      </c>
      <c r="F3" s="15" t="s">
        <v>58</v>
      </c>
      <c r="G3" s="16" t="s">
        <v>51</v>
      </c>
      <c r="H3" s="17" t="s">
        <v>52</v>
      </c>
      <c r="I3" s="17" t="s">
        <v>61</v>
      </c>
      <c r="J3" s="90" t="s">
        <v>53</v>
      </c>
      <c r="K3" s="83" t="s">
        <v>99</v>
      </c>
      <c r="L3" s="18" t="s">
        <v>96</v>
      </c>
      <c r="M3" s="19" t="s">
        <v>54</v>
      </c>
      <c r="N3" s="19" t="s">
        <v>100</v>
      </c>
      <c r="O3" s="19" t="s">
        <v>108</v>
      </c>
      <c r="P3" s="19" t="s">
        <v>101</v>
      </c>
      <c r="Q3" s="91" t="s">
        <v>116</v>
      </c>
      <c r="R3" s="87" t="s">
        <v>107</v>
      </c>
      <c r="S3" s="88" t="s">
        <v>102</v>
      </c>
      <c r="T3" s="87" t="s">
        <v>104</v>
      </c>
      <c r="U3" s="87" t="s">
        <v>105</v>
      </c>
      <c r="V3" s="19" t="s">
        <v>109</v>
      </c>
      <c r="W3" s="20" t="s">
        <v>110</v>
      </c>
      <c r="X3" s="20"/>
      <c r="Y3" s="20"/>
      <c r="Z3" s="20" t="s">
        <v>111</v>
      </c>
      <c r="AA3" s="20" t="s">
        <v>112</v>
      </c>
      <c r="AB3" s="20" t="s">
        <v>103</v>
      </c>
      <c r="AC3" s="79" t="s">
        <v>106</v>
      </c>
      <c r="AD3" s="21" t="s">
        <v>113</v>
      </c>
    </row>
    <row r="4" spans="1:30" ht="14.4" x14ac:dyDescent="0.3">
      <c r="A4" s="15">
        <v>500</v>
      </c>
      <c r="B4" s="7" t="s">
        <v>2</v>
      </c>
      <c r="C4" s="22" t="s">
        <v>13</v>
      </c>
      <c r="D4" s="23">
        <v>2000</v>
      </c>
      <c r="E4" s="24">
        <v>0.1</v>
      </c>
      <c r="F4" s="25">
        <v>42</v>
      </c>
      <c r="G4" s="26">
        <f>F4+F4*E4</f>
        <v>46.2</v>
      </c>
      <c r="H4" s="27">
        <f>(G4*D4)/1000</f>
        <v>92.4</v>
      </c>
      <c r="I4" s="27">
        <f>C26</f>
        <v>2.08</v>
      </c>
      <c r="J4" s="89">
        <f>H4*I4</f>
        <v>192.19200000000001</v>
      </c>
      <c r="K4" s="84">
        <f>E36</f>
        <v>1.1438383838383839E-3</v>
      </c>
      <c r="L4" s="28">
        <f t="shared" ref="L4:L14" si="0">K4*D4</f>
        <v>2.2876767676767678</v>
      </c>
      <c r="M4" s="29">
        <f>A18*B18</f>
        <v>128</v>
      </c>
      <c r="N4" s="29">
        <f>C18</f>
        <v>450</v>
      </c>
      <c r="O4" s="29">
        <f>E18+F18*D18</f>
        <v>17.5</v>
      </c>
      <c r="P4" s="29">
        <f t="shared" ref="P4:P14" si="1">D4/N4</f>
        <v>4.4444444444444446</v>
      </c>
      <c r="Q4" s="28">
        <f>O4*P4</f>
        <v>77.777777777777786</v>
      </c>
      <c r="R4" s="26">
        <f>Q4+L4+J4+M4</f>
        <v>400.25745454545455</v>
      </c>
      <c r="S4" s="26">
        <f>G18</f>
        <v>0.3</v>
      </c>
      <c r="T4" s="26">
        <f>R4+R4*S4</f>
        <v>520.33469090909091</v>
      </c>
      <c r="U4" s="27">
        <f t="shared" ref="U4:U14" si="2">T4/D4</f>
        <v>0.26016734545454545</v>
      </c>
      <c r="V4" s="78">
        <f>E19+F19*D19</f>
        <v>11.25</v>
      </c>
      <c r="W4" s="78">
        <f>V4*P4</f>
        <v>50</v>
      </c>
      <c r="X4" s="92">
        <f>W4+M4+L4+J4</f>
        <v>372.47967676767678</v>
      </c>
      <c r="Y4" s="78">
        <f>G18</f>
        <v>0.3</v>
      </c>
      <c r="Z4" s="26">
        <f>X4+X4*Y4</f>
        <v>484.22357979797982</v>
      </c>
      <c r="AA4" s="78">
        <f t="shared" ref="AA4:AA14" si="3">Z4/D4</f>
        <v>0.2421117898989899</v>
      </c>
      <c r="AB4" s="30">
        <v>180</v>
      </c>
      <c r="AC4" s="81">
        <f>U4*2+(U4*2*80/100)</f>
        <v>0.93660244363636358</v>
      </c>
      <c r="AD4" s="81">
        <f>AA4*2+(AA4*2*80/100)</f>
        <v>0.87160244363636363</v>
      </c>
    </row>
    <row r="5" spans="1:30" ht="14.4" x14ac:dyDescent="0.3">
      <c r="A5" s="15">
        <v>500</v>
      </c>
      <c r="B5" s="7" t="s">
        <v>3</v>
      </c>
      <c r="C5" s="22" t="s">
        <v>14</v>
      </c>
      <c r="D5" s="23">
        <v>4000</v>
      </c>
      <c r="E5" s="24">
        <v>0.1</v>
      </c>
      <c r="F5" s="25">
        <v>42</v>
      </c>
      <c r="G5" s="26">
        <f t="shared" ref="G5:G14" si="4">F5+F5*E5</f>
        <v>46.2</v>
      </c>
      <c r="H5" s="27">
        <f t="shared" ref="H5:H14" si="5">(G5*D5)/1000</f>
        <v>184.8</v>
      </c>
      <c r="I5" s="27">
        <f>C26</f>
        <v>2.08</v>
      </c>
      <c r="J5" s="89">
        <f t="shared" ref="J5:J14" si="6">H5*I5</f>
        <v>384.38400000000001</v>
      </c>
      <c r="K5" s="84">
        <f>E36</f>
        <v>1.1438383838383839E-3</v>
      </c>
      <c r="L5" s="28">
        <f t="shared" si="0"/>
        <v>4.5753535353535355</v>
      </c>
      <c r="M5" s="29">
        <f>A18*B18</f>
        <v>128</v>
      </c>
      <c r="N5" s="29">
        <f>C18</f>
        <v>450</v>
      </c>
      <c r="O5" s="29">
        <f>E18+F18*D18</f>
        <v>17.5</v>
      </c>
      <c r="P5" s="29">
        <f t="shared" si="1"/>
        <v>8.8888888888888893</v>
      </c>
      <c r="Q5" s="28">
        <f t="shared" ref="Q5:Q14" si="7">O5*P5</f>
        <v>155.55555555555557</v>
      </c>
      <c r="R5" s="26">
        <f t="shared" ref="R5:R14" si="8">Q5+L5+J5+M5</f>
        <v>672.5149090909091</v>
      </c>
      <c r="S5" s="26">
        <f>G18</f>
        <v>0.3</v>
      </c>
      <c r="T5" s="26">
        <f t="shared" ref="T5:T14" si="9">R5+R5*S5</f>
        <v>874.26938181818184</v>
      </c>
      <c r="U5" s="27">
        <f t="shared" si="2"/>
        <v>0.21856734545454545</v>
      </c>
      <c r="V5" s="78">
        <f>E19+F19*D19</f>
        <v>11.25</v>
      </c>
      <c r="W5" s="78">
        <f t="shared" ref="W5:W14" si="10">V5*P5</f>
        <v>100</v>
      </c>
      <c r="X5" s="92">
        <f t="shared" ref="X5:X14" si="11">W5+M5+L5+J5</f>
        <v>616.95935353535356</v>
      </c>
      <c r="Y5" s="78">
        <f>G18</f>
        <v>0.3</v>
      </c>
      <c r="Z5" s="26">
        <f t="shared" ref="Z5:Z14" si="12">X5+X5*Y5</f>
        <v>802.04715959595956</v>
      </c>
      <c r="AA5" s="78">
        <f t="shared" si="3"/>
        <v>0.20051178989898988</v>
      </c>
      <c r="AB5" s="30">
        <v>160</v>
      </c>
      <c r="AC5" s="31">
        <f>U5*2+(U5*2*80/100)</f>
        <v>0.78684244363636369</v>
      </c>
      <c r="AD5" s="31">
        <f>AA5*2+(AA5*2*80/100)</f>
        <v>0.72184244363636352</v>
      </c>
    </row>
    <row r="6" spans="1:30" ht="14.4" x14ac:dyDescent="0.3">
      <c r="A6" s="15">
        <v>500</v>
      </c>
      <c r="B6" s="7" t="s">
        <v>4</v>
      </c>
      <c r="C6" s="22" t="s">
        <v>15</v>
      </c>
      <c r="D6" s="23">
        <v>7500</v>
      </c>
      <c r="E6" s="24">
        <v>7.0000000000000007E-2</v>
      </c>
      <c r="F6" s="25">
        <v>42</v>
      </c>
      <c r="G6" s="26">
        <f t="shared" si="4"/>
        <v>44.94</v>
      </c>
      <c r="H6" s="27">
        <f t="shared" si="5"/>
        <v>337.05</v>
      </c>
      <c r="I6" s="27">
        <f>C26</f>
        <v>2.08</v>
      </c>
      <c r="J6" s="89">
        <f t="shared" si="6"/>
        <v>701.06400000000008</v>
      </c>
      <c r="K6" s="84">
        <f>E36</f>
        <v>1.1438383838383839E-3</v>
      </c>
      <c r="L6" s="28">
        <f t="shared" si="0"/>
        <v>8.57878787878788</v>
      </c>
      <c r="M6" s="29">
        <f>A18*B18</f>
        <v>128</v>
      </c>
      <c r="N6" s="29">
        <f>C18</f>
        <v>450</v>
      </c>
      <c r="O6" s="29">
        <f>E18+F18*D18</f>
        <v>17.5</v>
      </c>
      <c r="P6" s="29">
        <f t="shared" si="1"/>
        <v>16.666666666666668</v>
      </c>
      <c r="Q6" s="28">
        <f t="shared" si="7"/>
        <v>291.66666666666669</v>
      </c>
      <c r="R6" s="26">
        <f t="shared" si="8"/>
        <v>1129.3094545454546</v>
      </c>
      <c r="S6" s="26">
        <f>G18</f>
        <v>0.3</v>
      </c>
      <c r="T6" s="26">
        <f t="shared" si="9"/>
        <v>1468.1022909090909</v>
      </c>
      <c r="U6" s="27">
        <f t="shared" si="2"/>
        <v>0.19574697212121211</v>
      </c>
      <c r="V6" s="78">
        <f>E19+F19*D19</f>
        <v>11.25</v>
      </c>
      <c r="W6" s="78">
        <f t="shared" si="10"/>
        <v>187.5</v>
      </c>
      <c r="X6" s="92">
        <f t="shared" si="11"/>
        <v>1025.1427878787879</v>
      </c>
      <c r="Y6" s="78">
        <f>G18</f>
        <v>0.3</v>
      </c>
      <c r="Z6" s="26">
        <f t="shared" si="12"/>
        <v>1332.6856242424242</v>
      </c>
      <c r="AA6" s="78">
        <f t="shared" si="3"/>
        <v>0.17769141656565657</v>
      </c>
      <c r="AB6" s="30">
        <v>140</v>
      </c>
      <c r="AC6" s="31">
        <f>U6*2+(U6*2*80/100)</f>
        <v>0.70468909963636361</v>
      </c>
      <c r="AD6" s="31">
        <f>AA6*2+(AA6*2*80/100)</f>
        <v>0.63968909963636367</v>
      </c>
    </row>
    <row r="7" spans="1:30" ht="14.4" x14ac:dyDescent="0.3">
      <c r="A7" s="15">
        <v>500</v>
      </c>
      <c r="B7" s="7" t="s">
        <v>5</v>
      </c>
      <c r="C7" s="22" t="s">
        <v>16</v>
      </c>
      <c r="D7" s="23">
        <v>12500</v>
      </c>
      <c r="E7" s="24">
        <v>7.0000000000000007E-2</v>
      </c>
      <c r="F7" s="25">
        <v>42</v>
      </c>
      <c r="G7" s="26">
        <f t="shared" si="4"/>
        <v>44.94</v>
      </c>
      <c r="H7" s="27">
        <f t="shared" si="5"/>
        <v>561.75</v>
      </c>
      <c r="I7" s="27">
        <f>C26</f>
        <v>2.08</v>
      </c>
      <c r="J7" s="89">
        <f t="shared" si="6"/>
        <v>1168.44</v>
      </c>
      <c r="K7" s="84">
        <f>E36</f>
        <v>1.1438383838383839E-3</v>
      </c>
      <c r="L7" s="28">
        <f t="shared" si="0"/>
        <v>14.297979797979799</v>
      </c>
      <c r="M7" s="29">
        <f>A18*B18</f>
        <v>128</v>
      </c>
      <c r="N7" s="29">
        <f>C18</f>
        <v>450</v>
      </c>
      <c r="O7" s="29">
        <f>E18+F18*D18</f>
        <v>17.5</v>
      </c>
      <c r="P7" s="29">
        <f t="shared" si="1"/>
        <v>27.777777777777779</v>
      </c>
      <c r="Q7" s="28">
        <f t="shared" si="7"/>
        <v>486.11111111111114</v>
      </c>
      <c r="R7" s="26">
        <f t="shared" si="8"/>
        <v>1796.849090909091</v>
      </c>
      <c r="S7" s="26">
        <f>G18</f>
        <v>0.3</v>
      </c>
      <c r="T7" s="26">
        <f t="shared" si="9"/>
        <v>2335.9038181818182</v>
      </c>
      <c r="U7" s="27">
        <f t="shared" si="2"/>
        <v>0.18687230545454545</v>
      </c>
      <c r="V7" s="78">
        <f>E19+F19*D19</f>
        <v>11.25</v>
      </c>
      <c r="W7" s="78">
        <f t="shared" si="10"/>
        <v>312.5</v>
      </c>
      <c r="X7" s="92">
        <f t="shared" si="11"/>
        <v>1623.2379797979797</v>
      </c>
      <c r="Y7" s="78">
        <f>G18</f>
        <v>0.3</v>
      </c>
      <c r="Z7" s="26">
        <f t="shared" si="12"/>
        <v>2110.2093737373734</v>
      </c>
      <c r="AA7" s="78">
        <f t="shared" si="3"/>
        <v>0.16881674989898987</v>
      </c>
      <c r="AB7" s="30">
        <v>85</v>
      </c>
      <c r="AC7" s="31">
        <f>U7+U7*AB7/100</f>
        <v>0.34571376509090906</v>
      </c>
      <c r="AD7" s="31">
        <f>AA7+AA7*AB7/100</f>
        <v>0.31231098731313123</v>
      </c>
    </row>
    <row r="8" spans="1:30" ht="14.4" x14ac:dyDescent="0.3">
      <c r="A8" s="15">
        <v>500</v>
      </c>
      <c r="B8" s="7" t="s">
        <v>6</v>
      </c>
      <c r="C8" s="22" t="s">
        <v>17</v>
      </c>
      <c r="D8" s="23">
        <v>17500</v>
      </c>
      <c r="E8" s="24">
        <v>7.0000000000000007E-2</v>
      </c>
      <c r="F8" s="25">
        <v>42</v>
      </c>
      <c r="G8" s="26">
        <f t="shared" si="4"/>
        <v>44.94</v>
      </c>
      <c r="H8" s="27">
        <f t="shared" si="5"/>
        <v>786.45</v>
      </c>
      <c r="I8" s="27">
        <f>C26</f>
        <v>2.08</v>
      </c>
      <c r="J8" s="89">
        <f t="shared" si="6"/>
        <v>1635.8160000000003</v>
      </c>
      <c r="K8" s="84">
        <f>E36</f>
        <v>1.1438383838383839E-3</v>
      </c>
      <c r="L8" s="28">
        <f t="shared" si="0"/>
        <v>20.017171717171717</v>
      </c>
      <c r="M8" s="29">
        <f>A18*B18</f>
        <v>128</v>
      </c>
      <c r="N8" s="29">
        <f>C18</f>
        <v>450</v>
      </c>
      <c r="O8" s="29">
        <f>E18+F18*D18</f>
        <v>17.5</v>
      </c>
      <c r="P8" s="29">
        <f t="shared" si="1"/>
        <v>38.888888888888886</v>
      </c>
      <c r="Q8" s="28">
        <f t="shared" si="7"/>
        <v>680.55555555555554</v>
      </c>
      <c r="R8" s="26">
        <f t="shared" si="8"/>
        <v>2464.3887272727275</v>
      </c>
      <c r="S8" s="26">
        <f>G18</f>
        <v>0.3</v>
      </c>
      <c r="T8" s="26">
        <f t="shared" si="9"/>
        <v>3203.7053454545457</v>
      </c>
      <c r="U8" s="27">
        <f t="shared" si="2"/>
        <v>0.1830688768831169</v>
      </c>
      <c r="V8" s="78">
        <f>E19+F19*D19</f>
        <v>11.25</v>
      </c>
      <c r="W8" s="78">
        <f t="shared" si="10"/>
        <v>437.49999999999994</v>
      </c>
      <c r="X8" s="92">
        <f t="shared" si="11"/>
        <v>2221.3331717171718</v>
      </c>
      <c r="Y8" s="78">
        <f>G18</f>
        <v>0.3</v>
      </c>
      <c r="Z8" s="26">
        <f t="shared" si="12"/>
        <v>2887.7331232323231</v>
      </c>
      <c r="AA8" s="78">
        <f t="shared" si="3"/>
        <v>0.16501332132756133</v>
      </c>
      <c r="AB8" s="30">
        <v>80</v>
      </c>
      <c r="AC8" s="31">
        <f t="shared" ref="AC8:AC14" si="13">U8+U8*AB8/100</f>
        <v>0.32952397838961045</v>
      </c>
      <c r="AD8" s="31">
        <f t="shared" ref="AD8:AD14" si="14">AA8+AA8*AB8/100</f>
        <v>0.29702397838961037</v>
      </c>
    </row>
    <row r="9" spans="1:30" ht="14.4" x14ac:dyDescent="0.3">
      <c r="A9" s="15">
        <v>500</v>
      </c>
      <c r="B9" s="7" t="s">
        <v>7</v>
      </c>
      <c r="C9" s="22" t="s">
        <v>18</v>
      </c>
      <c r="D9" s="23">
        <v>25000</v>
      </c>
      <c r="E9" s="24">
        <v>0.05</v>
      </c>
      <c r="F9" s="25">
        <v>42</v>
      </c>
      <c r="G9" s="26">
        <f t="shared" si="4"/>
        <v>44.1</v>
      </c>
      <c r="H9" s="27">
        <f t="shared" si="5"/>
        <v>1102.5</v>
      </c>
      <c r="I9" s="27">
        <f>C26</f>
        <v>2.08</v>
      </c>
      <c r="J9" s="89">
        <f t="shared" si="6"/>
        <v>2293.2000000000003</v>
      </c>
      <c r="K9" s="84">
        <f>E36</f>
        <v>1.1438383838383839E-3</v>
      </c>
      <c r="L9" s="28">
        <f t="shared" si="0"/>
        <v>28.595959595959599</v>
      </c>
      <c r="M9" s="29">
        <f>A18*B18</f>
        <v>128</v>
      </c>
      <c r="N9" s="29">
        <f>C18</f>
        <v>450</v>
      </c>
      <c r="O9" s="29">
        <f>E18+F18*D18</f>
        <v>17.5</v>
      </c>
      <c r="P9" s="29">
        <f t="shared" si="1"/>
        <v>55.555555555555557</v>
      </c>
      <c r="Q9" s="28">
        <f t="shared" si="7"/>
        <v>972.22222222222229</v>
      </c>
      <c r="R9" s="26">
        <f t="shared" si="8"/>
        <v>3422.0181818181823</v>
      </c>
      <c r="S9" s="26">
        <f>G18</f>
        <v>0.3</v>
      </c>
      <c r="T9" s="26">
        <f t="shared" si="9"/>
        <v>4448.6236363636372</v>
      </c>
      <c r="U9" s="27">
        <f t="shared" si="2"/>
        <v>0.17794494545454548</v>
      </c>
      <c r="V9" s="78">
        <f>E19+F19*D19</f>
        <v>11.25</v>
      </c>
      <c r="W9" s="78">
        <f t="shared" si="10"/>
        <v>625</v>
      </c>
      <c r="X9" s="92">
        <f t="shared" si="11"/>
        <v>3074.7959595959601</v>
      </c>
      <c r="Y9" s="78">
        <f>G18</f>
        <v>0.3</v>
      </c>
      <c r="Z9" s="26">
        <f t="shared" si="12"/>
        <v>3997.234747474748</v>
      </c>
      <c r="AA9" s="78">
        <f t="shared" si="3"/>
        <v>0.15988938989898993</v>
      </c>
      <c r="AB9" s="30">
        <v>75</v>
      </c>
      <c r="AC9" s="31">
        <f t="shared" si="13"/>
        <v>0.3114036545454546</v>
      </c>
      <c r="AD9" s="31">
        <f t="shared" si="14"/>
        <v>0.27980643232323238</v>
      </c>
    </row>
    <row r="10" spans="1:30" ht="14.4" x14ac:dyDescent="0.3">
      <c r="A10" s="15">
        <v>500</v>
      </c>
      <c r="B10" s="7" t="s">
        <v>8</v>
      </c>
      <c r="C10" s="22" t="s">
        <v>19</v>
      </c>
      <c r="D10" s="23">
        <v>35000</v>
      </c>
      <c r="E10" s="24">
        <v>0.05</v>
      </c>
      <c r="F10" s="25">
        <v>42</v>
      </c>
      <c r="G10" s="26">
        <f t="shared" si="4"/>
        <v>44.1</v>
      </c>
      <c r="H10" s="27">
        <f t="shared" si="5"/>
        <v>1543.5</v>
      </c>
      <c r="I10" s="27">
        <f>C26</f>
        <v>2.08</v>
      </c>
      <c r="J10" s="89">
        <f t="shared" si="6"/>
        <v>3210.48</v>
      </c>
      <c r="K10" s="84">
        <f>E36</f>
        <v>1.1438383838383839E-3</v>
      </c>
      <c r="L10" s="28">
        <f t="shared" si="0"/>
        <v>40.034343434343434</v>
      </c>
      <c r="M10" s="29">
        <f>A18*B18</f>
        <v>128</v>
      </c>
      <c r="N10" s="29">
        <f>C18</f>
        <v>450</v>
      </c>
      <c r="O10" s="29">
        <f>E18+F18*D18</f>
        <v>17.5</v>
      </c>
      <c r="P10" s="29">
        <f t="shared" si="1"/>
        <v>77.777777777777771</v>
      </c>
      <c r="Q10" s="28">
        <f t="shared" si="7"/>
        <v>1361.1111111111111</v>
      </c>
      <c r="R10" s="26">
        <f t="shared" si="8"/>
        <v>4739.625454545454</v>
      </c>
      <c r="S10" s="26">
        <f>G18</f>
        <v>0.3</v>
      </c>
      <c r="T10" s="26">
        <f t="shared" si="9"/>
        <v>6161.5130909090904</v>
      </c>
      <c r="U10" s="27">
        <f t="shared" si="2"/>
        <v>0.17604323116883117</v>
      </c>
      <c r="V10" s="78">
        <f>E19+F19*D19</f>
        <v>11.25</v>
      </c>
      <c r="W10" s="78">
        <f t="shared" si="10"/>
        <v>874.99999999999989</v>
      </c>
      <c r="X10" s="92">
        <f t="shared" si="11"/>
        <v>4253.5143434343436</v>
      </c>
      <c r="Y10" s="78">
        <f>G18</f>
        <v>0.3</v>
      </c>
      <c r="Z10" s="26">
        <f t="shared" si="12"/>
        <v>5529.5686464646469</v>
      </c>
      <c r="AA10" s="78">
        <f t="shared" si="3"/>
        <v>0.15798767561327562</v>
      </c>
      <c r="AB10" s="30">
        <v>75</v>
      </c>
      <c r="AC10" s="31">
        <f t="shared" si="13"/>
        <v>0.30807565454545449</v>
      </c>
      <c r="AD10" s="31">
        <f t="shared" si="14"/>
        <v>0.27647843232323233</v>
      </c>
    </row>
    <row r="11" spans="1:30" ht="14.4" x14ac:dyDescent="0.3">
      <c r="A11" s="15">
        <v>500</v>
      </c>
      <c r="B11" s="7" t="s">
        <v>9</v>
      </c>
      <c r="C11" s="22" t="s">
        <v>20</v>
      </c>
      <c r="D11" s="23">
        <v>45000</v>
      </c>
      <c r="E11" s="24">
        <v>0.05</v>
      </c>
      <c r="F11" s="25">
        <v>42</v>
      </c>
      <c r="G11" s="26">
        <f t="shared" si="4"/>
        <v>44.1</v>
      </c>
      <c r="H11" s="27">
        <f t="shared" si="5"/>
        <v>1984.5</v>
      </c>
      <c r="I11" s="27">
        <f>C26</f>
        <v>2.08</v>
      </c>
      <c r="J11" s="89">
        <f t="shared" si="6"/>
        <v>4127.76</v>
      </c>
      <c r="K11" s="84">
        <f>E36</f>
        <v>1.1438383838383839E-3</v>
      </c>
      <c r="L11" s="28">
        <f t="shared" si="0"/>
        <v>51.472727272727276</v>
      </c>
      <c r="M11" s="29">
        <f>A18*B18</f>
        <v>128</v>
      </c>
      <c r="N11" s="29">
        <f>C18</f>
        <v>450</v>
      </c>
      <c r="O11" s="29">
        <f>E18+F18*D18</f>
        <v>17.5</v>
      </c>
      <c r="P11" s="29">
        <f t="shared" si="1"/>
        <v>100</v>
      </c>
      <c r="Q11" s="28">
        <f t="shared" si="7"/>
        <v>1750</v>
      </c>
      <c r="R11" s="26">
        <f t="shared" si="8"/>
        <v>6057.2327272727271</v>
      </c>
      <c r="S11" s="26">
        <f>G18</f>
        <v>0.3</v>
      </c>
      <c r="T11" s="26">
        <f t="shared" si="9"/>
        <v>7874.4025454545454</v>
      </c>
      <c r="U11" s="27">
        <f t="shared" si="2"/>
        <v>0.17498672323232323</v>
      </c>
      <c r="V11" s="78">
        <f>E19+F19*D19</f>
        <v>11.25</v>
      </c>
      <c r="W11" s="78">
        <f t="shared" si="10"/>
        <v>1125</v>
      </c>
      <c r="X11" s="92">
        <f t="shared" si="11"/>
        <v>5432.2327272727271</v>
      </c>
      <c r="Y11" s="78">
        <f>G18</f>
        <v>0.3</v>
      </c>
      <c r="Z11" s="26">
        <f t="shared" si="12"/>
        <v>7061.9025454545454</v>
      </c>
      <c r="AA11" s="78">
        <f t="shared" si="3"/>
        <v>0.15693116767676768</v>
      </c>
      <c r="AB11" s="30">
        <v>70</v>
      </c>
      <c r="AC11" s="31">
        <f t="shared" si="13"/>
        <v>0.29747742949494949</v>
      </c>
      <c r="AD11" s="31">
        <f t="shared" si="14"/>
        <v>0.26678298505050507</v>
      </c>
    </row>
    <row r="12" spans="1:30" ht="14.4" x14ac:dyDescent="0.3">
      <c r="A12" s="15">
        <v>500</v>
      </c>
      <c r="B12" s="7" t="s">
        <v>10</v>
      </c>
      <c r="C12" s="22" t="s">
        <v>21</v>
      </c>
      <c r="D12" s="23">
        <v>75000</v>
      </c>
      <c r="E12" s="24">
        <v>0.05</v>
      </c>
      <c r="F12" s="25">
        <v>42</v>
      </c>
      <c r="G12" s="26">
        <f t="shared" si="4"/>
        <v>44.1</v>
      </c>
      <c r="H12" s="27">
        <f t="shared" si="5"/>
        <v>3307.5</v>
      </c>
      <c r="I12" s="27">
        <f>C26</f>
        <v>2.08</v>
      </c>
      <c r="J12" s="89">
        <f t="shared" si="6"/>
        <v>6879.6</v>
      </c>
      <c r="K12" s="84">
        <f>E36</f>
        <v>1.1438383838383839E-3</v>
      </c>
      <c r="L12" s="28">
        <f t="shared" si="0"/>
        <v>85.787878787878796</v>
      </c>
      <c r="M12" s="29">
        <f>A18*B18</f>
        <v>128</v>
      </c>
      <c r="N12" s="29">
        <f>C18</f>
        <v>450</v>
      </c>
      <c r="O12" s="29">
        <f>E18+F18*D18</f>
        <v>17.5</v>
      </c>
      <c r="P12" s="29">
        <f t="shared" si="1"/>
        <v>166.66666666666666</v>
      </c>
      <c r="Q12" s="28">
        <f>O12*P12</f>
        <v>2916.6666666666665</v>
      </c>
      <c r="R12" s="26">
        <f t="shared" si="8"/>
        <v>10010.054545454546</v>
      </c>
      <c r="S12" s="26">
        <f>G18</f>
        <v>0.3</v>
      </c>
      <c r="T12" s="26">
        <f t="shared" si="9"/>
        <v>13013.070909090909</v>
      </c>
      <c r="U12" s="27">
        <f t="shared" si="2"/>
        <v>0.17350761212121213</v>
      </c>
      <c r="V12" s="78">
        <f>E19+F19*D19</f>
        <v>11.25</v>
      </c>
      <c r="W12" s="78">
        <f t="shared" si="10"/>
        <v>1875</v>
      </c>
      <c r="X12" s="92">
        <f t="shared" si="11"/>
        <v>8968.3878787878784</v>
      </c>
      <c r="Y12" s="78">
        <f>G18</f>
        <v>0.3</v>
      </c>
      <c r="Z12" s="26">
        <f t="shared" si="12"/>
        <v>11658.904242424242</v>
      </c>
      <c r="AA12" s="78">
        <f t="shared" si="3"/>
        <v>0.15545205656565655</v>
      </c>
      <c r="AB12" s="30">
        <v>70</v>
      </c>
      <c r="AC12" s="31">
        <f t="shared" si="13"/>
        <v>0.29496294060606065</v>
      </c>
      <c r="AD12" s="31">
        <f t="shared" si="14"/>
        <v>0.26426849616161613</v>
      </c>
    </row>
    <row r="13" spans="1:30" ht="14.4" x14ac:dyDescent="0.3">
      <c r="A13" s="15">
        <v>500</v>
      </c>
      <c r="B13" s="7" t="s">
        <v>11</v>
      </c>
      <c r="C13" s="22" t="s">
        <v>22</v>
      </c>
      <c r="D13" s="23">
        <v>125000</v>
      </c>
      <c r="E13" s="24">
        <v>0.03</v>
      </c>
      <c r="F13" s="25">
        <v>42</v>
      </c>
      <c r="G13" s="26">
        <f t="shared" si="4"/>
        <v>43.26</v>
      </c>
      <c r="H13" s="27">
        <f t="shared" si="5"/>
        <v>5407.5</v>
      </c>
      <c r="I13" s="27">
        <f>C26</f>
        <v>2.08</v>
      </c>
      <c r="J13" s="89">
        <f t="shared" si="6"/>
        <v>11247.6</v>
      </c>
      <c r="K13" s="84">
        <f>E36</f>
        <v>1.1438383838383839E-3</v>
      </c>
      <c r="L13" s="28">
        <f t="shared" si="0"/>
        <v>142.97979797979798</v>
      </c>
      <c r="M13" s="29">
        <f>A18*B18</f>
        <v>128</v>
      </c>
      <c r="N13" s="29">
        <f>C18</f>
        <v>450</v>
      </c>
      <c r="O13" s="29">
        <f>E18+F18*D18</f>
        <v>17.5</v>
      </c>
      <c r="P13" s="29">
        <f t="shared" si="1"/>
        <v>277.77777777777777</v>
      </c>
      <c r="Q13" s="28">
        <f t="shared" si="7"/>
        <v>4861.1111111111113</v>
      </c>
      <c r="R13" s="26">
        <f t="shared" si="8"/>
        <v>16379.69090909091</v>
      </c>
      <c r="S13" s="26">
        <f>G18</f>
        <v>0.3</v>
      </c>
      <c r="T13" s="26">
        <f t="shared" si="9"/>
        <v>21293.598181818183</v>
      </c>
      <c r="U13" s="27">
        <f t="shared" si="2"/>
        <v>0.17034878545454546</v>
      </c>
      <c r="V13" s="78">
        <f>E19+F19*D19</f>
        <v>11.25</v>
      </c>
      <c r="W13" s="78">
        <f t="shared" si="10"/>
        <v>3125</v>
      </c>
      <c r="X13" s="92">
        <f t="shared" si="11"/>
        <v>14643.579797979799</v>
      </c>
      <c r="Y13" s="78">
        <f>G18</f>
        <v>0.3</v>
      </c>
      <c r="Z13" s="26">
        <f t="shared" si="12"/>
        <v>19036.653737373737</v>
      </c>
      <c r="AA13" s="78">
        <f t="shared" si="3"/>
        <v>0.15229322989898991</v>
      </c>
      <c r="AB13" s="30">
        <v>65</v>
      </c>
      <c r="AC13" s="31">
        <f t="shared" si="13"/>
        <v>0.28107549599999998</v>
      </c>
      <c r="AD13" s="31">
        <f t="shared" si="14"/>
        <v>0.25128382933333338</v>
      </c>
    </row>
    <row r="14" spans="1:30" ht="15" thickBot="1" x14ac:dyDescent="0.35">
      <c r="A14" s="15">
        <v>500</v>
      </c>
      <c r="B14" s="7" t="s">
        <v>12</v>
      </c>
      <c r="C14" s="22" t="s">
        <v>23</v>
      </c>
      <c r="D14" s="23">
        <v>200000</v>
      </c>
      <c r="E14" s="24">
        <v>0.03</v>
      </c>
      <c r="F14" s="25">
        <v>42</v>
      </c>
      <c r="G14" s="26">
        <f t="shared" si="4"/>
        <v>43.26</v>
      </c>
      <c r="H14" s="27">
        <f t="shared" si="5"/>
        <v>8652</v>
      </c>
      <c r="I14" s="27">
        <f>C26</f>
        <v>2.08</v>
      </c>
      <c r="J14" s="89">
        <f t="shared" si="6"/>
        <v>17996.16</v>
      </c>
      <c r="K14" s="84">
        <f>E36</f>
        <v>1.1438383838383839E-3</v>
      </c>
      <c r="L14" s="28">
        <f t="shared" si="0"/>
        <v>228.76767676767679</v>
      </c>
      <c r="M14" s="29">
        <f>A18*B18</f>
        <v>128</v>
      </c>
      <c r="N14" s="29">
        <f>C18</f>
        <v>450</v>
      </c>
      <c r="O14" s="29">
        <f>E18+F18*D18</f>
        <v>17.5</v>
      </c>
      <c r="P14" s="29">
        <f t="shared" si="1"/>
        <v>444.44444444444446</v>
      </c>
      <c r="Q14" s="28">
        <f t="shared" si="7"/>
        <v>7777.7777777777783</v>
      </c>
      <c r="R14" s="26">
        <f t="shared" si="8"/>
        <v>26130.705454545456</v>
      </c>
      <c r="S14" s="26">
        <f>G18</f>
        <v>0.3</v>
      </c>
      <c r="T14" s="26">
        <f t="shared" si="9"/>
        <v>33969.91709090909</v>
      </c>
      <c r="U14" s="27">
        <f t="shared" si="2"/>
        <v>0.16984958545454545</v>
      </c>
      <c r="V14" s="78">
        <f>E19+F19*D19</f>
        <v>11.25</v>
      </c>
      <c r="W14" s="78">
        <f t="shared" si="10"/>
        <v>5000</v>
      </c>
      <c r="X14" s="92">
        <f t="shared" si="11"/>
        <v>23352.927676767678</v>
      </c>
      <c r="Y14" s="78">
        <f>G18</f>
        <v>0.3</v>
      </c>
      <c r="Z14" s="26">
        <f t="shared" si="12"/>
        <v>30358.80597979798</v>
      </c>
      <c r="AA14" s="78">
        <f t="shared" si="3"/>
        <v>0.15179402989898991</v>
      </c>
      <c r="AB14" s="30">
        <v>60</v>
      </c>
      <c r="AC14" s="32">
        <f t="shared" si="13"/>
        <v>0.2717593367272727</v>
      </c>
      <c r="AD14" s="32">
        <f t="shared" si="14"/>
        <v>0.24287044783838385</v>
      </c>
    </row>
    <row r="15" spans="1:30" ht="14.4" thickBot="1" x14ac:dyDescent="0.35"/>
    <row r="16" spans="1:30" x14ac:dyDescent="0.3">
      <c r="A16" s="33" t="s">
        <v>27</v>
      </c>
      <c r="B16" s="34"/>
      <c r="C16" s="34"/>
      <c r="D16" s="34"/>
      <c r="E16" s="34"/>
      <c r="F16" s="34"/>
      <c r="G16" s="35"/>
      <c r="AC16" s="80"/>
    </row>
    <row r="17" spans="1:12" x14ac:dyDescent="0.3">
      <c r="A17" s="36" t="s">
        <v>28</v>
      </c>
      <c r="B17" s="37" t="s">
        <v>29</v>
      </c>
      <c r="C17" s="37" t="s">
        <v>30</v>
      </c>
      <c r="D17" s="37" t="s">
        <v>31</v>
      </c>
      <c r="E17" s="37" t="s">
        <v>32</v>
      </c>
      <c r="F17" s="37" t="s">
        <v>33</v>
      </c>
      <c r="G17" s="38" t="s">
        <v>34</v>
      </c>
      <c r="J17" s="39"/>
      <c r="K17" s="85"/>
      <c r="L17" s="14" t="s">
        <v>59</v>
      </c>
    </row>
    <row r="18" spans="1:12" ht="14.4" thickBot="1" x14ac:dyDescent="0.35">
      <c r="A18" s="40">
        <v>4</v>
      </c>
      <c r="B18" s="41">
        <v>32</v>
      </c>
      <c r="C18" s="41">
        <v>450</v>
      </c>
      <c r="D18" s="41">
        <v>0.5</v>
      </c>
      <c r="E18" s="41">
        <v>5</v>
      </c>
      <c r="F18" s="42">
        <v>25</v>
      </c>
      <c r="G18" s="43">
        <v>0.3</v>
      </c>
    </row>
    <row r="19" spans="1:12" ht="14.4" thickBot="1" x14ac:dyDescent="0.35">
      <c r="A19" s="40">
        <v>4</v>
      </c>
      <c r="B19" s="41">
        <v>32</v>
      </c>
      <c r="C19" s="41">
        <v>450</v>
      </c>
      <c r="D19" s="41">
        <v>0.25</v>
      </c>
      <c r="E19" s="41">
        <v>5</v>
      </c>
      <c r="F19" s="42">
        <v>25</v>
      </c>
      <c r="G19" s="43">
        <v>0.3</v>
      </c>
    </row>
    <row r="20" spans="1:12" ht="14.4" thickBot="1" x14ac:dyDescent="0.35">
      <c r="J20" s="44"/>
      <c r="K20" s="86"/>
      <c r="L20" s="14" t="s">
        <v>60</v>
      </c>
    </row>
    <row r="21" spans="1:12" x14ac:dyDescent="0.3">
      <c r="A21" s="45" t="s">
        <v>35</v>
      </c>
      <c r="B21" s="46"/>
      <c r="C21" s="46" t="s">
        <v>36</v>
      </c>
      <c r="D21" s="47" t="s">
        <v>37</v>
      </c>
    </row>
    <row r="22" spans="1:12" x14ac:dyDescent="0.3">
      <c r="A22" s="48" t="s">
        <v>40</v>
      </c>
      <c r="B22" s="49">
        <v>2</v>
      </c>
      <c r="C22" s="50">
        <v>96</v>
      </c>
      <c r="D22" s="51"/>
    </row>
    <row r="23" spans="1:12" x14ac:dyDescent="0.3">
      <c r="A23" s="48" t="s">
        <v>40</v>
      </c>
      <c r="B23" s="49">
        <v>4</v>
      </c>
      <c r="C23" s="50">
        <v>4</v>
      </c>
      <c r="D23" s="51"/>
    </row>
    <row r="24" spans="1:12" x14ac:dyDescent="0.3">
      <c r="A24" s="48" t="s">
        <v>40</v>
      </c>
      <c r="B24" s="49">
        <v>0</v>
      </c>
      <c r="C24" s="50"/>
      <c r="D24" s="51"/>
    </row>
    <row r="25" spans="1:12" ht="14.4" thickBot="1" x14ac:dyDescent="0.35">
      <c r="A25" s="48" t="s">
        <v>44</v>
      </c>
      <c r="B25" s="49">
        <v>0</v>
      </c>
      <c r="C25" s="50"/>
      <c r="D25" s="51"/>
    </row>
    <row r="26" spans="1:12" ht="14.4" thickBot="1" x14ac:dyDescent="0.35">
      <c r="A26" s="52" t="s">
        <v>45</v>
      </c>
      <c r="B26" s="53">
        <f>SUM(B22:B25)</f>
        <v>6</v>
      </c>
      <c r="C26" s="54">
        <f>(B22*C22/100)+(B23*C23/100)+(B24*C24/100)+(B25*C25/100)</f>
        <v>2.08</v>
      </c>
      <c r="D26" s="55" t="s">
        <v>62</v>
      </c>
    </row>
    <row r="27" spans="1:12" ht="14.4" thickBot="1" x14ac:dyDescent="0.35"/>
    <row r="28" spans="1:12" x14ac:dyDescent="0.3">
      <c r="A28" s="56" t="s">
        <v>38</v>
      </c>
      <c r="B28" s="57"/>
      <c r="C28" s="58"/>
      <c r="D28" s="59" t="s">
        <v>39</v>
      </c>
      <c r="E28" s="60" t="s">
        <v>97</v>
      </c>
    </row>
    <row r="29" spans="1:12" x14ac:dyDescent="0.3">
      <c r="A29" s="61" t="s">
        <v>42</v>
      </c>
      <c r="B29" s="62">
        <v>1100</v>
      </c>
      <c r="C29" s="63"/>
      <c r="D29" s="64"/>
      <c r="E29" s="65"/>
    </row>
    <row r="30" spans="1:12" x14ac:dyDescent="0.3">
      <c r="A30" s="61" t="s">
        <v>86</v>
      </c>
      <c r="B30" s="62">
        <v>9</v>
      </c>
      <c r="C30" s="63" t="s">
        <v>41</v>
      </c>
      <c r="D30" s="66">
        <v>0.68100000000000005</v>
      </c>
      <c r="E30" s="65">
        <f>D30*B30</f>
        <v>6.1290000000000004</v>
      </c>
    </row>
    <row r="31" spans="1:12" x14ac:dyDescent="0.3">
      <c r="A31" s="61" t="s">
        <v>87</v>
      </c>
      <c r="B31" s="62">
        <f>B30*B29</f>
        <v>9900</v>
      </c>
      <c r="C31" s="67"/>
      <c r="D31" s="68"/>
      <c r="E31" s="65"/>
    </row>
    <row r="32" spans="1:12" x14ac:dyDescent="0.3">
      <c r="A32" s="61" t="s">
        <v>88</v>
      </c>
      <c r="B32" s="62">
        <v>9</v>
      </c>
      <c r="C32" s="63" t="s">
        <v>43</v>
      </c>
      <c r="D32" s="69">
        <v>0.13800000000000001</v>
      </c>
      <c r="E32" s="65">
        <f>D32*B32</f>
        <v>1.242</v>
      </c>
    </row>
    <row r="33" spans="1:5" x14ac:dyDescent="0.3">
      <c r="A33" s="61" t="s">
        <v>46</v>
      </c>
      <c r="B33" s="62">
        <f>B32*5</f>
        <v>45</v>
      </c>
      <c r="C33" s="63" t="s">
        <v>47</v>
      </c>
      <c r="D33" s="66">
        <v>4.3400000000000001E-2</v>
      </c>
      <c r="E33" s="65">
        <f>D33*B33</f>
        <v>1.9530000000000001</v>
      </c>
    </row>
    <row r="34" spans="1:5" ht="14.4" thickBot="1" x14ac:dyDescent="0.35">
      <c r="A34" s="70" t="s">
        <v>48</v>
      </c>
      <c r="B34" s="71" t="s">
        <v>49</v>
      </c>
      <c r="C34" s="72" t="s">
        <v>50</v>
      </c>
      <c r="D34" s="73">
        <v>2</v>
      </c>
      <c r="E34" s="74">
        <f>D34</f>
        <v>2</v>
      </c>
    </row>
    <row r="35" spans="1:5" ht="14.4" thickBot="1" x14ac:dyDescent="0.35">
      <c r="E35" s="75">
        <f>SUM(E29:E34)</f>
        <v>11.324</v>
      </c>
    </row>
    <row r="36" spans="1:5" ht="14.4" thickBot="1" x14ac:dyDescent="0.35">
      <c r="D36" s="76" t="s">
        <v>98</v>
      </c>
      <c r="E36" s="77">
        <f>E35/B31</f>
        <v>1.1438383838383839E-3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F3B18-1D23-4384-B347-B56664B5711C}">
  <dimension ref="A2:AD36"/>
  <sheetViews>
    <sheetView topLeftCell="G1" workbookViewId="0">
      <selection activeCell="T4" sqref="T4:T14"/>
    </sheetView>
  </sheetViews>
  <sheetFormatPr defaultColWidth="9.109375" defaultRowHeight="13.8" x14ac:dyDescent="0.3"/>
  <cols>
    <col min="1" max="1" width="28.6640625" style="14" bestFit="1" customWidth="1"/>
    <col min="2" max="2" width="10.109375" style="14" bestFit="1" customWidth="1"/>
    <col min="3" max="3" width="21" style="14" bestFit="1" customWidth="1"/>
    <col min="4" max="4" width="12.44140625" style="14" bestFit="1" customWidth="1"/>
    <col min="5" max="5" width="21" style="14" bestFit="1" customWidth="1"/>
    <col min="6" max="6" width="14.88671875" style="14" bestFit="1" customWidth="1"/>
    <col min="7" max="7" width="23.5546875" style="14" bestFit="1" customWidth="1"/>
    <col min="8" max="8" width="18.6640625" style="14" customWidth="1"/>
    <col min="9" max="9" width="0.109375" style="14" customWidth="1"/>
    <col min="10" max="10" width="9.5546875" style="14" bestFit="1" customWidth="1"/>
    <col min="11" max="11" width="15.33203125" style="82" customWidth="1"/>
    <col min="12" max="12" width="17.5546875" style="14" bestFit="1" customWidth="1"/>
    <col min="13" max="13" width="19.33203125" style="14" customWidth="1"/>
    <col min="14" max="14" width="9.109375" style="14" customWidth="1"/>
    <col min="15" max="15" width="22.88671875" style="14" customWidth="1"/>
    <col min="16" max="16" width="11.88671875" style="14" customWidth="1"/>
    <col min="17" max="17" width="23.5546875" style="14" bestFit="1" customWidth="1"/>
    <col min="18" max="18" width="24.33203125" style="14" customWidth="1"/>
    <col min="19" max="19" width="11" style="14" customWidth="1"/>
    <col min="20" max="20" width="35.5546875" style="14" bestFit="1" customWidth="1"/>
    <col min="21" max="21" width="14.6640625" style="14" bestFit="1" customWidth="1"/>
    <col min="22" max="27" width="14.6640625" style="14" customWidth="1"/>
    <col min="28" max="28" width="16.5546875" style="14" bestFit="1" customWidth="1"/>
    <col min="29" max="29" width="17.44140625" style="14" bestFit="1" customWidth="1"/>
    <col min="30" max="30" width="11.88671875" style="14" bestFit="1" customWidth="1"/>
    <col min="31" max="16384" width="9.109375" style="14"/>
  </cols>
  <sheetData>
    <row r="2" spans="1:30" ht="14.4" thickBot="1" x14ac:dyDescent="0.35"/>
    <row r="3" spans="1:30" ht="74.25" customHeight="1" thickBot="1" x14ac:dyDescent="0.35">
      <c r="A3" s="15" t="s">
        <v>57</v>
      </c>
      <c r="B3" s="15" t="s">
        <v>24</v>
      </c>
      <c r="C3" s="15" t="s">
        <v>25</v>
      </c>
      <c r="D3" s="15" t="s">
        <v>26</v>
      </c>
      <c r="E3" s="15" t="s">
        <v>55</v>
      </c>
      <c r="F3" s="15" t="s">
        <v>58</v>
      </c>
      <c r="G3" s="16" t="s">
        <v>51</v>
      </c>
      <c r="H3" s="17" t="s">
        <v>52</v>
      </c>
      <c r="I3" s="17" t="s">
        <v>61</v>
      </c>
      <c r="J3" s="90" t="s">
        <v>53</v>
      </c>
      <c r="K3" s="83" t="s">
        <v>99</v>
      </c>
      <c r="L3" s="18" t="s">
        <v>96</v>
      </c>
      <c r="M3" s="19" t="s">
        <v>54</v>
      </c>
      <c r="N3" s="19" t="s">
        <v>100</v>
      </c>
      <c r="O3" s="19" t="s">
        <v>108</v>
      </c>
      <c r="P3" s="19" t="s">
        <v>101</v>
      </c>
      <c r="Q3" s="91" t="s">
        <v>116</v>
      </c>
      <c r="R3" s="87" t="s">
        <v>107</v>
      </c>
      <c r="S3" s="88" t="s">
        <v>102</v>
      </c>
      <c r="T3" s="87" t="s">
        <v>104</v>
      </c>
      <c r="U3" s="87" t="s">
        <v>105</v>
      </c>
      <c r="V3" s="19" t="s">
        <v>109</v>
      </c>
      <c r="W3" s="20" t="s">
        <v>110</v>
      </c>
      <c r="X3" s="20"/>
      <c r="Y3" s="20"/>
      <c r="Z3" s="20" t="s">
        <v>111</v>
      </c>
      <c r="AA3" s="20" t="s">
        <v>112</v>
      </c>
      <c r="AB3" s="20" t="s">
        <v>103</v>
      </c>
      <c r="AC3" s="79" t="s">
        <v>106</v>
      </c>
      <c r="AD3" s="21" t="s">
        <v>113</v>
      </c>
    </row>
    <row r="4" spans="1:30" ht="14.4" x14ac:dyDescent="0.3">
      <c r="A4" s="15">
        <v>500</v>
      </c>
      <c r="B4" s="7" t="s">
        <v>2</v>
      </c>
      <c r="C4" s="22" t="s">
        <v>13</v>
      </c>
      <c r="D4" s="23">
        <v>2000</v>
      </c>
      <c r="E4" s="24">
        <v>0.1</v>
      </c>
      <c r="F4" s="25">
        <v>42</v>
      </c>
      <c r="G4" s="26">
        <f>F4+F4*E4</f>
        <v>46.2</v>
      </c>
      <c r="H4" s="27">
        <f>(G4*D4)/1000</f>
        <v>92.4</v>
      </c>
      <c r="I4" s="27">
        <f>C26</f>
        <v>2.52</v>
      </c>
      <c r="J4" s="89">
        <f>H4*I4</f>
        <v>232.84800000000001</v>
      </c>
      <c r="K4" s="84">
        <f>E36</f>
        <v>1.1438383838383839E-3</v>
      </c>
      <c r="L4" s="28">
        <f t="shared" ref="L4:L14" si="0">K4*D4</f>
        <v>2.2876767676767678</v>
      </c>
      <c r="M4" s="29">
        <f>A18*B18</f>
        <v>128</v>
      </c>
      <c r="N4" s="29">
        <f>C18</f>
        <v>450</v>
      </c>
      <c r="O4" s="29">
        <f>E18+F18*D18</f>
        <v>17.5</v>
      </c>
      <c r="P4" s="29">
        <f t="shared" ref="P4:P14" si="1">D4/N4</f>
        <v>4.4444444444444446</v>
      </c>
      <c r="Q4" s="28">
        <f>O4*P4</f>
        <v>77.777777777777786</v>
      </c>
      <c r="R4" s="26">
        <f>Q4+L4+J4+M4</f>
        <v>440.91345454545456</v>
      </c>
      <c r="S4" s="26">
        <f>G18</f>
        <v>0.3</v>
      </c>
      <c r="T4" s="26">
        <f>R4+R4*S4</f>
        <v>573.18749090909091</v>
      </c>
      <c r="U4" s="27">
        <f t="shared" ref="U4:U14" si="2">T4/D4</f>
        <v>0.28659374545454547</v>
      </c>
      <c r="V4" s="78">
        <f>E19+F19*D19</f>
        <v>11.25</v>
      </c>
      <c r="W4" s="78">
        <f>V4*P4</f>
        <v>50</v>
      </c>
      <c r="X4" s="92">
        <f>W4+M4+L4+J4</f>
        <v>413.13567676767678</v>
      </c>
      <c r="Y4" s="78">
        <f>G18</f>
        <v>0.3</v>
      </c>
      <c r="Z4" s="26">
        <f>X4+X4*Y4</f>
        <v>537.07637979797983</v>
      </c>
      <c r="AA4" s="78">
        <f t="shared" ref="AA4:AA14" si="3">Z4/D4</f>
        <v>0.26853818989898992</v>
      </c>
      <c r="AB4" s="30">
        <v>180</v>
      </c>
      <c r="AC4" s="81">
        <f>U4*2+(U4*2*80/100)</f>
        <v>1.0317374836363638</v>
      </c>
      <c r="AD4" s="81">
        <f>AA4*2+(AA4*2*80/100)</f>
        <v>0.96673748363636369</v>
      </c>
    </row>
    <row r="5" spans="1:30" ht="14.4" x14ac:dyDescent="0.3">
      <c r="A5" s="15">
        <v>500</v>
      </c>
      <c r="B5" s="7" t="s">
        <v>3</v>
      </c>
      <c r="C5" s="22" t="s">
        <v>14</v>
      </c>
      <c r="D5" s="23">
        <v>4000</v>
      </c>
      <c r="E5" s="24">
        <v>0.1</v>
      </c>
      <c r="F5" s="25">
        <v>42</v>
      </c>
      <c r="G5" s="26">
        <f t="shared" ref="G5:G14" si="4">F5+F5*E5</f>
        <v>46.2</v>
      </c>
      <c r="H5" s="27">
        <f t="shared" ref="H5:H14" si="5">(G5*D5)/1000</f>
        <v>184.8</v>
      </c>
      <c r="I5" s="27">
        <f>C26</f>
        <v>2.52</v>
      </c>
      <c r="J5" s="89">
        <f t="shared" ref="J5:J14" si="6">H5*I5</f>
        <v>465.69600000000003</v>
      </c>
      <c r="K5" s="84">
        <f>E36</f>
        <v>1.1438383838383839E-3</v>
      </c>
      <c r="L5" s="28">
        <f t="shared" si="0"/>
        <v>4.5753535353535355</v>
      </c>
      <c r="M5" s="29">
        <f>A18*B18</f>
        <v>128</v>
      </c>
      <c r="N5" s="29">
        <f>C18</f>
        <v>450</v>
      </c>
      <c r="O5" s="29">
        <f>E18+F18*D18</f>
        <v>17.5</v>
      </c>
      <c r="P5" s="29">
        <f t="shared" si="1"/>
        <v>8.8888888888888893</v>
      </c>
      <c r="Q5" s="28">
        <f t="shared" ref="Q5:Q14" si="7">O5*P5</f>
        <v>155.55555555555557</v>
      </c>
      <c r="R5" s="26">
        <f t="shared" ref="R5:R14" si="8">Q5+L5+J5+M5</f>
        <v>753.82690909090911</v>
      </c>
      <c r="S5" s="26">
        <f>G18</f>
        <v>0.3</v>
      </c>
      <c r="T5" s="26">
        <f t="shared" ref="T5:T14" si="9">R5+R5*S5</f>
        <v>979.97498181818185</v>
      </c>
      <c r="U5" s="27">
        <f t="shared" si="2"/>
        <v>0.24499374545454547</v>
      </c>
      <c r="V5" s="78">
        <f>E19+F19*D19</f>
        <v>11.25</v>
      </c>
      <c r="W5" s="78">
        <f t="shared" ref="W5:W14" si="10">V5*P5</f>
        <v>100</v>
      </c>
      <c r="X5" s="92">
        <f t="shared" ref="X5:X14" si="11">W5+M5+L5+J5</f>
        <v>698.27135353535357</v>
      </c>
      <c r="Y5" s="78">
        <f>G18</f>
        <v>0.3</v>
      </c>
      <c r="Z5" s="26">
        <f t="shared" ref="Z5:Z14" si="12">X5+X5*Y5</f>
        <v>907.75275959595967</v>
      </c>
      <c r="AA5" s="78">
        <f t="shared" si="3"/>
        <v>0.22693818989898992</v>
      </c>
      <c r="AB5" s="30">
        <v>160</v>
      </c>
      <c r="AC5" s="31">
        <f>U5*2+(U5*2*80/100)</f>
        <v>0.88197748363636364</v>
      </c>
      <c r="AD5" s="31">
        <f>AA5*2+(AA5*2*80/100)</f>
        <v>0.81697748363636369</v>
      </c>
    </row>
    <row r="6" spans="1:30" ht="14.4" x14ac:dyDescent="0.3">
      <c r="A6" s="15">
        <v>500</v>
      </c>
      <c r="B6" s="7" t="s">
        <v>4</v>
      </c>
      <c r="C6" s="22" t="s">
        <v>15</v>
      </c>
      <c r="D6" s="23">
        <v>7500</v>
      </c>
      <c r="E6" s="24">
        <v>7.0000000000000007E-2</v>
      </c>
      <c r="F6" s="25">
        <v>42</v>
      </c>
      <c r="G6" s="26">
        <f t="shared" si="4"/>
        <v>44.94</v>
      </c>
      <c r="H6" s="27">
        <f t="shared" si="5"/>
        <v>337.05</v>
      </c>
      <c r="I6" s="27">
        <f>C26</f>
        <v>2.52</v>
      </c>
      <c r="J6" s="89">
        <f t="shared" si="6"/>
        <v>849.36599999999999</v>
      </c>
      <c r="K6" s="84">
        <f>E36</f>
        <v>1.1438383838383839E-3</v>
      </c>
      <c r="L6" s="28">
        <f t="shared" si="0"/>
        <v>8.57878787878788</v>
      </c>
      <c r="M6" s="29">
        <f>A18*B18</f>
        <v>128</v>
      </c>
      <c r="N6" s="29">
        <f>C18</f>
        <v>450</v>
      </c>
      <c r="O6" s="29">
        <f>E18+F18*D18</f>
        <v>17.5</v>
      </c>
      <c r="P6" s="29">
        <f t="shared" si="1"/>
        <v>16.666666666666668</v>
      </c>
      <c r="Q6" s="28">
        <f t="shared" si="7"/>
        <v>291.66666666666669</v>
      </c>
      <c r="R6" s="26">
        <f t="shared" si="8"/>
        <v>1277.6114545454545</v>
      </c>
      <c r="S6" s="26">
        <f>G18</f>
        <v>0.3</v>
      </c>
      <c r="T6" s="26">
        <f t="shared" si="9"/>
        <v>1660.8948909090909</v>
      </c>
      <c r="U6" s="27">
        <f t="shared" si="2"/>
        <v>0.22145265212121212</v>
      </c>
      <c r="V6" s="78">
        <f>E19+F19*D19</f>
        <v>11.25</v>
      </c>
      <c r="W6" s="78">
        <f t="shared" si="10"/>
        <v>187.5</v>
      </c>
      <c r="X6" s="92">
        <f t="shared" si="11"/>
        <v>1173.4447878787878</v>
      </c>
      <c r="Y6" s="78">
        <f>G18</f>
        <v>0.3</v>
      </c>
      <c r="Z6" s="26">
        <f t="shared" si="12"/>
        <v>1525.4782242424242</v>
      </c>
      <c r="AA6" s="78">
        <f t="shared" si="3"/>
        <v>0.20339709656565655</v>
      </c>
      <c r="AB6" s="30">
        <v>140</v>
      </c>
      <c r="AC6" s="31">
        <f>U6*2+(U6*2*80/100)</f>
        <v>0.79722954763636367</v>
      </c>
      <c r="AD6" s="31">
        <f>AA6*2+(AA6*2*80/100)</f>
        <v>0.73222954763636361</v>
      </c>
    </row>
    <row r="7" spans="1:30" ht="14.4" x14ac:dyDescent="0.3">
      <c r="A7" s="15">
        <v>500</v>
      </c>
      <c r="B7" s="7" t="s">
        <v>5</v>
      </c>
      <c r="C7" s="22" t="s">
        <v>16</v>
      </c>
      <c r="D7" s="23">
        <v>12500</v>
      </c>
      <c r="E7" s="24">
        <v>7.0000000000000007E-2</v>
      </c>
      <c r="F7" s="25">
        <v>42</v>
      </c>
      <c r="G7" s="26">
        <f t="shared" si="4"/>
        <v>44.94</v>
      </c>
      <c r="H7" s="27">
        <f t="shared" si="5"/>
        <v>561.75</v>
      </c>
      <c r="I7" s="27">
        <f>C26</f>
        <v>2.52</v>
      </c>
      <c r="J7" s="89">
        <f t="shared" si="6"/>
        <v>1415.61</v>
      </c>
      <c r="K7" s="84">
        <f>E36</f>
        <v>1.1438383838383839E-3</v>
      </c>
      <c r="L7" s="28">
        <f t="shared" si="0"/>
        <v>14.297979797979799</v>
      </c>
      <c r="M7" s="29">
        <f>A18*B18</f>
        <v>128</v>
      </c>
      <c r="N7" s="29">
        <f>C18</f>
        <v>450</v>
      </c>
      <c r="O7" s="29">
        <f>E18+F18*D18</f>
        <v>17.5</v>
      </c>
      <c r="P7" s="29">
        <f t="shared" si="1"/>
        <v>27.777777777777779</v>
      </c>
      <c r="Q7" s="28">
        <f t="shared" si="7"/>
        <v>486.11111111111114</v>
      </c>
      <c r="R7" s="26">
        <f t="shared" si="8"/>
        <v>2044.0190909090909</v>
      </c>
      <c r="S7" s="26">
        <f>G18</f>
        <v>0.3</v>
      </c>
      <c r="T7" s="26">
        <f t="shared" si="9"/>
        <v>2657.2248181818181</v>
      </c>
      <c r="U7" s="27">
        <f t="shared" si="2"/>
        <v>0.21257798545454545</v>
      </c>
      <c r="V7" s="78">
        <f>E19+F19*D19</f>
        <v>11.25</v>
      </c>
      <c r="W7" s="78">
        <f t="shared" si="10"/>
        <v>312.5</v>
      </c>
      <c r="X7" s="92">
        <f t="shared" si="11"/>
        <v>1870.4079797979798</v>
      </c>
      <c r="Y7" s="78">
        <f>G18</f>
        <v>0.3</v>
      </c>
      <c r="Z7" s="26">
        <f t="shared" si="12"/>
        <v>2431.5303737373738</v>
      </c>
      <c r="AA7" s="78">
        <f t="shared" si="3"/>
        <v>0.19452242989898991</v>
      </c>
      <c r="AB7" s="30">
        <v>85</v>
      </c>
      <c r="AC7" s="31">
        <f>U7+U7*AB7/100</f>
        <v>0.39326927309090909</v>
      </c>
      <c r="AD7" s="31">
        <f>AA7+AA7*AB7/100</f>
        <v>0.35986649531313131</v>
      </c>
    </row>
    <row r="8" spans="1:30" ht="14.4" x14ac:dyDescent="0.3">
      <c r="A8" s="15">
        <v>500</v>
      </c>
      <c r="B8" s="7" t="s">
        <v>6</v>
      </c>
      <c r="C8" s="22" t="s">
        <v>17</v>
      </c>
      <c r="D8" s="23">
        <v>17500</v>
      </c>
      <c r="E8" s="24">
        <v>7.0000000000000007E-2</v>
      </c>
      <c r="F8" s="25">
        <v>42</v>
      </c>
      <c r="G8" s="26">
        <f t="shared" si="4"/>
        <v>44.94</v>
      </c>
      <c r="H8" s="27">
        <f t="shared" si="5"/>
        <v>786.45</v>
      </c>
      <c r="I8" s="27">
        <f>C26</f>
        <v>2.52</v>
      </c>
      <c r="J8" s="89">
        <f t="shared" si="6"/>
        <v>1981.854</v>
      </c>
      <c r="K8" s="84">
        <f>E36</f>
        <v>1.1438383838383839E-3</v>
      </c>
      <c r="L8" s="28">
        <f t="shared" si="0"/>
        <v>20.017171717171717</v>
      </c>
      <c r="M8" s="29">
        <f>A18*B18</f>
        <v>128</v>
      </c>
      <c r="N8" s="29">
        <f>C18</f>
        <v>450</v>
      </c>
      <c r="O8" s="29">
        <f>E18+F18*D18</f>
        <v>17.5</v>
      </c>
      <c r="P8" s="29">
        <f t="shared" si="1"/>
        <v>38.888888888888886</v>
      </c>
      <c r="Q8" s="28">
        <f t="shared" si="7"/>
        <v>680.55555555555554</v>
      </c>
      <c r="R8" s="26">
        <f t="shared" si="8"/>
        <v>2810.4267272727275</v>
      </c>
      <c r="S8" s="26">
        <f>G18</f>
        <v>0.3</v>
      </c>
      <c r="T8" s="26">
        <f t="shared" si="9"/>
        <v>3653.5547454545458</v>
      </c>
      <c r="U8" s="27">
        <f t="shared" si="2"/>
        <v>0.20877455688311691</v>
      </c>
      <c r="V8" s="78">
        <f>E19+F19*D19</f>
        <v>11.25</v>
      </c>
      <c r="W8" s="78">
        <f t="shared" si="10"/>
        <v>437.49999999999994</v>
      </c>
      <c r="X8" s="92">
        <f t="shared" si="11"/>
        <v>2567.3711717171718</v>
      </c>
      <c r="Y8" s="78">
        <f>G18</f>
        <v>0.3</v>
      </c>
      <c r="Z8" s="26">
        <f t="shared" si="12"/>
        <v>3337.5825232323232</v>
      </c>
      <c r="AA8" s="78">
        <f t="shared" si="3"/>
        <v>0.19071900132756134</v>
      </c>
      <c r="AB8" s="30">
        <v>80</v>
      </c>
      <c r="AC8" s="31">
        <f t="shared" ref="AC8:AC14" si="13">U8+U8*AB8/100</f>
        <v>0.37579420238961048</v>
      </c>
      <c r="AD8" s="31">
        <f t="shared" ref="AD8:AD14" si="14">AA8+AA8*AB8/100</f>
        <v>0.34329420238961039</v>
      </c>
    </row>
    <row r="9" spans="1:30" ht="14.4" x14ac:dyDescent="0.3">
      <c r="A9" s="15">
        <v>500</v>
      </c>
      <c r="B9" s="7" t="s">
        <v>7</v>
      </c>
      <c r="C9" s="22" t="s">
        <v>18</v>
      </c>
      <c r="D9" s="23">
        <v>25000</v>
      </c>
      <c r="E9" s="24">
        <v>0.05</v>
      </c>
      <c r="F9" s="25">
        <v>42</v>
      </c>
      <c r="G9" s="26">
        <f t="shared" si="4"/>
        <v>44.1</v>
      </c>
      <c r="H9" s="27">
        <f t="shared" si="5"/>
        <v>1102.5</v>
      </c>
      <c r="I9" s="27">
        <f>C26</f>
        <v>2.52</v>
      </c>
      <c r="J9" s="89">
        <f t="shared" si="6"/>
        <v>2778.3</v>
      </c>
      <c r="K9" s="84">
        <f>E36</f>
        <v>1.1438383838383839E-3</v>
      </c>
      <c r="L9" s="28">
        <f t="shared" si="0"/>
        <v>28.595959595959599</v>
      </c>
      <c r="M9" s="29">
        <f>A18*B18</f>
        <v>128</v>
      </c>
      <c r="N9" s="29">
        <f>C18</f>
        <v>450</v>
      </c>
      <c r="O9" s="29">
        <f>E18+F18*D18</f>
        <v>17.5</v>
      </c>
      <c r="P9" s="29">
        <f t="shared" si="1"/>
        <v>55.555555555555557</v>
      </c>
      <c r="Q9" s="28">
        <f t="shared" si="7"/>
        <v>972.22222222222229</v>
      </c>
      <c r="R9" s="26">
        <f t="shared" si="8"/>
        <v>3907.1181818181822</v>
      </c>
      <c r="S9" s="26">
        <f>G18</f>
        <v>0.3</v>
      </c>
      <c r="T9" s="26">
        <f t="shared" si="9"/>
        <v>5079.2536363636373</v>
      </c>
      <c r="U9" s="27">
        <f t="shared" si="2"/>
        <v>0.20317014545454548</v>
      </c>
      <c r="V9" s="78">
        <f>E19+F19*D19</f>
        <v>11.25</v>
      </c>
      <c r="W9" s="78">
        <f t="shared" si="10"/>
        <v>625</v>
      </c>
      <c r="X9" s="92">
        <f t="shared" si="11"/>
        <v>3559.8959595959595</v>
      </c>
      <c r="Y9" s="78">
        <f>G18</f>
        <v>0.3</v>
      </c>
      <c r="Z9" s="26">
        <f t="shared" si="12"/>
        <v>4627.8647474747477</v>
      </c>
      <c r="AA9" s="78">
        <f t="shared" si="3"/>
        <v>0.18511458989898991</v>
      </c>
      <c r="AB9" s="30">
        <v>75</v>
      </c>
      <c r="AC9" s="31">
        <f t="shared" si="13"/>
        <v>0.35554775454545462</v>
      </c>
      <c r="AD9" s="31">
        <f t="shared" si="14"/>
        <v>0.32395053232323234</v>
      </c>
    </row>
    <row r="10" spans="1:30" ht="14.4" x14ac:dyDescent="0.3">
      <c r="A10" s="15">
        <v>500</v>
      </c>
      <c r="B10" s="7" t="s">
        <v>8</v>
      </c>
      <c r="C10" s="22" t="s">
        <v>19</v>
      </c>
      <c r="D10" s="23">
        <v>35000</v>
      </c>
      <c r="E10" s="24">
        <v>0.05</v>
      </c>
      <c r="F10" s="25">
        <v>42</v>
      </c>
      <c r="G10" s="26">
        <f t="shared" si="4"/>
        <v>44.1</v>
      </c>
      <c r="H10" s="27">
        <f t="shared" si="5"/>
        <v>1543.5</v>
      </c>
      <c r="I10" s="27">
        <f>C26</f>
        <v>2.52</v>
      </c>
      <c r="J10" s="89">
        <f t="shared" si="6"/>
        <v>3889.62</v>
      </c>
      <c r="K10" s="84">
        <f>E36</f>
        <v>1.1438383838383839E-3</v>
      </c>
      <c r="L10" s="28">
        <f t="shared" si="0"/>
        <v>40.034343434343434</v>
      </c>
      <c r="M10" s="29">
        <f>A18*B18</f>
        <v>128</v>
      </c>
      <c r="N10" s="29">
        <f>C18</f>
        <v>450</v>
      </c>
      <c r="O10" s="29">
        <f>E18+F18*D18</f>
        <v>17.5</v>
      </c>
      <c r="P10" s="29">
        <f t="shared" si="1"/>
        <v>77.777777777777771</v>
      </c>
      <c r="Q10" s="28">
        <f t="shared" si="7"/>
        <v>1361.1111111111111</v>
      </c>
      <c r="R10" s="26">
        <f t="shared" si="8"/>
        <v>5418.7654545454543</v>
      </c>
      <c r="S10" s="26">
        <f>G18</f>
        <v>0.3</v>
      </c>
      <c r="T10" s="26">
        <f t="shared" si="9"/>
        <v>7044.3950909090909</v>
      </c>
      <c r="U10" s="27">
        <f t="shared" si="2"/>
        <v>0.20126843116883117</v>
      </c>
      <c r="V10" s="78">
        <f>E19+F19*D19</f>
        <v>11.25</v>
      </c>
      <c r="W10" s="78">
        <f t="shared" si="10"/>
        <v>874.99999999999989</v>
      </c>
      <c r="X10" s="92">
        <f t="shared" si="11"/>
        <v>4932.654343434343</v>
      </c>
      <c r="Y10" s="78">
        <f>G18</f>
        <v>0.3</v>
      </c>
      <c r="Z10" s="26">
        <f t="shared" si="12"/>
        <v>6412.4506464646456</v>
      </c>
      <c r="AA10" s="78">
        <f t="shared" si="3"/>
        <v>0.18321287561327559</v>
      </c>
      <c r="AB10" s="30">
        <v>75</v>
      </c>
      <c r="AC10" s="31">
        <f t="shared" si="13"/>
        <v>0.35221975454545457</v>
      </c>
      <c r="AD10" s="31">
        <f t="shared" si="14"/>
        <v>0.32062253232323229</v>
      </c>
    </row>
    <row r="11" spans="1:30" ht="14.4" x14ac:dyDescent="0.3">
      <c r="A11" s="15">
        <v>500</v>
      </c>
      <c r="B11" s="7" t="s">
        <v>9</v>
      </c>
      <c r="C11" s="22" t="s">
        <v>20</v>
      </c>
      <c r="D11" s="23">
        <v>45000</v>
      </c>
      <c r="E11" s="24">
        <v>0.05</v>
      </c>
      <c r="F11" s="25">
        <v>42</v>
      </c>
      <c r="G11" s="26">
        <f t="shared" si="4"/>
        <v>44.1</v>
      </c>
      <c r="H11" s="27">
        <f t="shared" si="5"/>
        <v>1984.5</v>
      </c>
      <c r="I11" s="27">
        <f>C26</f>
        <v>2.52</v>
      </c>
      <c r="J11" s="89">
        <f t="shared" si="6"/>
        <v>5000.9399999999996</v>
      </c>
      <c r="K11" s="84">
        <f>E36</f>
        <v>1.1438383838383839E-3</v>
      </c>
      <c r="L11" s="28">
        <f t="shared" si="0"/>
        <v>51.472727272727276</v>
      </c>
      <c r="M11" s="29">
        <f>A18*B18</f>
        <v>128</v>
      </c>
      <c r="N11" s="29">
        <f>C18</f>
        <v>450</v>
      </c>
      <c r="O11" s="29">
        <f>E18+F18*D18</f>
        <v>17.5</v>
      </c>
      <c r="P11" s="29">
        <f t="shared" si="1"/>
        <v>100</v>
      </c>
      <c r="Q11" s="28">
        <f t="shared" si="7"/>
        <v>1750</v>
      </c>
      <c r="R11" s="26">
        <f t="shared" si="8"/>
        <v>6930.4127272727274</v>
      </c>
      <c r="S11" s="26">
        <f>G18</f>
        <v>0.3</v>
      </c>
      <c r="T11" s="26">
        <f t="shared" si="9"/>
        <v>9009.5365454545463</v>
      </c>
      <c r="U11" s="27">
        <f t="shared" si="2"/>
        <v>0.20021192323232326</v>
      </c>
      <c r="V11" s="78">
        <f>E19+F19*D19</f>
        <v>11.25</v>
      </c>
      <c r="W11" s="78">
        <f t="shared" si="10"/>
        <v>1125</v>
      </c>
      <c r="X11" s="92">
        <f t="shared" si="11"/>
        <v>6305.4127272727274</v>
      </c>
      <c r="Y11" s="78">
        <f>G18</f>
        <v>0.3</v>
      </c>
      <c r="Z11" s="26">
        <f t="shared" si="12"/>
        <v>8197.0365454545463</v>
      </c>
      <c r="AA11" s="78">
        <f t="shared" si="3"/>
        <v>0.18215636767676768</v>
      </c>
      <c r="AB11" s="30">
        <v>70</v>
      </c>
      <c r="AC11" s="31">
        <f t="shared" si="13"/>
        <v>0.34036026949494957</v>
      </c>
      <c r="AD11" s="31">
        <f t="shared" si="14"/>
        <v>0.30966582505050505</v>
      </c>
    </row>
    <row r="12" spans="1:30" ht="14.4" x14ac:dyDescent="0.3">
      <c r="A12" s="15">
        <v>500</v>
      </c>
      <c r="B12" s="7" t="s">
        <v>10</v>
      </c>
      <c r="C12" s="22" t="s">
        <v>21</v>
      </c>
      <c r="D12" s="23">
        <v>75000</v>
      </c>
      <c r="E12" s="24">
        <v>0.05</v>
      </c>
      <c r="F12" s="25">
        <v>42</v>
      </c>
      <c r="G12" s="26">
        <f t="shared" si="4"/>
        <v>44.1</v>
      </c>
      <c r="H12" s="27">
        <f t="shared" si="5"/>
        <v>3307.5</v>
      </c>
      <c r="I12" s="27">
        <f>C26</f>
        <v>2.52</v>
      </c>
      <c r="J12" s="89">
        <f t="shared" si="6"/>
        <v>8334.9</v>
      </c>
      <c r="K12" s="84">
        <f>E36</f>
        <v>1.1438383838383839E-3</v>
      </c>
      <c r="L12" s="28">
        <f t="shared" si="0"/>
        <v>85.787878787878796</v>
      </c>
      <c r="M12" s="29">
        <f>A18*B18</f>
        <v>128</v>
      </c>
      <c r="N12" s="29">
        <f>C18</f>
        <v>450</v>
      </c>
      <c r="O12" s="29">
        <f>E18+F18*D18</f>
        <v>17.5</v>
      </c>
      <c r="P12" s="29">
        <f t="shared" si="1"/>
        <v>166.66666666666666</v>
      </c>
      <c r="Q12" s="28">
        <f>O12*P12</f>
        <v>2916.6666666666665</v>
      </c>
      <c r="R12" s="26">
        <f t="shared" si="8"/>
        <v>11465.354545454546</v>
      </c>
      <c r="S12" s="26">
        <f>G18</f>
        <v>0.3</v>
      </c>
      <c r="T12" s="26">
        <f t="shared" si="9"/>
        <v>14904.960909090909</v>
      </c>
      <c r="U12" s="27">
        <f t="shared" si="2"/>
        <v>0.19873281212121213</v>
      </c>
      <c r="V12" s="78">
        <f>E19+F19*D19</f>
        <v>11.25</v>
      </c>
      <c r="W12" s="78">
        <f t="shared" si="10"/>
        <v>1875</v>
      </c>
      <c r="X12" s="92">
        <f t="shared" si="11"/>
        <v>10423.687878787878</v>
      </c>
      <c r="Y12" s="78">
        <f>G18</f>
        <v>0.3</v>
      </c>
      <c r="Z12" s="26">
        <f t="shared" si="12"/>
        <v>13550.794242424241</v>
      </c>
      <c r="AA12" s="78">
        <f t="shared" si="3"/>
        <v>0.18067725656565656</v>
      </c>
      <c r="AB12" s="30">
        <v>70</v>
      </c>
      <c r="AC12" s="31">
        <f t="shared" si="13"/>
        <v>0.33784578060606063</v>
      </c>
      <c r="AD12" s="31">
        <f t="shared" si="14"/>
        <v>0.30715133616161616</v>
      </c>
    </row>
    <row r="13" spans="1:30" ht="14.4" x14ac:dyDescent="0.3">
      <c r="A13" s="15">
        <v>500</v>
      </c>
      <c r="B13" s="7" t="s">
        <v>11</v>
      </c>
      <c r="C13" s="22" t="s">
        <v>22</v>
      </c>
      <c r="D13" s="23">
        <v>125000</v>
      </c>
      <c r="E13" s="24">
        <v>0.03</v>
      </c>
      <c r="F13" s="25">
        <v>42</v>
      </c>
      <c r="G13" s="26">
        <f t="shared" si="4"/>
        <v>43.26</v>
      </c>
      <c r="H13" s="27">
        <f t="shared" si="5"/>
        <v>5407.5</v>
      </c>
      <c r="I13" s="27">
        <f>C26</f>
        <v>2.52</v>
      </c>
      <c r="J13" s="89">
        <f t="shared" si="6"/>
        <v>13626.9</v>
      </c>
      <c r="K13" s="84">
        <f>E36</f>
        <v>1.1438383838383839E-3</v>
      </c>
      <c r="L13" s="28">
        <f t="shared" si="0"/>
        <v>142.97979797979798</v>
      </c>
      <c r="M13" s="29">
        <f>A18*B18</f>
        <v>128</v>
      </c>
      <c r="N13" s="29">
        <f>C18</f>
        <v>450</v>
      </c>
      <c r="O13" s="29">
        <f>E18+F18*D18</f>
        <v>17.5</v>
      </c>
      <c r="P13" s="29">
        <f t="shared" si="1"/>
        <v>277.77777777777777</v>
      </c>
      <c r="Q13" s="28">
        <f t="shared" si="7"/>
        <v>4861.1111111111113</v>
      </c>
      <c r="R13" s="26">
        <f t="shared" si="8"/>
        <v>18758.99090909091</v>
      </c>
      <c r="S13" s="26">
        <f>G18</f>
        <v>0.3</v>
      </c>
      <c r="T13" s="26">
        <f t="shared" si="9"/>
        <v>24386.688181818183</v>
      </c>
      <c r="U13" s="27">
        <f t="shared" si="2"/>
        <v>0.19509350545454546</v>
      </c>
      <c r="V13" s="78">
        <f>E19+F19*D19</f>
        <v>11.25</v>
      </c>
      <c r="W13" s="78">
        <f t="shared" si="10"/>
        <v>3125</v>
      </c>
      <c r="X13" s="92">
        <f t="shared" si="11"/>
        <v>17022.879797979796</v>
      </c>
      <c r="Y13" s="78">
        <f>G18</f>
        <v>0.3</v>
      </c>
      <c r="Z13" s="26">
        <f t="shared" si="12"/>
        <v>22129.743737373734</v>
      </c>
      <c r="AA13" s="78">
        <f t="shared" si="3"/>
        <v>0.17703794989898988</v>
      </c>
      <c r="AB13" s="30">
        <v>65</v>
      </c>
      <c r="AC13" s="31">
        <f t="shared" si="13"/>
        <v>0.32190428400000004</v>
      </c>
      <c r="AD13" s="31">
        <f t="shared" si="14"/>
        <v>0.29211261733333332</v>
      </c>
    </row>
    <row r="14" spans="1:30" ht="15" thickBot="1" x14ac:dyDescent="0.35">
      <c r="A14" s="15">
        <v>500</v>
      </c>
      <c r="B14" s="7" t="s">
        <v>12</v>
      </c>
      <c r="C14" s="22" t="s">
        <v>23</v>
      </c>
      <c r="D14" s="23">
        <v>200000</v>
      </c>
      <c r="E14" s="24">
        <v>0.03</v>
      </c>
      <c r="F14" s="25">
        <v>42</v>
      </c>
      <c r="G14" s="26">
        <f t="shared" si="4"/>
        <v>43.26</v>
      </c>
      <c r="H14" s="27">
        <f t="shared" si="5"/>
        <v>8652</v>
      </c>
      <c r="I14" s="27">
        <f>C26</f>
        <v>2.52</v>
      </c>
      <c r="J14" s="89">
        <f t="shared" si="6"/>
        <v>21803.040000000001</v>
      </c>
      <c r="K14" s="84">
        <f>E36</f>
        <v>1.1438383838383839E-3</v>
      </c>
      <c r="L14" s="28">
        <f t="shared" si="0"/>
        <v>228.76767676767679</v>
      </c>
      <c r="M14" s="29">
        <f>A18*B18</f>
        <v>128</v>
      </c>
      <c r="N14" s="29">
        <f>C18</f>
        <v>450</v>
      </c>
      <c r="O14" s="29">
        <f>E18+F18*D18</f>
        <v>17.5</v>
      </c>
      <c r="P14" s="29">
        <f t="shared" si="1"/>
        <v>444.44444444444446</v>
      </c>
      <c r="Q14" s="28">
        <f t="shared" si="7"/>
        <v>7777.7777777777783</v>
      </c>
      <c r="R14" s="26">
        <f t="shared" si="8"/>
        <v>29937.585454545457</v>
      </c>
      <c r="S14" s="26">
        <f>G18</f>
        <v>0.3</v>
      </c>
      <c r="T14" s="26">
        <f t="shared" si="9"/>
        <v>38918.861090909093</v>
      </c>
      <c r="U14" s="27">
        <f t="shared" si="2"/>
        <v>0.19459430545454545</v>
      </c>
      <c r="V14" s="78">
        <f>E19+F19*D19</f>
        <v>11.25</v>
      </c>
      <c r="W14" s="78">
        <f t="shared" si="10"/>
        <v>5000</v>
      </c>
      <c r="X14" s="92">
        <f t="shared" si="11"/>
        <v>27159.807676767676</v>
      </c>
      <c r="Y14" s="78">
        <f>G18</f>
        <v>0.3</v>
      </c>
      <c r="Z14" s="26">
        <f t="shared" si="12"/>
        <v>35307.749979797976</v>
      </c>
      <c r="AA14" s="78">
        <f t="shared" si="3"/>
        <v>0.17653874989898988</v>
      </c>
      <c r="AB14" s="30">
        <v>60</v>
      </c>
      <c r="AC14" s="32">
        <f t="shared" si="13"/>
        <v>0.31135088872727273</v>
      </c>
      <c r="AD14" s="32">
        <f t="shared" si="14"/>
        <v>0.28246199983838383</v>
      </c>
    </row>
    <row r="15" spans="1:30" ht="14.4" thickBot="1" x14ac:dyDescent="0.35"/>
    <row r="16" spans="1:30" x14ac:dyDescent="0.3">
      <c r="A16" s="33" t="s">
        <v>27</v>
      </c>
      <c r="B16" s="34"/>
      <c r="C16" s="34"/>
      <c r="D16" s="34"/>
      <c r="E16" s="34"/>
      <c r="F16" s="34"/>
      <c r="G16" s="35"/>
      <c r="AC16" s="80"/>
    </row>
    <row r="17" spans="1:12" x14ac:dyDescent="0.3">
      <c r="A17" s="36" t="s">
        <v>28</v>
      </c>
      <c r="B17" s="37" t="s">
        <v>29</v>
      </c>
      <c r="C17" s="37" t="s">
        <v>30</v>
      </c>
      <c r="D17" s="37" t="s">
        <v>31</v>
      </c>
      <c r="E17" s="37" t="s">
        <v>32</v>
      </c>
      <c r="F17" s="37" t="s">
        <v>33</v>
      </c>
      <c r="G17" s="38" t="s">
        <v>34</v>
      </c>
      <c r="J17" s="39"/>
      <c r="K17" s="85"/>
      <c r="L17" s="14" t="s">
        <v>59</v>
      </c>
    </row>
    <row r="18" spans="1:12" ht="14.4" thickBot="1" x14ac:dyDescent="0.35">
      <c r="A18" s="40">
        <v>4</v>
      </c>
      <c r="B18" s="41">
        <v>32</v>
      </c>
      <c r="C18" s="41">
        <v>450</v>
      </c>
      <c r="D18" s="41">
        <v>0.5</v>
      </c>
      <c r="E18" s="41">
        <v>5</v>
      </c>
      <c r="F18" s="42">
        <v>25</v>
      </c>
      <c r="G18" s="43">
        <v>0.3</v>
      </c>
    </row>
    <row r="19" spans="1:12" ht="14.4" thickBot="1" x14ac:dyDescent="0.35">
      <c r="A19" s="40">
        <v>4</v>
      </c>
      <c r="B19" s="41">
        <v>32</v>
      </c>
      <c r="C19" s="41">
        <v>450</v>
      </c>
      <c r="D19" s="41">
        <v>0.25</v>
      </c>
      <c r="E19" s="41">
        <v>5</v>
      </c>
      <c r="F19" s="42">
        <v>25</v>
      </c>
      <c r="G19" s="43">
        <v>0.3</v>
      </c>
    </row>
    <row r="20" spans="1:12" ht="14.4" thickBot="1" x14ac:dyDescent="0.35">
      <c r="J20" s="44"/>
      <c r="K20" s="86"/>
      <c r="L20" s="14" t="s">
        <v>60</v>
      </c>
    </row>
    <row r="21" spans="1:12" x14ac:dyDescent="0.3">
      <c r="A21" s="45" t="s">
        <v>35</v>
      </c>
      <c r="B21" s="46"/>
      <c r="C21" s="46" t="s">
        <v>36</v>
      </c>
      <c r="D21" s="47" t="s">
        <v>37</v>
      </c>
    </row>
    <row r="22" spans="1:12" x14ac:dyDescent="0.3">
      <c r="A22" s="48" t="s">
        <v>40</v>
      </c>
      <c r="B22" s="49">
        <v>2</v>
      </c>
      <c r="C22" s="50">
        <v>96</v>
      </c>
      <c r="D22" s="51"/>
    </row>
    <row r="23" spans="1:12" x14ac:dyDescent="0.3">
      <c r="A23" s="48" t="s">
        <v>40</v>
      </c>
      <c r="B23" s="49">
        <v>15</v>
      </c>
      <c r="C23" s="50">
        <v>4</v>
      </c>
      <c r="D23" s="51"/>
    </row>
    <row r="24" spans="1:12" x14ac:dyDescent="0.3">
      <c r="A24" s="48" t="s">
        <v>40</v>
      </c>
      <c r="B24" s="49">
        <v>0</v>
      </c>
      <c r="C24" s="50"/>
      <c r="D24" s="51"/>
    </row>
    <row r="25" spans="1:12" ht="14.4" thickBot="1" x14ac:dyDescent="0.35">
      <c r="A25" s="48" t="s">
        <v>44</v>
      </c>
      <c r="B25" s="49">
        <v>0</v>
      </c>
      <c r="C25" s="50"/>
      <c r="D25" s="51"/>
    </row>
    <row r="26" spans="1:12" ht="14.4" thickBot="1" x14ac:dyDescent="0.35">
      <c r="A26" s="52" t="s">
        <v>45</v>
      </c>
      <c r="B26" s="53">
        <f>SUM(B22:B25)</f>
        <v>17</v>
      </c>
      <c r="C26" s="54">
        <f>(B22*C22/100)+(B23*C23/100)+(B24*C24/100)+(B25*C25/100)</f>
        <v>2.52</v>
      </c>
      <c r="D26" s="55" t="s">
        <v>62</v>
      </c>
    </row>
    <row r="27" spans="1:12" ht="14.4" thickBot="1" x14ac:dyDescent="0.35"/>
    <row r="28" spans="1:12" x14ac:dyDescent="0.3">
      <c r="A28" s="56" t="s">
        <v>38</v>
      </c>
      <c r="B28" s="57"/>
      <c r="C28" s="58"/>
      <c r="D28" s="59" t="s">
        <v>39</v>
      </c>
      <c r="E28" s="60" t="s">
        <v>97</v>
      </c>
    </row>
    <row r="29" spans="1:12" x14ac:dyDescent="0.3">
      <c r="A29" s="61" t="s">
        <v>42</v>
      </c>
      <c r="B29" s="62">
        <v>1100</v>
      </c>
      <c r="C29" s="63"/>
      <c r="D29" s="64"/>
      <c r="E29" s="65"/>
    </row>
    <row r="30" spans="1:12" x14ac:dyDescent="0.3">
      <c r="A30" s="61" t="s">
        <v>86</v>
      </c>
      <c r="B30" s="62">
        <v>9</v>
      </c>
      <c r="C30" s="63" t="s">
        <v>41</v>
      </c>
      <c r="D30" s="66">
        <v>0.68100000000000005</v>
      </c>
      <c r="E30" s="65">
        <f>D30*B30</f>
        <v>6.1290000000000004</v>
      </c>
    </row>
    <row r="31" spans="1:12" x14ac:dyDescent="0.3">
      <c r="A31" s="61" t="s">
        <v>87</v>
      </c>
      <c r="B31" s="62">
        <f>B30*B29</f>
        <v>9900</v>
      </c>
      <c r="C31" s="67"/>
      <c r="D31" s="68"/>
      <c r="E31" s="65"/>
    </row>
    <row r="32" spans="1:12" x14ac:dyDescent="0.3">
      <c r="A32" s="61" t="s">
        <v>88</v>
      </c>
      <c r="B32" s="62">
        <v>9</v>
      </c>
      <c r="C32" s="63" t="s">
        <v>43</v>
      </c>
      <c r="D32" s="69">
        <v>0.13800000000000001</v>
      </c>
      <c r="E32" s="65">
        <f>D32*B32</f>
        <v>1.242</v>
      </c>
    </row>
    <row r="33" spans="1:5" x14ac:dyDescent="0.3">
      <c r="A33" s="61" t="s">
        <v>46</v>
      </c>
      <c r="B33" s="62">
        <f>B32*5</f>
        <v>45</v>
      </c>
      <c r="C33" s="63" t="s">
        <v>47</v>
      </c>
      <c r="D33" s="66">
        <v>4.3400000000000001E-2</v>
      </c>
      <c r="E33" s="65">
        <f>D33*B33</f>
        <v>1.9530000000000001</v>
      </c>
    </row>
    <row r="34" spans="1:5" ht="14.4" thickBot="1" x14ac:dyDescent="0.35">
      <c r="A34" s="70" t="s">
        <v>48</v>
      </c>
      <c r="B34" s="71" t="s">
        <v>49</v>
      </c>
      <c r="C34" s="72" t="s">
        <v>50</v>
      </c>
      <c r="D34" s="73">
        <v>2</v>
      </c>
      <c r="E34" s="74">
        <f>D34</f>
        <v>2</v>
      </c>
    </row>
    <row r="35" spans="1:5" ht="14.4" thickBot="1" x14ac:dyDescent="0.35">
      <c r="E35" s="75">
        <f>SUM(E29:E34)</f>
        <v>11.324</v>
      </c>
    </row>
    <row r="36" spans="1:5" ht="14.4" thickBot="1" x14ac:dyDescent="0.35">
      <c r="D36" s="76" t="s">
        <v>98</v>
      </c>
      <c r="E36" s="77">
        <f>E35/B31</f>
        <v>1.1438383838383839E-3</v>
      </c>
    </row>
  </sheetData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C4207-9820-4A49-AB54-9D2E10AEA5E5}">
  <dimension ref="A2:AD36"/>
  <sheetViews>
    <sheetView topLeftCell="L1" workbookViewId="0">
      <selection activeCell="T4" sqref="T4:T14"/>
    </sheetView>
  </sheetViews>
  <sheetFormatPr defaultColWidth="9.109375" defaultRowHeight="13.8" x14ac:dyDescent="0.3"/>
  <cols>
    <col min="1" max="1" width="28.6640625" style="14" bestFit="1" customWidth="1"/>
    <col min="2" max="2" width="10.109375" style="14" bestFit="1" customWidth="1"/>
    <col min="3" max="3" width="21" style="14" bestFit="1" customWidth="1"/>
    <col min="4" max="4" width="12.44140625" style="14" bestFit="1" customWidth="1"/>
    <col min="5" max="5" width="21" style="14" bestFit="1" customWidth="1"/>
    <col min="6" max="6" width="14.88671875" style="14" bestFit="1" customWidth="1"/>
    <col min="7" max="7" width="23.5546875" style="14" bestFit="1" customWidth="1"/>
    <col min="8" max="8" width="18.6640625" style="14" customWidth="1"/>
    <col min="9" max="9" width="0.109375" style="14" customWidth="1"/>
    <col min="10" max="10" width="9.5546875" style="14" bestFit="1" customWidth="1"/>
    <col min="11" max="11" width="15.33203125" style="82" customWidth="1"/>
    <col min="12" max="12" width="17.5546875" style="14" bestFit="1" customWidth="1"/>
    <col min="13" max="13" width="19.33203125" style="14" customWidth="1"/>
    <col min="14" max="14" width="9.109375" style="14" customWidth="1"/>
    <col min="15" max="15" width="22.88671875" style="14" customWidth="1"/>
    <col min="16" max="16" width="11.88671875" style="14" customWidth="1"/>
    <col min="17" max="17" width="23.5546875" style="14" bestFit="1" customWidth="1"/>
    <col min="18" max="18" width="24.33203125" style="14" customWidth="1"/>
    <col min="19" max="19" width="11" style="14" customWidth="1"/>
    <col min="20" max="20" width="35.5546875" style="14" bestFit="1" customWidth="1"/>
    <col min="21" max="21" width="14.6640625" style="14" bestFit="1" customWidth="1"/>
    <col min="22" max="27" width="14.6640625" style="14" customWidth="1"/>
    <col min="28" max="28" width="16.5546875" style="14" bestFit="1" customWidth="1"/>
    <col min="29" max="29" width="17.44140625" style="14" bestFit="1" customWidth="1"/>
    <col min="30" max="30" width="11.88671875" style="14" bestFit="1" customWidth="1"/>
    <col min="31" max="16384" width="9.109375" style="14"/>
  </cols>
  <sheetData>
    <row r="2" spans="1:30" ht="14.4" thickBot="1" x14ac:dyDescent="0.35"/>
    <row r="3" spans="1:30" ht="74.25" customHeight="1" thickBot="1" x14ac:dyDescent="0.35">
      <c r="A3" s="15" t="s">
        <v>57</v>
      </c>
      <c r="B3" s="15" t="s">
        <v>24</v>
      </c>
      <c r="C3" s="15" t="s">
        <v>25</v>
      </c>
      <c r="D3" s="15" t="s">
        <v>26</v>
      </c>
      <c r="E3" s="15" t="s">
        <v>55</v>
      </c>
      <c r="F3" s="15" t="s">
        <v>58</v>
      </c>
      <c r="G3" s="16" t="s">
        <v>51</v>
      </c>
      <c r="H3" s="17" t="s">
        <v>52</v>
      </c>
      <c r="I3" s="17" t="s">
        <v>61</v>
      </c>
      <c r="J3" s="90" t="s">
        <v>53</v>
      </c>
      <c r="K3" s="83" t="s">
        <v>99</v>
      </c>
      <c r="L3" s="18" t="s">
        <v>96</v>
      </c>
      <c r="M3" s="19" t="s">
        <v>54</v>
      </c>
      <c r="N3" s="19" t="s">
        <v>100</v>
      </c>
      <c r="O3" s="19" t="s">
        <v>108</v>
      </c>
      <c r="P3" s="19" t="s">
        <v>101</v>
      </c>
      <c r="Q3" s="91" t="s">
        <v>116</v>
      </c>
      <c r="R3" s="87" t="s">
        <v>107</v>
      </c>
      <c r="S3" s="88" t="s">
        <v>102</v>
      </c>
      <c r="T3" s="87" t="s">
        <v>104</v>
      </c>
      <c r="U3" s="87" t="s">
        <v>105</v>
      </c>
      <c r="V3" s="19" t="s">
        <v>109</v>
      </c>
      <c r="W3" s="20" t="s">
        <v>110</v>
      </c>
      <c r="X3" s="20"/>
      <c r="Y3" s="20"/>
      <c r="Z3" s="20" t="s">
        <v>111</v>
      </c>
      <c r="AA3" s="20" t="s">
        <v>112</v>
      </c>
      <c r="AB3" s="20" t="s">
        <v>103</v>
      </c>
      <c r="AC3" s="79" t="s">
        <v>106</v>
      </c>
      <c r="AD3" s="21" t="s">
        <v>113</v>
      </c>
    </row>
    <row r="4" spans="1:30" ht="14.4" x14ac:dyDescent="0.3">
      <c r="A4" s="15">
        <v>500</v>
      </c>
      <c r="B4" s="7" t="s">
        <v>2</v>
      </c>
      <c r="C4" s="22" t="s">
        <v>13</v>
      </c>
      <c r="D4" s="23">
        <v>2000</v>
      </c>
      <c r="E4" s="24">
        <v>0.1</v>
      </c>
      <c r="F4" s="25">
        <v>42</v>
      </c>
      <c r="G4" s="26">
        <f>F4+F4*E4</f>
        <v>46.2</v>
      </c>
      <c r="H4" s="27">
        <f>(G4*D4)/1000</f>
        <v>92.4</v>
      </c>
      <c r="I4" s="27">
        <f>C26</f>
        <v>1.5999999999999999</v>
      </c>
      <c r="J4" s="89">
        <f>H4*I4</f>
        <v>147.84</v>
      </c>
      <c r="K4" s="84">
        <f>E36</f>
        <v>1.1438383838383839E-3</v>
      </c>
      <c r="L4" s="28">
        <f t="shared" ref="L4:L14" si="0">K4*D4</f>
        <v>2.2876767676767678</v>
      </c>
      <c r="M4" s="29">
        <f>A18*B18</f>
        <v>128</v>
      </c>
      <c r="N4" s="29">
        <f>C18</f>
        <v>450</v>
      </c>
      <c r="O4" s="29">
        <f>E18+F18*D18</f>
        <v>17.5</v>
      </c>
      <c r="P4" s="29">
        <f t="shared" ref="P4:P14" si="1">D4/N4</f>
        <v>4.4444444444444446</v>
      </c>
      <c r="Q4" s="28">
        <f>O4*P4</f>
        <v>77.777777777777786</v>
      </c>
      <c r="R4" s="26">
        <f>Q4+L4+J4+M4</f>
        <v>355.90545454545457</v>
      </c>
      <c r="S4" s="26">
        <f>G18</f>
        <v>0.3</v>
      </c>
      <c r="T4" s="26">
        <f>R4+R4*S4</f>
        <v>462.67709090909096</v>
      </c>
      <c r="U4" s="27">
        <f t="shared" ref="U4:U14" si="2">T4/D4</f>
        <v>0.23133854545454549</v>
      </c>
      <c r="V4" s="78">
        <f>E19+F19*D19</f>
        <v>11.25</v>
      </c>
      <c r="W4" s="78">
        <f>V4*P4</f>
        <v>50</v>
      </c>
      <c r="X4" s="92">
        <f>W4+M4+L4+J4</f>
        <v>328.1276767676768</v>
      </c>
      <c r="Y4" s="78">
        <f>G18</f>
        <v>0.3</v>
      </c>
      <c r="Z4" s="26">
        <f>X4+X4*Y4</f>
        <v>426.56597979797982</v>
      </c>
      <c r="AA4" s="78">
        <f t="shared" ref="AA4:AA14" si="3">Z4/D4</f>
        <v>0.21328298989898992</v>
      </c>
      <c r="AB4" s="30">
        <v>180</v>
      </c>
      <c r="AC4" s="81">
        <f>U4*2+(U4*2*80/100)</f>
        <v>0.83281876363636376</v>
      </c>
      <c r="AD4" s="81">
        <f>AA4*2+(AA4*2*80/100)</f>
        <v>0.7678187636363637</v>
      </c>
    </row>
    <row r="5" spans="1:30" ht="14.4" x14ac:dyDescent="0.3">
      <c r="A5" s="15">
        <v>500</v>
      </c>
      <c r="B5" s="7" t="s">
        <v>3</v>
      </c>
      <c r="C5" s="22" t="s">
        <v>14</v>
      </c>
      <c r="D5" s="23">
        <v>4000</v>
      </c>
      <c r="E5" s="24">
        <v>0.1</v>
      </c>
      <c r="F5" s="25">
        <v>42</v>
      </c>
      <c r="G5" s="26">
        <f t="shared" ref="G5:G14" si="4">F5+F5*E5</f>
        <v>46.2</v>
      </c>
      <c r="H5" s="27">
        <f t="shared" ref="H5:H14" si="5">(G5*D5)/1000</f>
        <v>184.8</v>
      </c>
      <c r="I5" s="27">
        <f>C26</f>
        <v>1.5999999999999999</v>
      </c>
      <c r="J5" s="89">
        <f t="shared" ref="J5:J14" si="6">H5*I5</f>
        <v>295.68</v>
      </c>
      <c r="K5" s="84">
        <f>E36</f>
        <v>1.1438383838383839E-3</v>
      </c>
      <c r="L5" s="28">
        <f t="shared" si="0"/>
        <v>4.5753535353535355</v>
      </c>
      <c r="M5" s="29">
        <f>A18*B18</f>
        <v>128</v>
      </c>
      <c r="N5" s="29">
        <f>C18</f>
        <v>450</v>
      </c>
      <c r="O5" s="29">
        <f>E18+F18*D18</f>
        <v>17.5</v>
      </c>
      <c r="P5" s="29">
        <f t="shared" si="1"/>
        <v>8.8888888888888893</v>
      </c>
      <c r="Q5" s="28">
        <f t="shared" ref="Q5:Q14" si="7">O5*P5</f>
        <v>155.55555555555557</v>
      </c>
      <c r="R5" s="26">
        <f t="shared" ref="R5:R14" si="8">Q5+L5+J5+M5</f>
        <v>583.81090909090915</v>
      </c>
      <c r="S5" s="26">
        <f>G18</f>
        <v>0.3</v>
      </c>
      <c r="T5" s="26">
        <f t="shared" ref="T5:T14" si="9">R5+R5*S5</f>
        <v>758.95418181818195</v>
      </c>
      <c r="U5" s="27">
        <f t="shared" si="2"/>
        <v>0.18973854545454549</v>
      </c>
      <c r="V5" s="78">
        <f>E19+F19*D19</f>
        <v>11.25</v>
      </c>
      <c r="W5" s="78">
        <f t="shared" ref="W5:W14" si="10">V5*P5</f>
        <v>100</v>
      </c>
      <c r="X5" s="92">
        <f t="shared" ref="X5:X14" si="11">W5+M5+L5+J5</f>
        <v>528.25535353535361</v>
      </c>
      <c r="Y5" s="78">
        <f>G18</f>
        <v>0.3</v>
      </c>
      <c r="Z5" s="26">
        <f t="shared" ref="Z5:Z14" si="12">X5+X5*Y5</f>
        <v>686.73195959595967</v>
      </c>
      <c r="AA5" s="78">
        <f t="shared" si="3"/>
        <v>0.17168298989898992</v>
      </c>
      <c r="AB5" s="30">
        <v>160</v>
      </c>
      <c r="AC5" s="31">
        <f>U5*2+(U5*2*80/100)</f>
        <v>0.68305876363636375</v>
      </c>
      <c r="AD5" s="31">
        <f>AA5*2+(AA5*2*80/100)</f>
        <v>0.61805876363636369</v>
      </c>
    </row>
    <row r="6" spans="1:30" ht="14.4" x14ac:dyDescent="0.3">
      <c r="A6" s="15">
        <v>500</v>
      </c>
      <c r="B6" s="7" t="s">
        <v>4</v>
      </c>
      <c r="C6" s="22" t="s">
        <v>15</v>
      </c>
      <c r="D6" s="23">
        <v>7500</v>
      </c>
      <c r="E6" s="24">
        <v>7.0000000000000007E-2</v>
      </c>
      <c r="F6" s="25">
        <v>42</v>
      </c>
      <c r="G6" s="26">
        <f t="shared" si="4"/>
        <v>44.94</v>
      </c>
      <c r="H6" s="27">
        <f t="shared" si="5"/>
        <v>337.05</v>
      </c>
      <c r="I6" s="27">
        <f>C26</f>
        <v>1.5999999999999999</v>
      </c>
      <c r="J6" s="89">
        <f t="shared" si="6"/>
        <v>539.28</v>
      </c>
      <c r="K6" s="84">
        <f>E36</f>
        <v>1.1438383838383839E-3</v>
      </c>
      <c r="L6" s="28">
        <f t="shared" si="0"/>
        <v>8.57878787878788</v>
      </c>
      <c r="M6" s="29">
        <f>A18*B18</f>
        <v>128</v>
      </c>
      <c r="N6" s="29">
        <f>C18</f>
        <v>450</v>
      </c>
      <c r="O6" s="29">
        <f>E18+F18*D18</f>
        <v>17.5</v>
      </c>
      <c r="P6" s="29">
        <f t="shared" si="1"/>
        <v>16.666666666666668</v>
      </c>
      <c r="Q6" s="28">
        <f t="shared" si="7"/>
        <v>291.66666666666669</v>
      </c>
      <c r="R6" s="26">
        <f t="shared" si="8"/>
        <v>967.52545454545452</v>
      </c>
      <c r="S6" s="26">
        <f>G18</f>
        <v>0.3</v>
      </c>
      <c r="T6" s="26">
        <f t="shared" si="9"/>
        <v>1257.7830909090908</v>
      </c>
      <c r="U6" s="27">
        <f t="shared" si="2"/>
        <v>0.16770441212121209</v>
      </c>
      <c r="V6" s="78">
        <f>E19+F19*D19</f>
        <v>11.25</v>
      </c>
      <c r="W6" s="78">
        <f t="shared" si="10"/>
        <v>187.5</v>
      </c>
      <c r="X6" s="92">
        <f t="shared" si="11"/>
        <v>863.35878787878778</v>
      </c>
      <c r="Y6" s="78">
        <f>G18</f>
        <v>0.3</v>
      </c>
      <c r="Z6" s="26">
        <f t="shared" si="12"/>
        <v>1122.366424242424</v>
      </c>
      <c r="AA6" s="78">
        <f t="shared" si="3"/>
        <v>0.14964885656565655</v>
      </c>
      <c r="AB6" s="30">
        <v>140</v>
      </c>
      <c r="AC6" s="31">
        <f>U6*2+(U6*2*80/100)</f>
        <v>0.60373588363636355</v>
      </c>
      <c r="AD6" s="31">
        <f>AA6*2+(AA6*2*80/100)</f>
        <v>0.5387358836363636</v>
      </c>
    </row>
    <row r="7" spans="1:30" ht="14.4" x14ac:dyDescent="0.3">
      <c r="A7" s="15">
        <v>500</v>
      </c>
      <c r="B7" s="7" t="s">
        <v>5</v>
      </c>
      <c r="C7" s="22" t="s">
        <v>16</v>
      </c>
      <c r="D7" s="23">
        <v>12500</v>
      </c>
      <c r="E7" s="24">
        <v>7.0000000000000007E-2</v>
      </c>
      <c r="F7" s="25">
        <v>42</v>
      </c>
      <c r="G7" s="26">
        <f t="shared" si="4"/>
        <v>44.94</v>
      </c>
      <c r="H7" s="27">
        <f t="shared" si="5"/>
        <v>561.75</v>
      </c>
      <c r="I7" s="27">
        <f>C26</f>
        <v>1.5999999999999999</v>
      </c>
      <c r="J7" s="89">
        <f t="shared" si="6"/>
        <v>898.8</v>
      </c>
      <c r="K7" s="84">
        <f>E36</f>
        <v>1.1438383838383839E-3</v>
      </c>
      <c r="L7" s="28">
        <f t="shared" si="0"/>
        <v>14.297979797979799</v>
      </c>
      <c r="M7" s="29">
        <f>A18*B18</f>
        <v>128</v>
      </c>
      <c r="N7" s="29">
        <f>C18</f>
        <v>450</v>
      </c>
      <c r="O7" s="29">
        <f>E18+F18*D18</f>
        <v>17.5</v>
      </c>
      <c r="P7" s="29">
        <f t="shared" si="1"/>
        <v>27.777777777777779</v>
      </c>
      <c r="Q7" s="28">
        <f t="shared" si="7"/>
        <v>486.11111111111114</v>
      </c>
      <c r="R7" s="26">
        <f t="shared" si="8"/>
        <v>1527.2090909090909</v>
      </c>
      <c r="S7" s="26">
        <f>G18</f>
        <v>0.3</v>
      </c>
      <c r="T7" s="26">
        <f t="shared" si="9"/>
        <v>1985.3718181818183</v>
      </c>
      <c r="U7" s="27">
        <f t="shared" si="2"/>
        <v>0.15882974545454545</v>
      </c>
      <c r="V7" s="78">
        <f>E19+F19*D19</f>
        <v>11.25</v>
      </c>
      <c r="W7" s="78">
        <f t="shared" si="10"/>
        <v>312.5</v>
      </c>
      <c r="X7" s="92">
        <f t="shared" si="11"/>
        <v>1353.5979797979799</v>
      </c>
      <c r="Y7" s="78">
        <f>G18</f>
        <v>0.3</v>
      </c>
      <c r="Z7" s="26">
        <f t="shared" si="12"/>
        <v>1759.6773737373737</v>
      </c>
      <c r="AA7" s="78">
        <f t="shared" si="3"/>
        <v>0.1407741898989899</v>
      </c>
      <c r="AB7" s="30">
        <v>85</v>
      </c>
      <c r="AC7" s="31">
        <f>U7+U7*AB7/100</f>
        <v>0.29383502909090908</v>
      </c>
      <c r="AD7" s="31">
        <f>AA7+AA7*AB7/100</f>
        <v>0.2604322513131313</v>
      </c>
    </row>
    <row r="8" spans="1:30" ht="14.4" x14ac:dyDescent="0.3">
      <c r="A8" s="15">
        <v>500</v>
      </c>
      <c r="B8" s="7" t="s">
        <v>6</v>
      </c>
      <c r="C8" s="22" t="s">
        <v>17</v>
      </c>
      <c r="D8" s="23">
        <v>17500</v>
      </c>
      <c r="E8" s="24">
        <v>7.0000000000000007E-2</v>
      </c>
      <c r="F8" s="25">
        <v>42</v>
      </c>
      <c r="G8" s="26">
        <f t="shared" si="4"/>
        <v>44.94</v>
      </c>
      <c r="H8" s="27">
        <f t="shared" si="5"/>
        <v>786.45</v>
      </c>
      <c r="I8" s="27">
        <f>C26</f>
        <v>1.5999999999999999</v>
      </c>
      <c r="J8" s="89">
        <f t="shared" si="6"/>
        <v>1258.32</v>
      </c>
      <c r="K8" s="84">
        <f>E36</f>
        <v>1.1438383838383839E-3</v>
      </c>
      <c r="L8" s="28">
        <f t="shared" si="0"/>
        <v>20.017171717171717</v>
      </c>
      <c r="M8" s="29">
        <f>A18*B18</f>
        <v>128</v>
      </c>
      <c r="N8" s="29">
        <f>C18</f>
        <v>450</v>
      </c>
      <c r="O8" s="29">
        <f>E18+F18*D18</f>
        <v>17.5</v>
      </c>
      <c r="P8" s="29">
        <f t="shared" si="1"/>
        <v>38.888888888888886</v>
      </c>
      <c r="Q8" s="28">
        <f t="shared" si="7"/>
        <v>680.55555555555554</v>
      </c>
      <c r="R8" s="26">
        <f t="shared" si="8"/>
        <v>2086.8927272727269</v>
      </c>
      <c r="S8" s="26">
        <f>G18</f>
        <v>0.3</v>
      </c>
      <c r="T8" s="26">
        <f t="shared" si="9"/>
        <v>2712.9605454545449</v>
      </c>
      <c r="U8" s="27">
        <f t="shared" si="2"/>
        <v>0.15502631688311685</v>
      </c>
      <c r="V8" s="78">
        <f>E19+F19*D19</f>
        <v>11.25</v>
      </c>
      <c r="W8" s="78">
        <f t="shared" si="10"/>
        <v>437.49999999999994</v>
      </c>
      <c r="X8" s="92">
        <f t="shared" si="11"/>
        <v>1843.8371717171717</v>
      </c>
      <c r="Y8" s="78">
        <f>G18</f>
        <v>0.3</v>
      </c>
      <c r="Z8" s="26">
        <f t="shared" si="12"/>
        <v>2396.9883232323232</v>
      </c>
      <c r="AA8" s="78">
        <f t="shared" si="3"/>
        <v>0.13697076132756134</v>
      </c>
      <c r="AB8" s="30">
        <v>80</v>
      </c>
      <c r="AC8" s="31">
        <f t="shared" ref="AC8:AC14" si="13">U8+U8*AB8/100</f>
        <v>0.27904737038961036</v>
      </c>
      <c r="AD8" s="31">
        <f t="shared" ref="AD8:AD14" si="14">AA8+AA8*AB8/100</f>
        <v>0.24654737038961042</v>
      </c>
    </row>
    <row r="9" spans="1:30" ht="14.4" x14ac:dyDescent="0.3">
      <c r="A9" s="15">
        <v>500</v>
      </c>
      <c r="B9" s="7" t="s">
        <v>7</v>
      </c>
      <c r="C9" s="22" t="s">
        <v>18</v>
      </c>
      <c r="D9" s="23">
        <v>25000</v>
      </c>
      <c r="E9" s="24">
        <v>0.05</v>
      </c>
      <c r="F9" s="25">
        <v>42</v>
      </c>
      <c r="G9" s="26">
        <f t="shared" si="4"/>
        <v>44.1</v>
      </c>
      <c r="H9" s="27">
        <f t="shared" si="5"/>
        <v>1102.5</v>
      </c>
      <c r="I9" s="27">
        <f>C26</f>
        <v>1.5999999999999999</v>
      </c>
      <c r="J9" s="89">
        <f t="shared" si="6"/>
        <v>1763.9999999999998</v>
      </c>
      <c r="K9" s="84">
        <f>E36</f>
        <v>1.1438383838383839E-3</v>
      </c>
      <c r="L9" s="28">
        <f t="shared" si="0"/>
        <v>28.595959595959599</v>
      </c>
      <c r="M9" s="29">
        <f>A18*B18</f>
        <v>128</v>
      </c>
      <c r="N9" s="29">
        <f>C18</f>
        <v>450</v>
      </c>
      <c r="O9" s="29">
        <f>E18+F18*D18</f>
        <v>17.5</v>
      </c>
      <c r="P9" s="29">
        <f t="shared" si="1"/>
        <v>55.555555555555557</v>
      </c>
      <c r="Q9" s="28">
        <f t="shared" si="7"/>
        <v>972.22222222222229</v>
      </c>
      <c r="R9" s="26">
        <f t="shared" si="8"/>
        <v>2892.8181818181815</v>
      </c>
      <c r="S9" s="26">
        <f>G18</f>
        <v>0.3</v>
      </c>
      <c r="T9" s="26">
        <f t="shared" si="9"/>
        <v>3760.6636363636362</v>
      </c>
      <c r="U9" s="27">
        <f t="shared" si="2"/>
        <v>0.15042654545454545</v>
      </c>
      <c r="V9" s="78">
        <f>E19+F19*D19</f>
        <v>11.25</v>
      </c>
      <c r="W9" s="78">
        <f t="shared" si="10"/>
        <v>625</v>
      </c>
      <c r="X9" s="92">
        <f t="shared" si="11"/>
        <v>2545.5959595959594</v>
      </c>
      <c r="Y9" s="78">
        <f>G18</f>
        <v>0.3</v>
      </c>
      <c r="Z9" s="26">
        <f t="shared" si="12"/>
        <v>3309.2747474747471</v>
      </c>
      <c r="AA9" s="78">
        <f t="shared" si="3"/>
        <v>0.13237098989898988</v>
      </c>
      <c r="AB9" s="30">
        <v>75</v>
      </c>
      <c r="AC9" s="31">
        <f t="shared" si="13"/>
        <v>0.26324645454545453</v>
      </c>
      <c r="AD9" s="31">
        <f t="shared" si="14"/>
        <v>0.23164923232323226</v>
      </c>
    </row>
    <row r="10" spans="1:30" ht="14.4" x14ac:dyDescent="0.3">
      <c r="A10" s="15">
        <v>500</v>
      </c>
      <c r="B10" s="7" t="s">
        <v>8</v>
      </c>
      <c r="C10" s="22" t="s">
        <v>19</v>
      </c>
      <c r="D10" s="23">
        <v>35000</v>
      </c>
      <c r="E10" s="24">
        <v>0.05</v>
      </c>
      <c r="F10" s="25">
        <v>42</v>
      </c>
      <c r="G10" s="26">
        <f t="shared" si="4"/>
        <v>44.1</v>
      </c>
      <c r="H10" s="27">
        <f t="shared" si="5"/>
        <v>1543.5</v>
      </c>
      <c r="I10" s="27">
        <f>C26</f>
        <v>1.5999999999999999</v>
      </c>
      <c r="J10" s="89">
        <f t="shared" si="6"/>
        <v>2469.6</v>
      </c>
      <c r="K10" s="84">
        <f>E36</f>
        <v>1.1438383838383839E-3</v>
      </c>
      <c r="L10" s="28">
        <f t="shared" si="0"/>
        <v>40.034343434343434</v>
      </c>
      <c r="M10" s="29">
        <f>A18*B18</f>
        <v>128</v>
      </c>
      <c r="N10" s="29">
        <f>C18</f>
        <v>450</v>
      </c>
      <c r="O10" s="29">
        <f>E18+F18*D18</f>
        <v>17.5</v>
      </c>
      <c r="P10" s="29">
        <f t="shared" si="1"/>
        <v>77.777777777777771</v>
      </c>
      <c r="Q10" s="28">
        <f t="shared" si="7"/>
        <v>1361.1111111111111</v>
      </c>
      <c r="R10" s="26">
        <f t="shared" si="8"/>
        <v>3998.7454545454543</v>
      </c>
      <c r="S10" s="26">
        <f>G18</f>
        <v>0.3</v>
      </c>
      <c r="T10" s="26">
        <f t="shared" si="9"/>
        <v>5198.369090909091</v>
      </c>
      <c r="U10" s="27">
        <f t="shared" si="2"/>
        <v>0.14852483116883117</v>
      </c>
      <c r="V10" s="78">
        <f>E19+F19*D19</f>
        <v>11.25</v>
      </c>
      <c r="W10" s="78">
        <f t="shared" si="10"/>
        <v>874.99999999999989</v>
      </c>
      <c r="X10" s="92">
        <f t="shared" si="11"/>
        <v>3512.6343434343435</v>
      </c>
      <c r="Y10" s="78">
        <f>G18</f>
        <v>0.3</v>
      </c>
      <c r="Z10" s="26">
        <f t="shared" si="12"/>
        <v>4566.4246464646467</v>
      </c>
      <c r="AA10" s="78">
        <f t="shared" si="3"/>
        <v>0.13046927561327562</v>
      </c>
      <c r="AB10" s="30">
        <v>75</v>
      </c>
      <c r="AC10" s="31">
        <f t="shared" si="13"/>
        <v>0.25991845454545454</v>
      </c>
      <c r="AD10" s="31">
        <f t="shared" si="14"/>
        <v>0.22832123232323231</v>
      </c>
    </row>
    <row r="11" spans="1:30" ht="14.4" x14ac:dyDescent="0.3">
      <c r="A11" s="15">
        <v>500</v>
      </c>
      <c r="B11" s="7" t="s">
        <v>9</v>
      </c>
      <c r="C11" s="22" t="s">
        <v>20</v>
      </c>
      <c r="D11" s="23">
        <v>45000</v>
      </c>
      <c r="E11" s="24">
        <v>0.05</v>
      </c>
      <c r="F11" s="25">
        <v>42</v>
      </c>
      <c r="G11" s="26">
        <f t="shared" si="4"/>
        <v>44.1</v>
      </c>
      <c r="H11" s="27">
        <f t="shared" si="5"/>
        <v>1984.5</v>
      </c>
      <c r="I11" s="27">
        <f>C26</f>
        <v>1.5999999999999999</v>
      </c>
      <c r="J11" s="89">
        <f t="shared" si="6"/>
        <v>3175.2</v>
      </c>
      <c r="K11" s="84">
        <f>E36</f>
        <v>1.1438383838383839E-3</v>
      </c>
      <c r="L11" s="28">
        <f t="shared" si="0"/>
        <v>51.472727272727276</v>
      </c>
      <c r="M11" s="29">
        <f>A18*B18</f>
        <v>128</v>
      </c>
      <c r="N11" s="29">
        <f>C18</f>
        <v>450</v>
      </c>
      <c r="O11" s="29">
        <f>E18+F18*D18</f>
        <v>17.5</v>
      </c>
      <c r="P11" s="29">
        <f t="shared" si="1"/>
        <v>100</v>
      </c>
      <c r="Q11" s="28">
        <f t="shared" si="7"/>
        <v>1750</v>
      </c>
      <c r="R11" s="26">
        <f t="shared" si="8"/>
        <v>5104.6727272727276</v>
      </c>
      <c r="S11" s="26">
        <f>G18</f>
        <v>0.3</v>
      </c>
      <c r="T11" s="26">
        <f t="shared" si="9"/>
        <v>6636.0745454545458</v>
      </c>
      <c r="U11" s="27">
        <f t="shared" si="2"/>
        <v>0.14746832323232323</v>
      </c>
      <c r="V11" s="78">
        <f>E19+F19*D19</f>
        <v>11.25</v>
      </c>
      <c r="W11" s="78">
        <f t="shared" si="10"/>
        <v>1125</v>
      </c>
      <c r="X11" s="92">
        <f t="shared" si="11"/>
        <v>4479.6727272727276</v>
      </c>
      <c r="Y11" s="78">
        <f>G18</f>
        <v>0.3</v>
      </c>
      <c r="Z11" s="26">
        <f t="shared" si="12"/>
        <v>5823.5745454545458</v>
      </c>
      <c r="AA11" s="78">
        <f t="shared" si="3"/>
        <v>0.12941276767676768</v>
      </c>
      <c r="AB11" s="30">
        <v>70</v>
      </c>
      <c r="AC11" s="31">
        <f t="shared" si="13"/>
        <v>0.25069614949494951</v>
      </c>
      <c r="AD11" s="31">
        <f t="shared" si="14"/>
        <v>0.22000170505050506</v>
      </c>
    </row>
    <row r="12" spans="1:30" ht="14.4" x14ac:dyDescent="0.3">
      <c r="A12" s="15">
        <v>500</v>
      </c>
      <c r="B12" s="7" t="s">
        <v>10</v>
      </c>
      <c r="C12" s="22" t="s">
        <v>21</v>
      </c>
      <c r="D12" s="23">
        <v>75000</v>
      </c>
      <c r="E12" s="24">
        <v>0.05</v>
      </c>
      <c r="F12" s="25">
        <v>42</v>
      </c>
      <c r="G12" s="26">
        <f t="shared" si="4"/>
        <v>44.1</v>
      </c>
      <c r="H12" s="27">
        <f t="shared" si="5"/>
        <v>3307.5</v>
      </c>
      <c r="I12" s="27">
        <f>C26</f>
        <v>1.5999999999999999</v>
      </c>
      <c r="J12" s="89">
        <f t="shared" si="6"/>
        <v>5292</v>
      </c>
      <c r="K12" s="84">
        <f>E36</f>
        <v>1.1438383838383839E-3</v>
      </c>
      <c r="L12" s="28">
        <f t="shared" si="0"/>
        <v>85.787878787878796</v>
      </c>
      <c r="M12" s="29">
        <f>A18*B18</f>
        <v>128</v>
      </c>
      <c r="N12" s="29">
        <f>C18</f>
        <v>450</v>
      </c>
      <c r="O12" s="29">
        <f>E18+F18*D18</f>
        <v>17.5</v>
      </c>
      <c r="P12" s="29">
        <f t="shared" si="1"/>
        <v>166.66666666666666</v>
      </c>
      <c r="Q12" s="28">
        <f>O12*P12</f>
        <v>2916.6666666666665</v>
      </c>
      <c r="R12" s="26">
        <f t="shared" si="8"/>
        <v>8422.454545454546</v>
      </c>
      <c r="S12" s="26">
        <f>G18</f>
        <v>0.3</v>
      </c>
      <c r="T12" s="26">
        <f t="shared" si="9"/>
        <v>10949.19090909091</v>
      </c>
      <c r="U12" s="27">
        <f t="shared" si="2"/>
        <v>0.14598921212121213</v>
      </c>
      <c r="V12" s="78">
        <f>E19+F19*D19</f>
        <v>11.25</v>
      </c>
      <c r="W12" s="78">
        <f t="shared" si="10"/>
        <v>1875</v>
      </c>
      <c r="X12" s="92">
        <f t="shared" si="11"/>
        <v>7380.787878787879</v>
      </c>
      <c r="Y12" s="78">
        <f>G18</f>
        <v>0.3</v>
      </c>
      <c r="Z12" s="26">
        <f t="shared" si="12"/>
        <v>9595.0242424242424</v>
      </c>
      <c r="AA12" s="78">
        <f t="shared" si="3"/>
        <v>0.12793365656565656</v>
      </c>
      <c r="AB12" s="30">
        <v>70</v>
      </c>
      <c r="AC12" s="31">
        <f t="shared" si="13"/>
        <v>0.24818166060606062</v>
      </c>
      <c r="AD12" s="31">
        <f t="shared" si="14"/>
        <v>0.21748721616161615</v>
      </c>
    </row>
    <row r="13" spans="1:30" ht="14.4" x14ac:dyDescent="0.3">
      <c r="A13" s="15">
        <v>500</v>
      </c>
      <c r="B13" s="7" t="s">
        <v>11</v>
      </c>
      <c r="C13" s="22" t="s">
        <v>22</v>
      </c>
      <c r="D13" s="23">
        <v>125000</v>
      </c>
      <c r="E13" s="24">
        <v>0.03</v>
      </c>
      <c r="F13" s="25">
        <v>42</v>
      </c>
      <c r="G13" s="26">
        <f t="shared" si="4"/>
        <v>43.26</v>
      </c>
      <c r="H13" s="27">
        <f t="shared" si="5"/>
        <v>5407.5</v>
      </c>
      <c r="I13" s="27">
        <f>C26</f>
        <v>1.5999999999999999</v>
      </c>
      <c r="J13" s="89">
        <f t="shared" si="6"/>
        <v>8652</v>
      </c>
      <c r="K13" s="84">
        <f>E36</f>
        <v>1.1438383838383839E-3</v>
      </c>
      <c r="L13" s="28">
        <f t="shared" si="0"/>
        <v>142.97979797979798</v>
      </c>
      <c r="M13" s="29">
        <f>A18*B18</f>
        <v>128</v>
      </c>
      <c r="N13" s="29">
        <f>C18</f>
        <v>450</v>
      </c>
      <c r="O13" s="29">
        <f>E18+F18*D18</f>
        <v>17.5</v>
      </c>
      <c r="P13" s="29">
        <f t="shared" si="1"/>
        <v>277.77777777777777</v>
      </c>
      <c r="Q13" s="28">
        <f t="shared" si="7"/>
        <v>4861.1111111111113</v>
      </c>
      <c r="R13" s="26">
        <f t="shared" si="8"/>
        <v>13784.090909090908</v>
      </c>
      <c r="S13" s="26">
        <f>G18</f>
        <v>0.3</v>
      </c>
      <c r="T13" s="26">
        <f t="shared" si="9"/>
        <v>17919.31818181818</v>
      </c>
      <c r="U13" s="27">
        <f t="shared" si="2"/>
        <v>0.14335454545454543</v>
      </c>
      <c r="V13" s="78">
        <f>E19+F19*D19</f>
        <v>11.25</v>
      </c>
      <c r="W13" s="78">
        <f t="shared" si="10"/>
        <v>3125</v>
      </c>
      <c r="X13" s="92">
        <f t="shared" si="11"/>
        <v>12047.979797979799</v>
      </c>
      <c r="Y13" s="78">
        <f>G18</f>
        <v>0.3</v>
      </c>
      <c r="Z13" s="26">
        <f t="shared" si="12"/>
        <v>15662.373737373739</v>
      </c>
      <c r="AA13" s="78">
        <f t="shared" si="3"/>
        <v>0.12529898989898991</v>
      </c>
      <c r="AB13" s="30">
        <v>65</v>
      </c>
      <c r="AC13" s="31">
        <f t="shared" si="13"/>
        <v>0.23653499999999997</v>
      </c>
      <c r="AD13" s="31">
        <f t="shared" si="14"/>
        <v>0.20674333333333333</v>
      </c>
    </row>
    <row r="14" spans="1:30" ht="15" thickBot="1" x14ac:dyDescent="0.35">
      <c r="A14" s="15">
        <v>500</v>
      </c>
      <c r="B14" s="7" t="s">
        <v>12</v>
      </c>
      <c r="C14" s="22" t="s">
        <v>23</v>
      </c>
      <c r="D14" s="23">
        <v>200000</v>
      </c>
      <c r="E14" s="24">
        <v>0.03</v>
      </c>
      <c r="F14" s="25">
        <v>42</v>
      </c>
      <c r="G14" s="26">
        <f t="shared" si="4"/>
        <v>43.26</v>
      </c>
      <c r="H14" s="27">
        <f t="shared" si="5"/>
        <v>8652</v>
      </c>
      <c r="I14" s="27">
        <f>C26</f>
        <v>1.5999999999999999</v>
      </c>
      <c r="J14" s="89">
        <f t="shared" si="6"/>
        <v>13843.199999999999</v>
      </c>
      <c r="K14" s="84">
        <f>E36</f>
        <v>1.1438383838383839E-3</v>
      </c>
      <c r="L14" s="28">
        <f t="shared" si="0"/>
        <v>228.76767676767679</v>
      </c>
      <c r="M14" s="29">
        <f>A18*B18</f>
        <v>128</v>
      </c>
      <c r="N14" s="29">
        <f>C18</f>
        <v>450</v>
      </c>
      <c r="O14" s="29">
        <f>E18+F18*D18</f>
        <v>17.5</v>
      </c>
      <c r="P14" s="29">
        <f t="shared" si="1"/>
        <v>444.44444444444446</v>
      </c>
      <c r="Q14" s="28">
        <f t="shared" si="7"/>
        <v>7777.7777777777783</v>
      </c>
      <c r="R14" s="26">
        <f t="shared" si="8"/>
        <v>21977.745454545453</v>
      </c>
      <c r="S14" s="26">
        <f>G18</f>
        <v>0.3</v>
      </c>
      <c r="T14" s="26">
        <f t="shared" si="9"/>
        <v>28571.069090909088</v>
      </c>
      <c r="U14" s="27">
        <f t="shared" si="2"/>
        <v>0.14285534545454545</v>
      </c>
      <c r="V14" s="78">
        <f>E19+F19*D19</f>
        <v>11.25</v>
      </c>
      <c r="W14" s="78">
        <f t="shared" si="10"/>
        <v>5000</v>
      </c>
      <c r="X14" s="92">
        <f t="shared" si="11"/>
        <v>19199.967676767676</v>
      </c>
      <c r="Y14" s="78">
        <f>G18</f>
        <v>0.3</v>
      </c>
      <c r="Z14" s="26">
        <f t="shared" si="12"/>
        <v>24959.957979797979</v>
      </c>
      <c r="AA14" s="78">
        <f t="shared" si="3"/>
        <v>0.12479978989898989</v>
      </c>
      <c r="AB14" s="30">
        <v>60</v>
      </c>
      <c r="AC14" s="32">
        <f t="shared" si="13"/>
        <v>0.22856855272727272</v>
      </c>
      <c r="AD14" s="32">
        <f t="shared" si="14"/>
        <v>0.19967966383838381</v>
      </c>
    </row>
    <row r="15" spans="1:30" ht="14.4" thickBot="1" x14ac:dyDescent="0.35"/>
    <row r="16" spans="1:30" x14ac:dyDescent="0.3">
      <c r="A16" s="33" t="s">
        <v>27</v>
      </c>
      <c r="B16" s="34"/>
      <c r="C16" s="34"/>
      <c r="D16" s="34"/>
      <c r="E16" s="34"/>
      <c r="F16" s="34"/>
      <c r="G16" s="35"/>
      <c r="AC16" s="80"/>
    </row>
    <row r="17" spans="1:12" x14ac:dyDescent="0.3">
      <c r="A17" s="36" t="s">
        <v>28</v>
      </c>
      <c r="B17" s="37" t="s">
        <v>29</v>
      </c>
      <c r="C17" s="37" t="s">
        <v>30</v>
      </c>
      <c r="D17" s="37" t="s">
        <v>31</v>
      </c>
      <c r="E17" s="37" t="s">
        <v>32</v>
      </c>
      <c r="F17" s="37" t="s">
        <v>33</v>
      </c>
      <c r="G17" s="38" t="s">
        <v>34</v>
      </c>
      <c r="J17" s="39"/>
      <c r="K17" s="85"/>
      <c r="L17" s="14" t="s">
        <v>59</v>
      </c>
    </row>
    <row r="18" spans="1:12" ht="14.4" thickBot="1" x14ac:dyDescent="0.35">
      <c r="A18" s="40">
        <v>4</v>
      </c>
      <c r="B18" s="41">
        <v>32</v>
      </c>
      <c r="C18" s="41">
        <v>450</v>
      </c>
      <c r="D18" s="41">
        <v>0.5</v>
      </c>
      <c r="E18" s="41">
        <v>5</v>
      </c>
      <c r="F18" s="42">
        <v>25</v>
      </c>
      <c r="G18" s="43">
        <v>0.3</v>
      </c>
    </row>
    <row r="19" spans="1:12" ht="14.4" thickBot="1" x14ac:dyDescent="0.35">
      <c r="A19" s="40">
        <v>4</v>
      </c>
      <c r="B19" s="41">
        <v>32</v>
      </c>
      <c r="C19" s="41">
        <v>450</v>
      </c>
      <c r="D19" s="41">
        <v>0.25</v>
      </c>
      <c r="E19" s="41">
        <v>5</v>
      </c>
      <c r="F19" s="42">
        <v>25</v>
      </c>
      <c r="G19" s="43">
        <v>0.3</v>
      </c>
    </row>
    <row r="20" spans="1:12" ht="14.4" thickBot="1" x14ac:dyDescent="0.35">
      <c r="J20" s="44"/>
      <c r="K20" s="86"/>
      <c r="L20" s="14" t="s">
        <v>60</v>
      </c>
    </row>
    <row r="21" spans="1:12" x14ac:dyDescent="0.3">
      <c r="A21" s="45" t="s">
        <v>35</v>
      </c>
      <c r="B21" s="46"/>
      <c r="C21" s="46" t="s">
        <v>36</v>
      </c>
      <c r="D21" s="47" t="s">
        <v>37</v>
      </c>
    </row>
    <row r="22" spans="1:12" x14ac:dyDescent="0.3">
      <c r="A22" s="48" t="s">
        <v>40</v>
      </c>
      <c r="B22" s="49">
        <v>1.5</v>
      </c>
      <c r="C22" s="50">
        <v>96</v>
      </c>
      <c r="D22" s="51"/>
    </row>
    <row r="23" spans="1:12" x14ac:dyDescent="0.3">
      <c r="A23" s="48" t="s">
        <v>40</v>
      </c>
      <c r="B23" s="49">
        <v>4</v>
      </c>
      <c r="C23" s="50">
        <v>4</v>
      </c>
      <c r="D23" s="51"/>
    </row>
    <row r="24" spans="1:12" x14ac:dyDescent="0.3">
      <c r="A24" s="48" t="s">
        <v>40</v>
      </c>
      <c r="B24" s="49">
        <v>0</v>
      </c>
      <c r="C24" s="50"/>
      <c r="D24" s="51"/>
    </row>
    <row r="25" spans="1:12" ht="14.4" thickBot="1" x14ac:dyDescent="0.35">
      <c r="A25" s="48" t="s">
        <v>44</v>
      </c>
      <c r="B25" s="49">
        <v>0</v>
      </c>
      <c r="C25" s="50"/>
      <c r="D25" s="51"/>
    </row>
    <row r="26" spans="1:12" ht="14.4" thickBot="1" x14ac:dyDescent="0.35">
      <c r="A26" s="52" t="s">
        <v>45</v>
      </c>
      <c r="B26" s="53">
        <f>SUM(B22:B25)</f>
        <v>5.5</v>
      </c>
      <c r="C26" s="54">
        <f>(B22*C22/100)+(B23*C23/100)+(B24*C24/100)+(B25*C25/100)</f>
        <v>1.5999999999999999</v>
      </c>
      <c r="D26" s="55" t="s">
        <v>62</v>
      </c>
    </row>
    <row r="27" spans="1:12" ht="14.4" thickBot="1" x14ac:dyDescent="0.35"/>
    <row r="28" spans="1:12" x14ac:dyDescent="0.3">
      <c r="A28" s="56" t="s">
        <v>38</v>
      </c>
      <c r="B28" s="57"/>
      <c r="C28" s="58"/>
      <c r="D28" s="59" t="s">
        <v>39</v>
      </c>
      <c r="E28" s="60" t="s">
        <v>97</v>
      </c>
    </row>
    <row r="29" spans="1:12" x14ac:dyDescent="0.3">
      <c r="A29" s="61" t="s">
        <v>42</v>
      </c>
      <c r="B29" s="62">
        <v>1100</v>
      </c>
      <c r="C29" s="63"/>
      <c r="D29" s="64"/>
      <c r="E29" s="65"/>
    </row>
    <row r="30" spans="1:12" x14ac:dyDescent="0.3">
      <c r="A30" s="61" t="s">
        <v>86</v>
      </c>
      <c r="B30" s="62">
        <v>9</v>
      </c>
      <c r="C30" s="63" t="s">
        <v>41</v>
      </c>
      <c r="D30" s="66">
        <v>0.68100000000000005</v>
      </c>
      <c r="E30" s="65">
        <f>D30*B30</f>
        <v>6.1290000000000004</v>
      </c>
    </row>
    <row r="31" spans="1:12" x14ac:dyDescent="0.3">
      <c r="A31" s="61" t="s">
        <v>87</v>
      </c>
      <c r="B31" s="62">
        <f>B30*B29</f>
        <v>9900</v>
      </c>
      <c r="C31" s="67"/>
      <c r="D31" s="68"/>
      <c r="E31" s="65"/>
    </row>
    <row r="32" spans="1:12" x14ac:dyDescent="0.3">
      <c r="A32" s="61" t="s">
        <v>88</v>
      </c>
      <c r="B32" s="62">
        <v>9</v>
      </c>
      <c r="C32" s="63" t="s">
        <v>43</v>
      </c>
      <c r="D32" s="69">
        <v>0.13800000000000001</v>
      </c>
      <c r="E32" s="65">
        <f>D32*B32</f>
        <v>1.242</v>
      </c>
    </row>
    <row r="33" spans="1:5" x14ac:dyDescent="0.3">
      <c r="A33" s="61" t="s">
        <v>46</v>
      </c>
      <c r="B33" s="62">
        <f>B32*5</f>
        <v>45</v>
      </c>
      <c r="C33" s="63" t="s">
        <v>47</v>
      </c>
      <c r="D33" s="66">
        <v>4.3400000000000001E-2</v>
      </c>
      <c r="E33" s="65">
        <f>D33*B33</f>
        <v>1.9530000000000001</v>
      </c>
    </row>
    <row r="34" spans="1:5" ht="14.4" thickBot="1" x14ac:dyDescent="0.35">
      <c r="A34" s="70" t="s">
        <v>48</v>
      </c>
      <c r="B34" s="71" t="s">
        <v>49</v>
      </c>
      <c r="C34" s="72" t="s">
        <v>50</v>
      </c>
      <c r="D34" s="73">
        <v>2</v>
      </c>
      <c r="E34" s="74">
        <f>D34</f>
        <v>2</v>
      </c>
    </row>
    <row r="35" spans="1:5" ht="14.4" thickBot="1" x14ac:dyDescent="0.35">
      <c r="E35" s="75">
        <f>SUM(E29:E34)</f>
        <v>11.324</v>
      </c>
    </row>
    <row r="36" spans="1:5" ht="14.4" thickBot="1" x14ac:dyDescent="0.35">
      <c r="D36" s="76" t="s">
        <v>98</v>
      </c>
      <c r="E36" s="77">
        <f>E35/B31</f>
        <v>1.1438383838383839E-3</v>
      </c>
    </row>
  </sheetData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C4B92-FCE6-4B81-BB6F-528A63EC5E2F}">
  <dimension ref="A2:AD36"/>
  <sheetViews>
    <sheetView topLeftCell="I1" workbookViewId="0">
      <selection activeCell="T4" sqref="T4:T14"/>
    </sheetView>
  </sheetViews>
  <sheetFormatPr defaultColWidth="9.109375" defaultRowHeight="13.8" x14ac:dyDescent="0.3"/>
  <cols>
    <col min="1" max="1" width="28.6640625" style="14" bestFit="1" customWidth="1"/>
    <col min="2" max="2" width="10.109375" style="14" bestFit="1" customWidth="1"/>
    <col min="3" max="3" width="21" style="14" bestFit="1" customWidth="1"/>
    <col min="4" max="4" width="12.44140625" style="14" bestFit="1" customWidth="1"/>
    <col min="5" max="5" width="21" style="14" bestFit="1" customWidth="1"/>
    <col min="6" max="6" width="14.88671875" style="14" bestFit="1" customWidth="1"/>
    <col min="7" max="7" width="23.5546875" style="14" bestFit="1" customWidth="1"/>
    <col min="8" max="8" width="18.6640625" style="14" customWidth="1"/>
    <col min="9" max="9" width="0.109375" style="14" customWidth="1"/>
    <col min="10" max="10" width="9.5546875" style="14" bestFit="1" customWidth="1"/>
    <col min="11" max="11" width="15.33203125" style="82" customWidth="1"/>
    <col min="12" max="12" width="17.5546875" style="14" bestFit="1" customWidth="1"/>
    <col min="13" max="13" width="19.33203125" style="14" customWidth="1"/>
    <col min="14" max="14" width="9.109375" style="14" customWidth="1"/>
    <col min="15" max="15" width="22.88671875" style="14" customWidth="1"/>
    <col min="16" max="16" width="11.88671875" style="14" customWidth="1"/>
    <col min="17" max="17" width="23.5546875" style="14" bestFit="1" customWidth="1"/>
    <col min="18" max="18" width="24.33203125" style="14" customWidth="1"/>
    <col min="19" max="19" width="11" style="14" customWidth="1"/>
    <col min="20" max="20" width="35.5546875" style="14" bestFit="1" customWidth="1"/>
    <col min="21" max="21" width="14.6640625" style="14" bestFit="1" customWidth="1"/>
    <col min="22" max="27" width="14.6640625" style="14" customWidth="1"/>
    <col min="28" max="28" width="16.5546875" style="14" bestFit="1" customWidth="1"/>
    <col min="29" max="29" width="17.44140625" style="14" bestFit="1" customWidth="1"/>
    <col min="30" max="30" width="11.88671875" style="14" bestFit="1" customWidth="1"/>
    <col min="31" max="16384" width="9.109375" style="14"/>
  </cols>
  <sheetData>
    <row r="2" spans="1:30" ht="14.4" thickBot="1" x14ac:dyDescent="0.35"/>
    <row r="3" spans="1:30" ht="74.25" customHeight="1" thickBot="1" x14ac:dyDescent="0.35">
      <c r="A3" s="15" t="s">
        <v>57</v>
      </c>
      <c r="B3" s="15" t="s">
        <v>24</v>
      </c>
      <c r="C3" s="15" t="s">
        <v>25</v>
      </c>
      <c r="D3" s="15" t="s">
        <v>26</v>
      </c>
      <c r="E3" s="15" t="s">
        <v>55</v>
      </c>
      <c r="F3" s="15" t="s">
        <v>58</v>
      </c>
      <c r="G3" s="16" t="s">
        <v>51</v>
      </c>
      <c r="H3" s="17" t="s">
        <v>52</v>
      </c>
      <c r="I3" s="17" t="s">
        <v>61</v>
      </c>
      <c r="J3" s="90" t="s">
        <v>53</v>
      </c>
      <c r="K3" s="83" t="s">
        <v>99</v>
      </c>
      <c r="L3" s="18" t="s">
        <v>96</v>
      </c>
      <c r="M3" s="19" t="s">
        <v>54</v>
      </c>
      <c r="N3" s="19" t="s">
        <v>100</v>
      </c>
      <c r="O3" s="19" t="s">
        <v>108</v>
      </c>
      <c r="P3" s="19" t="s">
        <v>101</v>
      </c>
      <c r="Q3" s="91" t="s">
        <v>116</v>
      </c>
      <c r="R3" s="87" t="s">
        <v>107</v>
      </c>
      <c r="S3" s="88" t="s">
        <v>102</v>
      </c>
      <c r="T3" s="87" t="s">
        <v>104</v>
      </c>
      <c r="U3" s="87" t="s">
        <v>105</v>
      </c>
      <c r="V3" s="19" t="s">
        <v>109</v>
      </c>
      <c r="W3" s="20" t="s">
        <v>110</v>
      </c>
      <c r="X3" s="20"/>
      <c r="Y3" s="20"/>
      <c r="Z3" s="20" t="s">
        <v>111</v>
      </c>
      <c r="AA3" s="20" t="s">
        <v>112</v>
      </c>
      <c r="AB3" s="20" t="s">
        <v>103</v>
      </c>
      <c r="AC3" s="79" t="s">
        <v>106</v>
      </c>
      <c r="AD3" s="21" t="s">
        <v>113</v>
      </c>
    </row>
    <row r="4" spans="1:30" ht="14.4" x14ac:dyDescent="0.3">
      <c r="A4" s="15">
        <v>500</v>
      </c>
      <c r="B4" s="7" t="s">
        <v>2</v>
      </c>
      <c r="C4" s="22" t="s">
        <v>13</v>
      </c>
      <c r="D4" s="23">
        <v>2000</v>
      </c>
      <c r="E4" s="24">
        <v>0.1</v>
      </c>
      <c r="F4" s="25">
        <v>42</v>
      </c>
      <c r="G4" s="26">
        <f>F4+F4*E4</f>
        <v>46.2</v>
      </c>
      <c r="H4" s="27">
        <f>(G4*D4)/1000</f>
        <v>92.4</v>
      </c>
      <c r="I4" s="27">
        <f>C26</f>
        <v>2.04</v>
      </c>
      <c r="J4" s="89">
        <f>H4*I4</f>
        <v>188.49600000000001</v>
      </c>
      <c r="K4" s="84">
        <f>E36</f>
        <v>1.1438383838383839E-3</v>
      </c>
      <c r="L4" s="28">
        <f t="shared" ref="L4:L14" si="0">K4*D4</f>
        <v>2.2876767676767678</v>
      </c>
      <c r="M4" s="29">
        <f>A18*B18</f>
        <v>128</v>
      </c>
      <c r="N4" s="29">
        <f>C18</f>
        <v>450</v>
      </c>
      <c r="O4" s="29">
        <f>E18+F18*D18</f>
        <v>17.5</v>
      </c>
      <c r="P4" s="29">
        <f t="shared" ref="P4:P14" si="1">D4/N4</f>
        <v>4.4444444444444446</v>
      </c>
      <c r="Q4" s="28">
        <f>O4*P4</f>
        <v>77.777777777777786</v>
      </c>
      <c r="R4" s="26">
        <f>Q4+L4+J4+M4</f>
        <v>396.56145454545458</v>
      </c>
      <c r="S4" s="26">
        <f>G18</f>
        <v>0.3</v>
      </c>
      <c r="T4" s="26">
        <f>R4+R4*S4</f>
        <v>515.52989090909091</v>
      </c>
      <c r="U4" s="27">
        <f t="shared" ref="U4:U14" si="2">T4/D4</f>
        <v>0.25776494545454548</v>
      </c>
      <c r="V4" s="78">
        <f>E19+F19*D19</f>
        <v>11.25</v>
      </c>
      <c r="W4" s="78">
        <f>V4*P4</f>
        <v>50</v>
      </c>
      <c r="X4" s="92">
        <f>W4+M4+L4+J4</f>
        <v>368.78367676767675</v>
      </c>
      <c r="Y4" s="78">
        <f>G18</f>
        <v>0.3</v>
      </c>
      <c r="Z4" s="26">
        <f>X4+X4*Y4</f>
        <v>479.41877979797977</v>
      </c>
      <c r="AA4" s="78">
        <f t="shared" ref="AA4:AA14" si="3">Z4/D4</f>
        <v>0.23970938989898988</v>
      </c>
      <c r="AB4" s="30">
        <v>180</v>
      </c>
      <c r="AC4" s="81">
        <f>U4*2+(U4*2*80/100)</f>
        <v>0.92795380363636371</v>
      </c>
      <c r="AD4" s="81">
        <f>AA4*2+(AA4*2*80/100)</f>
        <v>0.86295380363636354</v>
      </c>
    </row>
    <row r="5" spans="1:30" ht="14.4" x14ac:dyDescent="0.3">
      <c r="A5" s="15">
        <v>500</v>
      </c>
      <c r="B5" s="7" t="s">
        <v>3</v>
      </c>
      <c r="C5" s="22" t="s">
        <v>14</v>
      </c>
      <c r="D5" s="23">
        <v>4000</v>
      </c>
      <c r="E5" s="24">
        <v>0.1</v>
      </c>
      <c r="F5" s="25">
        <v>42</v>
      </c>
      <c r="G5" s="26">
        <f t="shared" ref="G5:G14" si="4">F5+F5*E5</f>
        <v>46.2</v>
      </c>
      <c r="H5" s="27">
        <f t="shared" ref="H5:H14" si="5">(G5*D5)/1000</f>
        <v>184.8</v>
      </c>
      <c r="I5" s="27">
        <f>C26</f>
        <v>2.04</v>
      </c>
      <c r="J5" s="89">
        <f t="shared" ref="J5:J14" si="6">H5*I5</f>
        <v>376.99200000000002</v>
      </c>
      <c r="K5" s="84">
        <f>E36</f>
        <v>1.1438383838383839E-3</v>
      </c>
      <c r="L5" s="28">
        <f t="shared" si="0"/>
        <v>4.5753535353535355</v>
      </c>
      <c r="M5" s="29">
        <f>A18*B18</f>
        <v>128</v>
      </c>
      <c r="N5" s="29">
        <f>C18</f>
        <v>450</v>
      </c>
      <c r="O5" s="29">
        <f>E18+F18*D18</f>
        <v>17.5</v>
      </c>
      <c r="P5" s="29">
        <f t="shared" si="1"/>
        <v>8.8888888888888893</v>
      </c>
      <c r="Q5" s="28">
        <f t="shared" ref="Q5:Q14" si="7">O5*P5</f>
        <v>155.55555555555557</v>
      </c>
      <c r="R5" s="26">
        <f t="shared" ref="R5:R14" si="8">Q5+L5+J5+M5</f>
        <v>665.12290909090916</v>
      </c>
      <c r="S5" s="26">
        <f>G18</f>
        <v>0.3</v>
      </c>
      <c r="T5" s="26">
        <f t="shared" ref="T5:T14" si="9">R5+R5*S5</f>
        <v>864.65978181818195</v>
      </c>
      <c r="U5" s="27">
        <f t="shared" si="2"/>
        <v>0.21616494545454548</v>
      </c>
      <c r="V5" s="78">
        <f>E19+F19*D19</f>
        <v>11.25</v>
      </c>
      <c r="W5" s="78">
        <f t="shared" ref="W5:W14" si="10">V5*P5</f>
        <v>100</v>
      </c>
      <c r="X5" s="92">
        <f t="shared" ref="X5:X14" si="11">W5+M5+L5+J5</f>
        <v>609.5673535353535</v>
      </c>
      <c r="Y5" s="78">
        <f>G18</f>
        <v>0.3</v>
      </c>
      <c r="Z5" s="26">
        <f t="shared" ref="Z5:Z14" si="12">X5+X5*Y5</f>
        <v>792.43755959595956</v>
      </c>
      <c r="AA5" s="78">
        <f t="shared" si="3"/>
        <v>0.19810938989898988</v>
      </c>
      <c r="AB5" s="30">
        <v>160</v>
      </c>
      <c r="AC5" s="31">
        <f>U5*2+(U5*2*80/100)</f>
        <v>0.7781938036363637</v>
      </c>
      <c r="AD5" s="31">
        <f>AA5*2+(AA5*2*80/100)</f>
        <v>0.71319380363636353</v>
      </c>
    </row>
    <row r="6" spans="1:30" ht="14.4" x14ac:dyDescent="0.3">
      <c r="A6" s="15">
        <v>500</v>
      </c>
      <c r="B6" s="7" t="s">
        <v>4</v>
      </c>
      <c r="C6" s="22" t="s">
        <v>15</v>
      </c>
      <c r="D6" s="23">
        <v>7500</v>
      </c>
      <c r="E6" s="24">
        <v>7.0000000000000007E-2</v>
      </c>
      <c r="F6" s="25">
        <v>42</v>
      </c>
      <c r="G6" s="26">
        <f t="shared" si="4"/>
        <v>44.94</v>
      </c>
      <c r="H6" s="27">
        <f t="shared" si="5"/>
        <v>337.05</v>
      </c>
      <c r="I6" s="27">
        <f>C26</f>
        <v>2.04</v>
      </c>
      <c r="J6" s="89">
        <f t="shared" si="6"/>
        <v>687.58199999999999</v>
      </c>
      <c r="K6" s="84">
        <f>E36</f>
        <v>1.1438383838383839E-3</v>
      </c>
      <c r="L6" s="28">
        <f t="shared" si="0"/>
        <v>8.57878787878788</v>
      </c>
      <c r="M6" s="29">
        <f>A18*B18</f>
        <v>128</v>
      </c>
      <c r="N6" s="29">
        <f>C18</f>
        <v>450</v>
      </c>
      <c r="O6" s="29">
        <f>E18+F18*D18</f>
        <v>17.5</v>
      </c>
      <c r="P6" s="29">
        <f t="shared" si="1"/>
        <v>16.666666666666668</v>
      </c>
      <c r="Q6" s="28">
        <f t="shared" si="7"/>
        <v>291.66666666666669</v>
      </c>
      <c r="R6" s="26">
        <f t="shared" si="8"/>
        <v>1115.8274545454547</v>
      </c>
      <c r="S6" s="26">
        <f>G18</f>
        <v>0.3</v>
      </c>
      <c r="T6" s="26">
        <f t="shared" si="9"/>
        <v>1450.575690909091</v>
      </c>
      <c r="U6" s="27">
        <f t="shared" si="2"/>
        <v>0.19341009212121213</v>
      </c>
      <c r="V6" s="78">
        <f>E19+F19*D19</f>
        <v>11.25</v>
      </c>
      <c r="W6" s="78">
        <f t="shared" si="10"/>
        <v>187.5</v>
      </c>
      <c r="X6" s="92">
        <f t="shared" si="11"/>
        <v>1011.6607878787879</v>
      </c>
      <c r="Y6" s="78">
        <f>G18</f>
        <v>0.3</v>
      </c>
      <c r="Z6" s="26">
        <f t="shared" si="12"/>
        <v>1315.1590242424243</v>
      </c>
      <c r="AA6" s="78">
        <f t="shared" si="3"/>
        <v>0.17535453656565658</v>
      </c>
      <c r="AB6" s="30">
        <v>140</v>
      </c>
      <c r="AC6" s="31">
        <f>U6*2+(U6*2*80/100)</f>
        <v>0.6962763316363636</v>
      </c>
      <c r="AD6" s="31">
        <f>AA6*2+(AA6*2*80/100)</f>
        <v>0.63127633163636365</v>
      </c>
    </row>
    <row r="7" spans="1:30" ht="14.4" x14ac:dyDescent="0.3">
      <c r="A7" s="15">
        <v>500</v>
      </c>
      <c r="B7" s="7" t="s">
        <v>5</v>
      </c>
      <c r="C7" s="22" t="s">
        <v>16</v>
      </c>
      <c r="D7" s="23">
        <v>12500</v>
      </c>
      <c r="E7" s="24">
        <v>7.0000000000000007E-2</v>
      </c>
      <c r="F7" s="25">
        <v>42</v>
      </c>
      <c r="G7" s="26">
        <f t="shared" si="4"/>
        <v>44.94</v>
      </c>
      <c r="H7" s="27">
        <f t="shared" si="5"/>
        <v>561.75</v>
      </c>
      <c r="I7" s="27">
        <f>C26</f>
        <v>2.04</v>
      </c>
      <c r="J7" s="89">
        <f t="shared" si="6"/>
        <v>1145.97</v>
      </c>
      <c r="K7" s="84">
        <f>E36</f>
        <v>1.1438383838383839E-3</v>
      </c>
      <c r="L7" s="28">
        <f t="shared" si="0"/>
        <v>14.297979797979799</v>
      </c>
      <c r="M7" s="29">
        <f>A18*B18</f>
        <v>128</v>
      </c>
      <c r="N7" s="29">
        <f>C18</f>
        <v>450</v>
      </c>
      <c r="O7" s="29">
        <f>E18+F18*D18</f>
        <v>17.5</v>
      </c>
      <c r="P7" s="29">
        <f t="shared" si="1"/>
        <v>27.777777777777779</v>
      </c>
      <c r="Q7" s="28">
        <f t="shared" si="7"/>
        <v>486.11111111111114</v>
      </c>
      <c r="R7" s="26">
        <f t="shared" si="8"/>
        <v>1774.379090909091</v>
      </c>
      <c r="S7" s="26">
        <f>G18</f>
        <v>0.3</v>
      </c>
      <c r="T7" s="26">
        <f t="shared" si="9"/>
        <v>2306.6928181818184</v>
      </c>
      <c r="U7" s="27">
        <f t="shared" si="2"/>
        <v>0.18453542545454549</v>
      </c>
      <c r="V7" s="78">
        <f>E19+F19*D19</f>
        <v>11.25</v>
      </c>
      <c r="W7" s="78">
        <f t="shared" si="10"/>
        <v>312.5</v>
      </c>
      <c r="X7" s="92">
        <f t="shared" si="11"/>
        <v>1600.7679797979799</v>
      </c>
      <c r="Y7" s="78">
        <f>G18</f>
        <v>0.3</v>
      </c>
      <c r="Z7" s="26">
        <f t="shared" si="12"/>
        <v>2080.9983737373741</v>
      </c>
      <c r="AA7" s="78">
        <f t="shared" si="3"/>
        <v>0.16647986989898994</v>
      </c>
      <c r="AB7" s="30">
        <v>85</v>
      </c>
      <c r="AC7" s="31">
        <f>U7+U7*AB7/100</f>
        <v>0.34139053709090916</v>
      </c>
      <c r="AD7" s="31">
        <f>AA7+AA7*AB7/100</f>
        <v>0.30798775931313138</v>
      </c>
    </row>
    <row r="8" spans="1:30" ht="14.4" x14ac:dyDescent="0.3">
      <c r="A8" s="15">
        <v>500</v>
      </c>
      <c r="B8" s="7" t="s">
        <v>6</v>
      </c>
      <c r="C8" s="22" t="s">
        <v>17</v>
      </c>
      <c r="D8" s="23">
        <v>17500</v>
      </c>
      <c r="E8" s="24">
        <v>7.0000000000000007E-2</v>
      </c>
      <c r="F8" s="25">
        <v>42</v>
      </c>
      <c r="G8" s="26">
        <f t="shared" si="4"/>
        <v>44.94</v>
      </c>
      <c r="H8" s="27">
        <f t="shared" si="5"/>
        <v>786.45</v>
      </c>
      <c r="I8" s="27">
        <f>C26</f>
        <v>2.04</v>
      </c>
      <c r="J8" s="89">
        <f t="shared" si="6"/>
        <v>1604.3580000000002</v>
      </c>
      <c r="K8" s="84">
        <f>E36</f>
        <v>1.1438383838383839E-3</v>
      </c>
      <c r="L8" s="28">
        <f t="shared" si="0"/>
        <v>20.017171717171717</v>
      </c>
      <c r="M8" s="29">
        <f>A18*B18</f>
        <v>128</v>
      </c>
      <c r="N8" s="29">
        <f>C18</f>
        <v>450</v>
      </c>
      <c r="O8" s="29">
        <f>E18+F18*D18</f>
        <v>17.5</v>
      </c>
      <c r="P8" s="29">
        <f t="shared" si="1"/>
        <v>38.888888888888886</v>
      </c>
      <c r="Q8" s="28">
        <f t="shared" si="7"/>
        <v>680.55555555555554</v>
      </c>
      <c r="R8" s="26">
        <f t="shared" si="8"/>
        <v>2432.9307272727274</v>
      </c>
      <c r="S8" s="26">
        <f>G18</f>
        <v>0.3</v>
      </c>
      <c r="T8" s="26">
        <f t="shared" si="9"/>
        <v>3162.8099454545454</v>
      </c>
      <c r="U8" s="27">
        <f t="shared" si="2"/>
        <v>0.18073199688311689</v>
      </c>
      <c r="V8" s="78">
        <f>E19+F19*D19</f>
        <v>11.25</v>
      </c>
      <c r="W8" s="78">
        <f t="shared" si="10"/>
        <v>437.49999999999994</v>
      </c>
      <c r="X8" s="92">
        <f t="shared" si="11"/>
        <v>2189.8751717171717</v>
      </c>
      <c r="Y8" s="78">
        <f>G18</f>
        <v>0.3</v>
      </c>
      <c r="Z8" s="26">
        <f t="shared" si="12"/>
        <v>2846.8377232323232</v>
      </c>
      <c r="AA8" s="78">
        <f t="shared" si="3"/>
        <v>0.16267644132756132</v>
      </c>
      <c r="AB8" s="30">
        <v>80</v>
      </c>
      <c r="AC8" s="31">
        <f t="shared" ref="AC8:AC14" si="13">U8+U8*AB8/100</f>
        <v>0.32531759438961039</v>
      </c>
      <c r="AD8" s="31">
        <f t="shared" ref="AD8:AD14" si="14">AA8+AA8*AB8/100</f>
        <v>0.29281759438961036</v>
      </c>
    </row>
    <row r="9" spans="1:30" ht="14.4" x14ac:dyDescent="0.3">
      <c r="A9" s="15">
        <v>500</v>
      </c>
      <c r="B9" s="7" t="s">
        <v>7</v>
      </c>
      <c r="C9" s="22" t="s">
        <v>18</v>
      </c>
      <c r="D9" s="23">
        <v>25000</v>
      </c>
      <c r="E9" s="24">
        <v>0.05</v>
      </c>
      <c r="F9" s="25">
        <v>42</v>
      </c>
      <c r="G9" s="26">
        <f t="shared" si="4"/>
        <v>44.1</v>
      </c>
      <c r="H9" s="27">
        <f t="shared" si="5"/>
        <v>1102.5</v>
      </c>
      <c r="I9" s="27">
        <f>C26</f>
        <v>2.04</v>
      </c>
      <c r="J9" s="89">
        <f t="shared" si="6"/>
        <v>2249.1</v>
      </c>
      <c r="K9" s="84">
        <f>E36</f>
        <v>1.1438383838383839E-3</v>
      </c>
      <c r="L9" s="28">
        <f t="shared" si="0"/>
        <v>28.595959595959599</v>
      </c>
      <c r="M9" s="29">
        <f>A18*B18</f>
        <v>128</v>
      </c>
      <c r="N9" s="29">
        <f>C18</f>
        <v>450</v>
      </c>
      <c r="O9" s="29">
        <f>E18+F18*D18</f>
        <v>17.5</v>
      </c>
      <c r="P9" s="29">
        <f t="shared" si="1"/>
        <v>55.555555555555557</v>
      </c>
      <c r="Q9" s="28">
        <f t="shared" si="7"/>
        <v>972.22222222222229</v>
      </c>
      <c r="R9" s="26">
        <f t="shared" si="8"/>
        <v>3377.9181818181819</v>
      </c>
      <c r="S9" s="26">
        <f>G18</f>
        <v>0.3</v>
      </c>
      <c r="T9" s="26">
        <f t="shared" si="9"/>
        <v>4391.2936363636363</v>
      </c>
      <c r="U9" s="27">
        <f t="shared" si="2"/>
        <v>0.17565174545454545</v>
      </c>
      <c r="V9" s="78">
        <f>E19+F19*D19</f>
        <v>11.25</v>
      </c>
      <c r="W9" s="78">
        <f t="shared" si="10"/>
        <v>625</v>
      </c>
      <c r="X9" s="92">
        <f t="shared" si="11"/>
        <v>3030.6959595959597</v>
      </c>
      <c r="Y9" s="78">
        <f>G18</f>
        <v>0.3</v>
      </c>
      <c r="Z9" s="26">
        <f t="shared" si="12"/>
        <v>3939.9047474747476</v>
      </c>
      <c r="AA9" s="78">
        <f t="shared" si="3"/>
        <v>0.15759618989898991</v>
      </c>
      <c r="AB9" s="30">
        <v>75</v>
      </c>
      <c r="AC9" s="31">
        <f t="shared" si="13"/>
        <v>0.30739055454545455</v>
      </c>
      <c r="AD9" s="31">
        <f t="shared" si="14"/>
        <v>0.27579333232323233</v>
      </c>
    </row>
    <row r="10" spans="1:30" ht="14.4" x14ac:dyDescent="0.3">
      <c r="A10" s="15">
        <v>500</v>
      </c>
      <c r="B10" s="7" t="s">
        <v>8</v>
      </c>
      <c r="C10" s="22" t="s">
        <v>19</v>
      </c>
      <c r="D10" s="23">
        <v>35000</v>
      </c>
      <c r="E10" s="24">
        <v>0.05</v>
      </c>
      <c r="F10" s="25">
        <v>42</v>
      </c>
      <c r="G10" s="26">
        <f t="shared" si="4"/>
        <v>44.1</v>
      </c>
      <c r="H10" s="27">
        <f t="shared" si="5"/>
        <v>1543.5</v>
      </c>
      <c r="I10" s="27">
        <f>C26</f>
        <v>2.04</v>
      </c>
      <c r="J10" s="89">
        <f t="shared" si="6"/>
        <v>3148.7400000000002</v>
      </c>
      <c r="K10" s="84">
        <f>E36</f>
        <v>1.1438383838383839E-3</v>
      </c>
      <c r="L10" s="28">
        <f t="shared" si="0"/>
        <v>40.034343434343434</v>
      </c>
      <c r="M10" s="29">
        <f>A18*B18</f>
        <v>128</v>
      </c>
      <c r="N10" s="29">
        <f>C18</f>
        <v>450</v>
      </c>
      <c r="O10" s="29">
        <f>E18+F18*D18</f>
        <v>17.5</v>
      </c>
      <c r="P10" s="29">
        <f t="shared" si="1"/>
        <v>77.777777777777771</v>
      </c>
      <c r="Q10" s="28">
        <f t="shared" si="7"/>
        <v>1361.1111111111111</v>
      </c>
      <c r="R10" s="26">
        <f t="shared" si="8"/>
        <v>4677.8854545454542</v>
      </c>
      <c r="S10" s="26">
        <f>G18</f>
        <v>0.3</v>
      </c>
      <c r="T10" s="26">
        <f t="shared" si="9"/>
        <v>6081.2510909090906</v>
      </c>
      <c r="U10" s="27">
        <f t="shared" si="2"/>
        <v>0.17375003116883117</v>
      </c>
      <c r="V10" s="78">
        <f>E19+F19*D19</f>
        <v>11.25</v>
      </c>
      <c r="W10" s="78">
        <f t="shared" si="10"/>
        <v>874.99999999999989</v>
      </c>
      <c r="X10" s="92">
        <f t="shared" si="11"/>
        <v>4191.7743434343438</v>
      </c>
      <c r="Y10" s="78">
        <f>G18</f>
        <v>0.3</v>
      </c>
      <c r="Z10" s="26">
        <f t="shared" si="12"/>
        <v>5449.3066464646472</v>
      </c>
      <c r="AA10" s="78">
        <f t="shared" si="3"/>
        <v>0.15569447561327562</v>
      </c>
      <c r="AB10" s="30">
        <v>75</v>
      </c>
      <c r="AC10" s="31">
        <f t="shared" si="13"/>
        <v>0.30406255454545456</v>
      </c>
      <c r="AD10" s="31">
        <f t="shared" si="14"/>
        <v>0.27246533232323233</v>
      </c>
    </row>
    <row r="11" spans="1:30" ht="14.4" x14ac:dyDescent="0.3">
      <c r="A11" s="15">
        <v>500</v>
      </c>
      <c r="B11" s="7" t="s">
        <v>9</v>
      </c>
      <c r="C11" s="22" t="s">
        <v>20</v>
      </c>
      <c r="D11" s="23">
        <v>45000</v>
      </c>
      <c r="E11" s="24">
        <v>0.05</v>
      </c>
      <c r="F11" s="25">
        <v>42</v>
      </c>
      <c r="G11" s="26">
        <f t="shared" si="4"/>
        <v>44.1</v>
      </c>
      <c r="H11" s="27">
        <f t="shared" si="5"/>
        <v>1984.5</v>
      </c>
      <c r="I11" s="27">
        <f>C26</f>
        <v>2.04</v>
      </c>
      <c r="J11" s="89">
        <f t="shared" si="6"/>
        <v>4048.38</v>
      </c>
      <c r="K11" s="84">
        <f>E36</f>
        <v>1.1438383838383839E-3</v>
      </c>
      <c r="L11" s="28">
        <f t="shared" si="0"/>
        <v>51.472727272727276</v>
      </c>
      <c r="M11" s="29">
        <f>A18*B18</f>
        <v>128</v>
      </c>
      <c r="N11" s="29">
        <f>C18</f>
        <v>450</v>
      </c>
      <c r="O11" s="29">
        <f>E18+F18*D18</f>
        <v>17.5</v>
      </c>
      <c r="P11" s="29">
        <f t="shared" si="1"/>
        <v>100</v>
      </c>
      <c r="Q11" s="28">
        <f t="shared" si="7"/>
        <v>1750</v>
      </c>
      <c r="R11" s="26">
        <f t="shared" si="8"/>
        <v>5977.8527272727279</v>
      </c>
      <c r="S11" s="26">
        <f>G18</f>
        <v>0.3</v>
      </c>
      <c r="T11" s="26">
        <f t="shared" si="9"/>
        <v>7771.2085454545459</v>
      </c>
      <c r="U11" s="27">
        <f t="shared" si="2"/>
        <v>0.17269352323232323</v>
      </c>
      <c r="V11" s="78">
        <f>E19+F19*D19</f>
        <v>11.25</v>
      </c>
      <c r="W11" s="78">
        <f t="shared" si="10"/>
        <v>1125</v>
      </c>
      <c r="X11" s="92">
        <f t="shared" si="11"/>
        <v>5352.8527272727279</v>
      </c>
      <c r="Y11" s="78">
        <f>G18</f>
        <v>0.3</v>
      </c>
      <c r="Z11" s="26">
        <f t="shared" si="12"/>
        <v>6958.7085454545459</v>
      </c>
      <c r="AA11" s="78">
        <f t="shared" si="3"/>
        <v>0.15463796767676768</v>
      </c>
      <c r="AB11" s="30">
        <v>70</v>
      </c>
      <c r="AC11" s="31">
        <f t="shared" si="13"/>
        <v>0.29357898949494948</v>
      </c>
      <c r="AD11" s="31">
        <f t="shared" si="14"/>
        <v>0.26288454505050507</v>
      </c>
    </row>
    <row r="12" spans="1:30" ht="14.4" x14ac:dyDescent="0.3">
      <c r="A12" s="15">
        <v>500</v>
      </c>
      <c r="B12" s="7" t="s">
        <v>10</v>
      </c>
      <c r="C12" s="22" t="s">
        <v>21</v>
      </c>
      <c r="D12" s="23">
        <v>75000</v>
      </c>
      <c r="E12" s="24">
        <v>0.05</v>
      </c>
      <c r="F12" s="25">
        <v>42</v>
      </c>
      <c r="G12" s="26">
        <f t="shared" si="4"/>
        <v>44.1</v>
      </c>
      <c r="H12" s="27">
        <f t="shared" si="5"/>
        <v>3307.5</v>
      </c>
      <c r="I12" s="27">
        <f>C26</f>
        <v>2.04</v>
      </c>
      <c r="J12" s="89">
        <f t="shared" si="6"/>
        <v>6747.3</v>
      </c>
      <c r="K12" s="84">
        <f>E36</f>
        <v>1.1438383838383839E-3</v>
      </c>
      <c r="L12" s="28">
        <f t="shared" si="0"/>
        <v>85.787878787878796</v>
      </c>
      <c r="M12" s="29">
        <f>A18*B18</f>
        <v>128</v>
      </c>
      <c r="N12" s="29">
        <f>C18</f>
        <v>450</v>
      </c>
      <c r="O12" s="29">
        <f>E18+F18*D18</f>
        <v>17.5</v>
      </c>
      <c r="P12" s="29">
        <f t="shared" si="1"/>
        <v>166.66666666666666</v>
      </c>
      <c r="Q12" s="28">
        <f>O12*P12</f>
        <v>2916.6666666666665</v>
      </c>
      <c r="R12" s="26">
        <f t="shared" si="8"/>
        <v>9877.7545454545452</v>
      </c>
      <c r="S12" s="26">
        <f>G18</f>
        <v>0.3</v>
      </c>
      <c r="T12" s="26">
        <f t="shared" si="9"/>
        <v>12841.08090909091</v>
      </c>
      <c r="U12" s="27">
        <f t="shared" si="2"/>
        <v>0.17121441212121213</v>
      </c>
      <c r="V12" s="78">
        <f>E19+F19*D19</f>
        <v>11.25</v>
      </c>
      <c r="W12" s="78">
        <f t="shared" si="10"/>
        <v>1875</v>
      </c>
      <c r="X12" s="92">
        <f t="shared" si="11"/>
        <v>8836.0878787878792</v>
      </c>
      <c r="Y12" s="78">
        <f>G18</f>
        <v>0.3</v>
      </c>
      <c r="Z12" s="26">
        <f t="shared" si="12"/>
        <v>11486.914242424242</v>
      </c>
      <c r="AA12" s="78">
        <f t="shared" si="3"/>
        <v>0.15315885656565656</v>
      </c>
      <c r="AB12" s="30">
        <v>70</v>
      </c>
      <c r="AC12" s="31">
        <f t="shared" si="13"/>
        <v>0.29106450060606059</v>
      </c>
      <c r="AD12" s="31">
        <f t="shared" si="14"/>
        <v>0.26037005616161613</v>
      </c>
    </row>
    <row r="13" spans="1:30" ht="14.4" x14ac:dyDescent="0.3">
      <c r="A13" s="15">
        <v>500</v>
      </c>
      <c r="B13" s="7" t="s">
        <v>11</v>
      </c>
      <c r="C13" s="22" t="s">
        <v>22</v>
      </c>
      <c r="D13" s="23">
        <v>125000</v>
      </c>
      <c r="E13" s="24">
        <v>0.03</v>
      </c>
      <c r="F13" s="25">
        <v>42</v>
      </c>
      <c r="G13" s="26">
        <f t="shared" si="4"/>
        <v>43.26</v>
      </c>
      <c r="H13" s="27">
        <f t="shared" si="5"/>
        <v>5407.5</v>
      </c>
      <c r="I13" s="27">
        <f>C26</f>
        <v>2.04</v>
      </c>
      <c r="J13" s="89">
        <f t="shared" si="6"/>
        <v>11031.300000000001</v>
      </c>
      <c r="K13" s="84">
        <f>E36</f>
        <v>1.1438383838383839E-3</v>
      </c>
      <c r="L13" s="28">
        <f t="shared" si="0"/>
        <v>142.97979797979798</v>
      </c>
      <c r="M13" s="29">
        <f>A18*B18</f>
        <v>128</v>
      </c>
      <c r="N13" s="29">
        <f>C18</f>
        <v>450</v>
      </c>
      <c r="O13" s="29">
        <f>E18+F18*D18</f>
        <v>17.5</v>
      </c>
      <c r="P13" s="29">
        <f t="shared" si="1"/>
        <v>277.77777777777777</v>
      </c>
      <c r="Q13" s="28">
        <f t="shared" si="7"/>
        <v>4861.1111111111113</v>
      </c>
      <c r="R13" s="26">
        <f t="shared" si="8"/>
        <v>16163.390909090911</v>
      </c>
      <c r="S13" s="26">
        <f>G18</f>
        <v>0.3</v>
      </c>
      <c r="T13" s="26">
        <f t="shared" si="9"/>
        <v>21012.408181818184</v>
      </c>
      <c r="U13" s="27">
        <f t="shared" si="2"/>
        <v>0.16809926545454548</v>
      </c>
      <c r="V13" s="78">
        <f>E19+F19*D19</f>
        <v>11.25</v>
      </c>
      <c r="W13" s="78">
        <f t="shared" si="10"/>
        <v>3125</v>
      </c>
      <c r="X13" s="92">
        <f t="shared" si="11"/>
        <v>14427.2797979798</v>
      </c>
      <c r="Y13" s="78">
        <f>G18</f>
        <v>0.3</v>
      </c>
      <c r="Z13" s="26">
        <f t="shared" si="12"/>
        <v>18755.463737373739</v>
      </c>
      <c r="AA13" s="78">
        <f t="shared" si="3"/>
        <v>0.15004370989898991</v>
      </c>
      <c r="AB13" s="30">
        <v>65</v>
      </c>
      <c r="AC13" s="31">
        <f t="shared" si="13"/>
        <v>0.27736378800000006</v>
      </c>
      <c r="AD13" s="31">
        <f t="shared" si="14"/>
        <v>0.24757212133333334</v>
      </c>
    </row>
    <row r="14" spans="1:30" ht="15" thickBot="1" x14ac:dyDescent="0.35">
      <c r="A14" s="15">
        <v>500</v>
      </c>
      <c r="B14" s="7" t="s">
        <v>12</v>
      </c>
      <c r="C14" s="22" t="s">
        <v>23</v>
      </c>
      <c r="D14" s="23">
        <v>200000</v>
      </c>
      <c r="E14" s="24">
        <v>0.03</v>
      </c>
      <c r="F14" s="25">
        <v>42</v>
      </c>
      <c r="G14" s="26">
        <f t="shared" si="4"/>
        <v>43.26</v>
      </c>
      <c r="H14" s="27">
        <f t="shared" si="5"/>
        <v>8652</v>
      </c>
      <c r="I14" s="27">
        <f>C26</f>
        <v>2.04</v>
      </c>
      <c r="J14" s="89">
        <f t="shared" si="6"/>
        <v>17650.080000000002</v>
      </c>
      <c r="K14" s="84">
        <f>E36</f>
        <v>1.1438383838383839E-3</v>
      </c>
      <c r="L14" s="28">
        <f t="shared" si="0"/>
        <v>228.76767676767679</v>
      </c>
      <c r="M14" s="29">
        <f>A18*B18</f>
        <v>128</v>
      </c>
      <c r="N14" s="29">
        <f>C18</f>
        <v>450</v>
      </c>
      <c r="O14" s="29">
        <f>E18+F18*D18</f>
        <v>17.5</v>
      </c>
      <c r="P14" s="29">
        <f t="shared" si="1"/>
        <v>444.44444444444446</v>
      </c>
      <c r="Q14" s="28">
        <f t="shared" si="7"/>
        <v>7777.7777777777783</v>
      </c>
      <c r="R14" s="26">
        <f t="shared" si="8"/>
        <v>25784.625454545458</v>
      </c>
      <c r="S14" s="26">
        <f>G18</f>
        <v>0.3</v>
      </c>
      <c r="T14" s="26">
        <f t="shared" si="9"/>
        <v>33520.013090909095</v>
      </c>
      <c r="U14" s="27">
        <f t="shared" si="2"/>
        <v>0.16760006545454548</v>
      </c>
      <c r="V14" s="78">
        <f>E19+F19*D19</f>
        <v>11.25</v>
      </c>
      <c r="W14" s="78">
        <f t="shared" si="10"/>
        <v>5000</v>
      </c>
      <c r="X14" s="92">
        <f t="shared" si="11"/>
        <v>23006.847676767677</v>
      </c>
      <c r="Y14" s="78">
        <f>G18</f>
        <v>0.3</v>
      </c>
      <c r="Z14" s="26">
        <f t="shared" si="12"/>
        <v>29908.901979797978</v>
      </c>
      <c r="AA14" s="78">
        <f t="shared" si="3"/>
        <v>0.1495445098989899</v>
      </c>
      <c r="AB14" s="30">
        <v>60</v>
      </c>
      <c r="AC14" s="32">
        <f t="shared" si="13"/>
        <v>0.26816010472727275</v>
      </c>
      <c r="AD14" s="32">
        <f t="shared" si="14"/>
        <v>0.23927121583838384</v>
      </c>
    </row>
    <row r="15" spans="1:30" ht="14.4" thickBot="1" x14ac:dyDescent="0.35"/>
    <row r="16" spans="1:30" x14ac:dyDescent="0.3">
      <c r="A16" s="33" t="s">
        <v>27</v>
      </c>
      <c r="B16" s="34"/>
      <c r="C16" s="34"/>
      <c r="D16" s="34"/>
      <c r="E16" s="34"/>
      <c r="F16" s="34"/>
      <c r="G16" s="35"/>
      <c r="AC16" s="80"/>
    </row>
    <row r="17" spans="1:12" x14ac:dyDescent="0.3">
      <c r="A17" s="36" t="s">
        <v>28</v>
      </c>
      <c r="B17" s="37" t="s">
        <v>29</v>
      </c>
      <c r="C17" s="37" t="s">
        <v>30</v>
      </c>
      <c r="D17" s="37" t="s">
        <v>31</v>
      </c>
      <c r="E17" s="37" t="s">
        <v>32</v>
      </c>
      <c r="F17" s="37" t="s">
        <v>33</v>
      </c>
      <c r="G17" s="38" t="s">
        <v>34</v>
      </c>
      <c r="J17" s="39"/>
      <c r="K17" s="85"/>
      <c r="L17" s="14" t="s">
        <v>59</v>
      </c>
    </row>
    <row r="18" spans="1:12" ht="14.4" thickBot="1" x14ac:dyDescent="0.35">
      <c r="A18" s="40">
        <v>4</v>
      </c>
      <c r="B18" s="41">
        <v>32</v>
      </c>
      <c r="C18" s="41">
        <v>450</v>
      </c>
      <c r="D18" s="41">
        <v>0.5</v>
      </c>
      <c r="E18" s="41">
        <v>5</v>
      </c>
      <c r="F18" s="42">
        <v>25</v>
      </c>
      <c r="G18" s="43">
        <v>0.3</v>
      </c>
    </row>
    <row r="19" spans="1:12" ht="14.4" thickBot="1" x14ac:dyDescent="0.35">
      <c r="A19" s="40">
        <v>4</v>
      </c>
      <c r="B19" s="41">
        <v>32</v>
      </c>
      <c r="C19" s="41">
        <v>450</v>
      </c>
      <c r="D19" s="41">
        <v>0.25</v>
      </c>
      <c r="E19" s="41">
        <v>5</v>
      </c>
      <c r="F19" s="42">
        <v>25</v>
      </c>
      <c r="G19" s="43">
        <v>0.3</v>
      </c>
    </row>
    <row r="20" spans="1:12" ht="14.4" thickBot="1" x14ac:dyDescent="0.35">
      <c r="J20" s="44"/>
      <c r="K20" s="86"/>
      <c r="L20" s="14" t="s">
        <v>60</v>
      </c>
    </row>
    <row r="21" spans="1:12" x14ac:dyDescent="0.3">
      <c r="A21" s="45" t="s">
        <v>35</v>
      </c>
      <c r="B21" s="46"/>
      <c r="C21" s="46" t="s">
        <v>36</v>
      </c>
      <c r="D21" s="47" t="s">
        <v>37</v>
      </c>
    </row>
    <row r="22" spans="1:12" x14ac:dyDescent="0.3">
      <c r="A22" s="48" t="s">
        <v>40</v>
      </c>
      <c r="B22" s="49">
        <v>1.5</v>
      </c>
      <c r="C22" s="50">
        <v>96</v>
      </c>
      <c r="D22" s="51"/>
    </row>
    <row r="23" spans="1:12" x14ac:dyDescent="0.3">
      <c r="A23" s="48" t="s">
        <v>40</v>
      </c>
      <c r="B23" s="49">
        <v>15</v>
      </c>
      <c r="C23" s="50">
        <v>4</v>
      </c>
      <c r="D23" s="51"/>
    </row>
    <row r="24" spans="1:12" x14ac:dyDescent="0.3">
      <c r="A24" s="48" t="s">
        <v>40</v>
      </c>
      <c r="B24" s="49">
        <v>0</v>
      </c>
      <c r="C24" s="50"/>
      <c r="D24" s="51"/>
    </row>
    <row r="25" spans="1:12" ht="14.4" thickBot="1" x14ac:dyDescent="0.35">
      <c r="A25" s="48" t="s">
        <v>44</v>
      </c>
      <c r="B25" s="49">
        <v>0</v>
      </c>
      <c r="C25" s="50"/>
      <c r="D25" s="51"/>
    </row>
    <row r="26" spans="1:12" ht="14.4" thickBot="1" x14ac:dyDescent="0.35">
      <c r="A26" s="52" t="s">
        <v>45</v>
      </c>
      <c r="B26" s="53">
        <f>SUM(B22:B25)</f>
        <v>16.5</v>
      </c>
      <c r="C26" s="54">
        <f>(B22*C22/100)+(B23*C23/100)+(B24*C24/100)+(B25*C25/100)</f>
        <v>2.04</v>
      </c>
      <c r="D26" s="55" t="s">
        <v>62</v>
      </c>
    </row>
    <row r="27" spans="1:12" ht="14.4" thickBot="1" x14ac:dyDescent="0.35"/>
    <row r="28" spans="1:12" x14ac:dyDescent="0.3">
      <c r="A28" s="56" t="s">
        <v>38</v>
      </c>
      <c r="B28" s="57"/>
      <c r="C28" s="58"/>
      <c r="D28" s="59" t="s">
        <v>39</v>
      </c>
      <c r="E28" s="60" t="s">
        <v>97</v>
      </c>
    </row>
    <row r="29" spans="1:12" x14ac:dyDescent="0.3">
      <c r="A29" s="61" t="s">
        <v>42</v>
      </c>
      <c r="B29" s="62">
        <v>1100</v>
      </c>
      <c r="C29" s="63"/>
      <c r="D29" s="64"/>
      <c r="E29" s="65"/>
    </row>
    <row r="30" spans="1:12" x14ac:dyDescent="0.3">
      <c r="A30" s="61" t="s">
        <v>86</v>
      </c>
      <c r="B30" s="62">
        <v>9</v>
      </c>
      <c r="C30" s="63" t="s">
        <v>41</v>
      </c>
      <c r="D30" s="66">
        <v>0.68100000000000005</v>
      </c>
      <c r="E30" s="65">
        <f>D30*B30</f>
        <v>6.1290000000000004</v>
      </c>
    </row>
    <row r="31" spans="1:12" x14ac:dyDescent="0.3">
      <c r="A31" s="61" t="s">
        <v>87</v>
      </c>
      <c r="B31" s="62">
        <f>B30*B29</f>
        <v>9900</v>
      </c>
      <c r="C31" s="67"/>
      <c r="D31" s="68"/>
      <c r="E31" s="65"/>
    </row>
    <row r="32" spans="1:12" x14ac:dyDescent="0.3">
      <c r="A32" s="61" t="s">
        <v>88</v>
      </c>
      <c r="B32" s="62">
        <v>9</v>
      </c>
      <c r="C32" s="63" t="s">
        <v>43</v>
      </c>
      <c r="D32" s="69">
        <v>0.13800000000000001</v>
      </c>
      <c r="E32" s="65">
        <f>D32*B32</f>
        <v>1.242</v>
      </c>
    </row>
    <row r="33" spans="1:5" x14ac:dyDescent="0.3">
      <c r="A33" s="61" t="s">
        <v>46</v>
      </c>
      <c r="B33" s="62">
        <f>B32*5</f>
        <v>45</v>
      </c>
      <c r="C33" s="63" t="s">
        <v>47</v>
      </c>
      <c r="D33" s="66">
        <v>4.3400000000000001E-2</v>
      </c>
      <c r="E33" s="65">
        <f>D33*B33</f>
        <v>1.9530000000000001</v>
      </c>
    </row>
    <row r="34" spans="1:5" ht="14.4" thickBot="1" x14ac:dyDescent="0.35">
      <c r="A34" s="70" t="s">
        <v>48</v>
      </c>
      <c r="B34" s="71" t="s">
        <v>49</v>
      </c>
      <c r="C34" s="72" t="s">
        <v>50</v>
      </c>
      <c r="D34" s="73">
        <v>2</v>
      </c>
      <c r="E34" s="74">
        <f>D34</f>
        <v>2</v>
      </c>
    </row>
    <row r="35" spans="1:5" ht="14.4" thickBot="1" x14ac:dyDescent="0.35">
      <c r="E35" s="75">
        <f>SUM(E29:E34)</f>
        <v>11.324</v>
      </c>
    </row>
    <row r="36" spans="1:5" ht="14.4" thickBot="1" x14ac:dyDescent="0.35">
      <c r="D36" s="76" t="s">
        <v>98</v>
      </c>
      <c r="E36" s="77">
        <f>E35/B31</f>
        <v>1.1438383838383839E-3</v>
      </c>
    </row>
  </sheetData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E3A7B-4194-4EF8-BB3C-1EF088027972}">
  <dimension ref="A2:AD36"/>
  <sheetViews>
    <sheetView topLeftCell="F1" workbookViewId="0">
      <selection activeCell="T4" sqref="T4:T14"/>
    </sheetView>
  </sheetViews>
  <sheetFormatPr defaultColWidth="9.109375" defaultRowHeight="13.8" x14ac:dyDescent="0.3"/>
  <cols>
    <col min="1" max="1" width="28.6640625" style="14" bestFit="1" customWidth="1"/>
    <col min="2" max="2" width="10.109375" style="14" bestFit="1" customWidth="1"/>
    <col min="3" max="3" width="21" style="14" bestFit="1" customWidth="1"/>
    <col min="4" max="4" width="12.44140625" style="14" bestFit="1" customWidth="1"/>
    <col min="5" max="5" width="21" style="14" bestFit="1" customWidth="1"/>
    <col min="6" max="6" width="14.88671875" style="14" bestFit="1" customWidth="1"/>
    <col min="7" max="7" width="23.5546875" style="14" bestFit="1" customWidth="1"/>
    <col min="8" max="8" width="18.6640625" style="14" customWidth="1"/>
    <col min="9" max="9" width="0.109375" style="14" customWidth="1"/>
    <col min="10" max="10" width="9.5546875" style="14" bestFit="1" customWidth="1"/>
    <col min="11" max="11" width="15.33203125" style="82" customWidth="1"/>
    <col min="12" max="12" width="17.5546875" style="14" bestFit="1" customWidth="1"/>
    <col min="13" max="13" width="19.33203125" style="14" customWidth="1"/>
    <col min="14" max="14" width="9.109375" style="14" customWidth="1"/>
    <col min="15" max="15" width="22.88671875" style="14" customWidth="1"/>
    <col min="16" max="16" width="11.88671875" style="14" customWidth="1"/>
    <col min="17" max="17" width="23.5546875" style="14" bestFit="1" customWidth="1"/>
    <col min="18" max="18" width="24.33203125" style="14" customWidth="1"/>
    <col min="19" max="19" width="11" style="14" customWidth="1"/>
    <col min="20" max="20" width="35.5546875" style="14" bestFit="1" customWidth="1"/>
    <col min="21" max="21" width="14.6640625" style="14" bestFit="1" customWidth="1"/>
    <col min="22" max="27" width="14.6640625" style="14" customWidth="1"/>
    <col min="28" max="28" width="16.5546875" style="14" bestFit="1" customWidth="1"/>
    <col min="29" max="29" width="17.44140625" style="14" bestFit="1" customWidth="1"/>
    <col min="30" max="30" width="11.88671875" style="14" bestFit="1" customWidth="1"/>
    <col min="31" max="16384" width="9.109375" style="14"/>
  </cols>
  <sheetData>
    <row r="2" spans="1:30" ht="14.4" thickBot="1" x14ac:dyDescent="0.35"/>
    <row r="3" spans="1:30" ht="74.25" customHeight="1" thickBot="1" x14ac:dyDescent="0.35">
      <c r="A3" s="15" t="s">
        <v>57</v>
      </c>
      <c r="B3" s="15" t="s">
        <v>24</v>
      </c>
      <c r="C3" s="15" t="s">
        <v>25</v>
      </c>
      <c r="D3" s="15" t="s">
        <v>26</v>
      </c>
      <c r="E3" s="15" t="s">
        <v>55</v>
      </c>
      <c r="F3" s="15" t="s">
        <v>58</v>
      </c>
      <c r="G3" s="16" t="s">
        <v>51</v>
      </c>
      <c r="H3" s="17" t="s">
        <v>52</v>
      </c>
      <c r="I3" s="17" t="s">
        <v>61</v>
      </c>
      <c r="J3" s="90" t="s">
        <v>53</v>
      </c>
      <c r="K3" s="83" t="s">
        <v>99</v>
      </c>
      <c r="L3" s="18" t="s">
        <v>96</v>
      </c>
      <c r="M3" s="19" t="s">
        <v>54</v>
      </c>
      <c r="N3" s="19" t="s">
        <v>100</v>
      </c>
      <c r="O3" s="19" t="s">
        <v>108</v>
      </c>
      <c r="P3" s="19" t="s">
        <v>101</v>
      </c>
      <c r="Q3" s="91" t="s">
        <v>116</v>
      </c>
      <c r="R3" s="87" t="s">
        <v>107</v>
      </c>
      <c r="S3" s="88" t="s">
        <v>102</v>
      </c>
      <c r="T3" s="87" t="s">
        <v>104</v>
      </c>
      <c r="U3" s="87" t="s">
        <v>105</v>
      </c>
      <c r="V3" s="19" t="s">
        <v>109</v>
      </c>
      <c r="W3" s="20" t="s">
        <v>110</v>
      </c>
      <c r="X3" s="20"/>
      <c r="Y3" s="20"/>
      <c r="Z3" s="20" t="s">
        <v>111</v>
      </c>
      <c r="AA3" s="20" t="s">
        <v>112</v>
      </c>
      <c r="AB3" s="20" t="s">
        <v>103</v>
      </c>
      <c r="AC3" s="79" t="s">
        <v>106</v>
      </c>
      <c r="AD3" s="21" t="s">
        <v>113</v>
      </c>
    </row>
    <row r="4" spans="1:30" ht="14.4" x14ac:dyDescent="0.3">
      <c r="A4" s="15">
        <v>1000</v>
      </c>
      <c r="B4" s="7" t="s">
        <v>2</v>
      </c>
      <c r="C4" s="22" t="s">
        <v>13</v>
      </c>
      <c r="D4" s="23">
        <v>2000</v>
      </c>
      <c r="E4" s="24">
        <v>0.1</v>
      </c>
      <c r="F4" s="25">
        <v>60</v>
      </c>
      <c r="G4" s="26">
        <f>F4+F4*E4</f>
        <v>66</v>
      </c>
      <c r="H4" s="27">
        <f>(G4*D4)/1000</f>
        <v>132</v>
      </c>
      <c r="I4" s="27">
        <f>C26</f>
        <v>2.52</v>
      </c>
      <c r="J4" s="89">
        <f>H4*I4</f>
        <v>332.64</v>
      </c>
      <c r="K4" s="84">
        <f>E36</f>
        <v>1.1438383838383839E-3</v>
      </c>
      <c r="L4" s="28">
        <f t="shared" ref="L4:L14" si="0">K4*D4</f>
        <v>2.2876767676767678</v>
      </c>
      <c r="M4" s="29">
        <f>A18*B18</f>
        <v>128</v>
      </c>
      <c r="N4" s="29">
        <f>C18</f>
        <v>200</v>
      </c>
      <c r="O4" s="29">
        <f>E18+F18*D18</f>
        <v>17.5</v>
      </c>
      <c r="P4" s="29">
        <f t="shared" ref="P4:P14" si="1">D4/N4</f>
        <v>10</v>
      </c>
      <c r="Q4" s="28">
        <f>O4*P4</f>
        <v>175</v>
      </c>
      <c r="R4" s="26">
        <f>Q4+L4+J4+M4</f>
        <v>637.92767676767676</v>
      </c>
      <c r="S4" s="26">
        <f>G18</f>
        <v>0.3</v>
      </c>
      <c r="T4" s="26">
        <f>R4+R4*S4</f>
        <v>829.30597979797972</v>
      </c>
      <c r="U4" s="27">
        <f t="shared" ref="U4:U14" si="2">T4/D4</f>
        <v>0.41465298989898985</v>
      </c>
      <c r="V4" s="78">
        <f>E19+F19*D19</f>
        <v>11.25</v>
      </c>
      <c r="W4" s="78">
        <f>V4*P4</f>
        <v>112.5</v>
      </c>
      <c r="X4" s="92">
        <f>W4+M4+L4+J4</f>
        <v>575.42767676767676</v>
      </c>
      <c r="Y4" s="78">
        <f>G18</f>
        <v>0.3</v>
      </c>
      <c r="Z4" s="26">
        <f>X4+X4*Y4</f>
        <v>748.05597979797972</v>
      </c>
      <c r="AA4" s="78">
        <f t="shared" ref="AA4:AA14" si="3">Z4/D4</f>
        <v>0.37402798989898983</v>
      </c>
      <c r="AB4" s="30">
        <v>180</v>
      </c>
      <c r="AC4" s="81">
        <f>U4*2+(U4*2*80/100)</f>
        <v>1.4927507636363635</v>
      </c>
      <c r="AD4" s="81">
        <f>AA4*2+(AA4*2*80/100)</f>
        <v>1.3465007636363633</v>
      </c>
    </row>
    <row r="5" spans="1:30" ht="14.4" x14ac:dyDescent="0.3">
      <c r="A5" s="15">
        <v>1000</v>
      </c>
      <c r="B5" s="7" t="s">
        <v>3</v>
      </c>
      <c r="C5" s="22" t="s">
        <v>14</v>
      </c>
      <c r="D5" s="23">
        <v>4000</v>
      </c>
      <c r="E5" s="24">
        <v>0.1</v>
      </c>
      <c r="F5" s="25">
        <v>60</v>
      </c>
      <c r="G5" s="26">
        <f t="shared" ref="G5:G14" si="4">F5+F5*E5</f>
        <v>66</v>
      </c>
      <c r="H5" s="27">
        <f t="shared" ref="H5:H14" si="5">(G5*D5)/1000</f>
        <v>264</v>
      </c>
      <c r="I5" s="27">
        <f>C26</f>
        <v>2.52</v>
      </c>
      <c r="J5" s="89">
        <f t="shared" ref="J5:J14" si="6">H5*I5</f>
        <v>665.28</v>
      </c>
      <c r="K5" s="84">
        <f>E36</f>
        <v>1.1438383838383839E-3</v>
      </c>
      <c r="L5" s="28">
        <f t="shared" si="0"/>
        <v>4.5753535353535355</v>
      </c>
      <c r="M5" s="29">
        <f>A18*B18</f>
        <v>128</v>
      </c>
      <c r="N5" s="29">
        <f>C18</f>
        <v>200</v>
      </c>
      <c r="O5" s="29">
        <f>E18+F18*D18</f>
        <v>17.5</v>
      </c>
      <c r="P5" s="29">
        <f t="shared" si="1"/>
        <v>20</v>
      </c>
      <c r="Q5" s="28">
        <f t="shared" ref="Q5:Q14" si="7">O5*P5</f>
        <v>350</v>
      </c>
      <c r="R5" s="26">
        <f t="shared" ref="R5:R14" si="8">Q5+L5+J5+M5</f>
        <v>1147.8553535353535</v>
      </c>
      <c r="S5" s="26">
        <f>G18</f>
        <v>0.3</v>
      </c>
      <c r="T5" s="26">
        <f t="shared" ref="T5:T14" si="9">R5+R5*S5</f>
        <v>1492.2119595959596</v>
      </c>
      <c r="U5" s="27">
        <f t="shared" si="2"/>
        <v>0.37305298989898988</v>
      </c>
      <c r="V5" s="78">
        <f>E19+F19*D19</f>
        <v>11.25</v>
      </c>
      <c r="W5" s="78">
        <f t="shared" ref="W5:W14" si="10">V5*P5</f>
        <v>225</v>
      </c>
      <c r="X5" s="92">
        <f t="shared" ref="X5:X14" si="11">W5+M5+L5+J5</f>
        <v>1022.8553535353535</v>
      </c>
      <c r="Y5" s="78">
        <f>G18</f>
        <v>0.3</v>
      </c>
      <c r="Z5" s="26">
        <f t="shared" ref="Z5:Z14" si="12">X5+X5*Y5</f>
        <v>1329.7119595959596</v>
      </c>
      <c r="AA5" s="78">
        <f t="shared" si="3"/>
        <v>0.33242798989898992</v>
      </c>
      <c r="AB5" s="30">
        <v>160</v>
      </c>
      <c r="AC5" s="31">
        <f>U5*2+(U5*2*80/100)</f>
        <v>1.3429907636363636</v>
      </c>
      <c r="AD5" s="31">
        <f>AA5*2+(AA5*2*80/100)</f>
        <v>1.1967407636363636</v>
      </c>
    </row>
    <row r="6" spans="1:30" ht="14.4" x14ac:dyDescent="0.3">
      <c r="A6" s="15">
        <v>1000</v>
      </c>
      <c r="B6" s="7" t="s">
        <v>4</v>
      </c>
      <c r="C6" s="22" t="s">
        <v>15</v>
      </c>
      <c r="D6" s="23">
        <v>7500</v>
      </c>
      <c r="E6" s="24">
        <v>7.0000000000000007E-2</v>
      </c>
      <c r="F6" s="25">
        <v>60</v>
      </c>
      <c r="G6" s="26">
        <f t="shared" si="4"/>
        <v>64.2</v>
      </c>
      <c r="H6" s="27">
        <f t="shared" si="5"/>
        <v>481.5</v>
      </c>
      <c r="I6" s="27">
        <f>C26</f>
        <v>2.52</v>
      </c>
      <c r="J6" s="89">
        <f t="shared" si="6"/>
        <v>1213.3800000000001</v>
      </c>
      <c r="K6" s="84">
        <f>E36</f>
        <v>1.1438383838383839E-3</v>
      </c>
      <c r="L6" s="28">
        <f t="shared" si="0"/>
        <v>8.57878787878788</v>
      </c>
      <c r="M6" s="29">
        <f>A18*B18</f>
        <v>128</v>
      </c>
      <c r="N6" s="29">
        <f>C18</f>
        <v>200</v>
      </c>
      <c r="O6" s="29">
        <f>E18+F18*D18</f>
        <v>17.5</v>
      </c>
      <c r="P6" s="29">
        <f t="shared" si="1"/>
        <v>37.5</v>
      </c>
      <c r="Q6" s="28">
        <f t="shared" si="7"/>
        <v>656.25</v>
      </c>
      <c r="R6" s="26">
        <f t="shared" si="8"/>
        <v>2006.2087878787879</v>
      </c>
      <c r="S6" s="26">
        <f>G18</f>
        <v>0.3</v>
      </c>
      <c r="T6" s="26">
        <f t="shared" si="9"/>
        <v>2608.0714242424242</v>
      </c>
      <c r="U6" s="27">
        <f t="shared" si="2"/>
        <v>0.34774285656565657</v>
      </c>
      <c r="V6" s="78">
        <f>E19+F19*D19</f>
        <v>11.25</v>
      </c>
      <c r="W6" s="78">
        <f t="shared" si="10"/>
        <v>421.875</v>
      </c>
      <c r="X6" s="92">
        <f t="shared" si="11"/>
        <v>1771.8337878787879</v>
      </c>
      <c r="Y6" s="78">
        <f>G18</f>
        <v>0.3</v>
      </c>
      <c r="Z6" s="26">
        <f t="shared" si="12"/>
        <v>2303.3839242424242</v>
      </c>
      <c r="AA6" s="78">
        <f t="shared" si="3"/>
        <v>0.30711785656565654</v>
      </c>
      <c r="AB6" s="30">
        <v>140</v>
      </c>
      <c r="AC6" s="31">
        <f>U6*2+(U6*2*80/100)</f>
        <v>1.2518742836363637</v>
      </c>
      <c r="AD6" s="31">
        <f>AA6*2+(AA6*2*80/100)</f>
        <v>1.1056242836363634</v>
      </c>
    </row>
    <row r="7" spans="1:30" ht="14.4" x14ac:dyDescent="0.3">
      <c r="A7" s="15">
        <v>1000</v>
      </c>
      <c r="B7" s="7" t="s">
        <v>5</v>
      </c>
      <c r="C7" s="22" t="s">
        <v>16</v>
      </c>
      <c r="D7" s="23">
        <v>12500</v>
      </c>
      <c r="E7" s="24">
        <v>7.0000000000000007E-2</v>
      </c>
      <c r="F7" s="25">
        <v>60</v>
      </c>
      <c r="G7" s="26">
        <f t="shared" si="4"/>
        <v>64.2</v>
      </c>
      <c r="H7" s="27">
        <f t="shared" si="5"/>
        <v>802.5</v>
      </c>
      <c r="I7" s="27">
        <f>C26</f>
        <v>2.52</v>
      </c>
      <c r="J7" s="89">
        <f t="shared" si="6"/>
        <v>2022.3</v>
      </c>
      <c r="K7" s="84">
        <f>E36</f>
        <v>1.1438383838383839E-3</v>
      </c>
      <c r="L7" s="28">
        <f t="shared" si="0"/>
        <v>14.297979797979799</v>
      </c>
      <c r="M7" s="29">
        <f>A18*B18</f>
        <v>128</v>
      </c>
      <c r="N7" s="29">
        <f>C18</f>
        <v>200</v>
      </c>
      <c r="O7" s="29">
        <f>E18+F18*D18</f>
        <v>17.5</v>
      </c>
      <c r="P7" s="29">
        <f t="shared" si="1"/>
        <v>62.5</v>
      </c>
      <c r="Q7" s="28">
        <f t="shared" si="7"/>
        <v>1093.75</v>
      </c>
      <c r="R7" s="26">
        <f t="shared" si="8"/>
        <v>3258.3479797979799</v>
      </c>
      <c r="S7" s="26">
        <f>G18</f>
        <v>0.3</v>
      </c>
      <c r="T7" s="26">
        <f t="shared" si="9"/>
        <v>4235.8523737373735</v>
      </c>
      <c r="U7" s="27">
        <f t="shared" si="2"/>
        <v>0.33886818989898987</v>
      </c>
      <c r="V7" s="78">
        <f>E19+F19*D19</f>
        <v>11.25</v>
      </c>
      <c r="W7" s="78">
        <f t="shared" si="10"/>
        <v>703.125</v>
      </c>
      <c r="X7" s="92">
        <f t="shared" si="11"/>
        <v>2867.7229797979799</v>
      </c>
      <c r="Y7" s="78">
        <f>G18</f>
        <v>0.3</v>
      </c>
      <c r="Z7" s="26">
        <f t="shared" si="12"/>
        <v>3728.0398737373739</v>
      </c>
      <c r="AA7" s="78">
        <f t="shared" si="3"/>
        <v>0.2982431898989899</v>
      </c>
      <c r="AB7" s="30">
        <v>85</v>
      </c>
      <c r="AC7" s="31">
        <f>U7+U7*AB7/100</f>
        <v>0.62690615131313132</v>
      </c>
      <c r="AD7" s="31">
        <f>AA7+AA7*AB7/100</f>
        <v>0.55174990131313129</v>
      </c>
    </row>
    <row r="8" spans="1:30" ht="14.4" x14ac:dyDescent="0.3">
      <c r="A8" s="15">
        <v>1000</v>
      </c>
      <c r="B8" s="7" t="s">
        <v>6</v>
      </c>
      <c r="C8" s="22" t="s">
        <v>17</v>
      </c>
      <c r="D8" s="23">
        <v>17500</v>
      </c>
      <c r="E8" s="24">
        <v>7.0000000000000007E-2</v>
      </c>
      <c r="F8" s="25">
        <v>60</v>
      </c>
      <c r="G8" s="26">
        <f t="shared" si="4"/>
        <v>64.2</v>
      </c>
      <c r="H8" s="27">
        <f t="shared" si="5"/>
        <v>1123.5</v>
      </c>
      <c r="I8" s="27">
        <f>C26</f>
        <v>2.52</v>
      </c>
      <c r="J8" s="89">
        <f t="shared" si="6"/>
        <v>2831.22</v>
      </c>
      <c r="K8" s="84">
        <f>E36</f>
        <v>1.1438383838383839E-3</v>
      </c>
      <c r="L8" s="28">
        <f t="shared" si="0"/>
        <v>20.017171717171717</v>
      </c>
      <c r="M8" s="29">
        <f>A18*B18</f>
        <v>128</v>
      </c>
      <c r="N8" s="29">
        <f>C18</f>
        <v>200</v>
      </c>
      <c r="O8" s="29">
        <f>E18+F18*D18</f>
        <v>17.5</v>
      </c>
      <c r="P8" s="29">
        <f t="shared" si="1"/>
        <v>87.5</v>
      </c>
      <c r="Q8" s="28">
        <f t="shared" si="7"/>
        <v>1531.25</v>
      </c>
      <c r="R8" s="26">
        <f t="shared" si="8"/>
        <v>4510.4871717171718</v>
      </c>
      <c r="S8" s="26">
        <f>G18</f>
        <v>0.3</v>
      </c>
      <c r="T8" s="26">
        <f t="shared" si="9"/>
        <v>5863.6333232323232</v>
      </c>
      <c r="U8" s="27">
        <f t="shared" si="2"/>
        <v>0.3350647613275613</v>
      </c>
      <c r="V8" s="78">
        <f>E19+F19*D19</f>
        <v>11.25</v>
      </c>
      <c r="W8" s="78">
        <f t="shared" si="10"/>
        <v>984.375</v>
      </c>
      <c r="X8" s="92">
        <f t="shared" si="11"/>
        <v>3963.6121717171718</v>
      </c>
      <c r="Y8" s="78">
        <f>G18</f>
        <v>0.3</v>
      </c>
      <c r="Z8" s="26">
        <f t="shared" si="12"/>
        <v>5152.6958232323232</v>
      </c>
      <c r="AA8" s="78">
        <f t="shared" si="3"/>
        <v>0.29443976132756133</v>
      </c>
      <c r="AB8" s="30">
        <v>80</v>
      </c>
      <c r="AC8" s="31">
        <f t="shared" ref="AC8:AC14" si="13">U8+U8*AB8/100</f>
        <v>0.60311657038961031</v>
      </c>
      <c r="AD8" s="31">
        <f t="shared" ref="AD8:AD14" si="14">AA8+AA8*AB8/100</f>
        <v>0.52999157038961042</v>
      </c>
    </row>
    <row r="9" spans="1:30" ht="14.4" x14ac:dyDescent="0.3">
      <c r="A9" s="15">
        <v>1000</v>
      </c>
      <c r="B9" s="7" t="s">
        <v>7</v>
      </c>
      <c r="C9" s="22" t="s">
        <v>18</v>
      </c>
      <c r="D9" s="23">
        <v>25000</v>
      </c>
      <c r="E9" s="24">
        <v>0.05</v>
      </c>
      <c r="F9" s="25">
        <v>60</v>
      </c>
      <c r="G9" s="26">
        <f t="shared" si="4"/>
        <v>63</v>
      </c>
      <c r="H9" s="27">
        <f t="shared" si="5"/>
        <v>1575</v>
      </c>
      <c r="I9" s="27">
        <f>C26</f>
        <v>2.52</v>
      </c>
      <c r="J9" s="89">
        <f t="shared" si="6"/>
        <v>3969</v>
      </c>
      <c r="K9" s="84">
        <f>E36</f>
        <v>1.1438383838383839E-3</v>
      </c>
      <c r="L9" s="28">
        <f t="shared" si="0"/>
        <v>28.595959595959599</v>
      </c>
      <c r="M9" s="29">
        <f>A18*B18</f>
        <v>128</v>
      </c>
      <c r="N9" s="29">
        <f>C18</f>
        <v>200</v>
      </c>
      <c r="O9" s="29">
        <f>E18+F18*D18</f>
        <v>17.5</v>
      </c>
      <c r="P9" s="29">
        <f t="shared" si="1"/>
        <v>125</v>
      </c>
      <c r="Q9" s="28">
        <f t="shared" si="7"/>
        <v>2187.5</v>
      </c>
      <c r="R9" s="26">
        <f t="shared" si="8"/>
        <v>6313.0959595959594</v>
      </c>
      <c r="S9" s="26">
        <f>G18</f>
        <v>0.3</v>
      </c>
      <c r="T9" s="26">
        <f t="shared" si="9"/>
        <v>8207.0247474747466</v>
      </c>
      <c r="U9" s="27">
        <f t="shared" si="2"/>
        <v>0.32828098989898985</v>
      </c>
      <c r="V9" s="78">
        <f>E19+F19*D19</f>
        <v>11.25</v>
      </c>
      <c r="W9" s="78">
        <f t="shared" si="10"/>
        <v>1406.25</v>
      </c>
      <c r="X9" s="92">
        <f t="shared" si="11"/>
        <v>5531.8459595959594</v>
      </c>
      <c r="Y9" s="78">
        <f>G18</f>
        <v>0.3</v>
      </c>
      <c r="Z9" s="26">
        <f t="shared" si="12"/>
        <v>7191.3997474747466</v>
      </c>
      <c r="AA9" s="78">
        <f t="shared" si="3"/>
        <v>0.28765598989898988</v>
      </c>
      <c r="AB9" s="30">
        <v>75</v>
      </c>
      <c r="AC9" s="31">
        <f t="shared" si="13"/>
        <v>0.57449173232323225</v>
      </c>
      <c r="AD9" s="31">
        <f t="shared" si="14"/>
        <v>0.5033979823232323</v>
      </c>
    </row>
    <row r="10" spans="1:30" ht="14.4" x14ac:dyDescent="0.3">
      <c r="A10" s="15">
        <v>1000</v>
      </c>
      <c r="B10" s="7" t="s">
        <v>8</v>
      </c>
      <c r="C10" s="22" t="s">
        <v>19</v>
      </c>
      <c r="D10" s="23">
        <v>35000</v>
      </c>
      <c r="E10" s="24">
        <v>0.05</v>
      </c>
      <c r="F10" s="25">
        <v>60</v>
      </c>
      <c r="G10" s="26">
        <f t="shared" si="4"/>
        <v>63</v>
      </c>
      <c r="H10" s="27">
        <f t="shared" si="5"/>
        <v>2205</v>
      </c>
      <c r="I10" s="27">
        <f>C26</f>
        <v>2.52</v>
      </c>
      <c r="J10" s="89">
        <f t="shared" si="6"/>
        <v>5556.6</v>
      </c>
      <c r="K10" s="84">
        <f>E36</f>
        <v>1.1438383838383839E-3</v>
      </c>
      <c r="L10" s="28">
        <f t="shared" si="0"/>
        <v>40.034343434343434</v>
      </c>
      <c r="M10" s="29">
        <f>A18*B18</f>
        <v>128</v>
      </c>
      <c r="N10" s="29">
        <f>C18</f>
        <v>200</v>
      </c>
      <c r="O10" s="29">
        <f>E18+F18*D18</f>
        <v>17.5</v>
      </c>
      <c r="P10" s="29">
        <f t="shared" si="1"/>
        <v>175</v>
      </c>
      <c r="Q10" s="28">
        <f t="shared" si="7"/>
        <v>3062.5</v>
      </c>
      <c r="R10" s="26">
        <f t="shared" si="8"/>
        <v>8787.1343434343435</v>
      </c>
      <c r="S10" s="26">
        <f>G18</f>
        <v>0.3</v>
      </c>
      <c r="T10" s="26">
        <f t="shared" si="9"/>
        <v>11423.274646464646</v>
      </c>
      <c r="U10" s="27">
        <f t="shared" si="2"/>
        <v>0.32637927561327562</v>
      </c>
      <c r="V10" s="78">
        <f>E19+F19*D19</f>
        <v>11.25</v>
      </c>
      <c r="W10" s="78">
        <f t="shared" si="10"/>
        <v>1968.75</v>
      </c>
      <c r="X10" s="92">
        <f t="shared" si="11"/>
        <v>7693.3843434343435</v>
      </c>
      <c r="Y10" s="78">
        <f>G18</f>
        <v>0.3</v>
      </c>
      <c r="Z10" s="26">
        <f t="shared" si="12"/>
        <v>10001.399646464646</v>
      </c>
      <c r="AA10" s="78">
        <f t="shared" si="3"/>
        <v>0.2857542756132756</v>
      </c>
      <c r="AB10" s="30">
        <v>75</v>
      </c>
      <c r="AC10" s="31">
        <f t="shared" si="13"/>
        <v>0.57116373232323236</v>
      </c>
      <c r="AD10" s="31">
        <f t="shared" si="14"/>
        <v>0.5000699823232323</v>
      </c>
    </row>
    <row r="11" spans="1:30" ht="14.4" x14ac:dyDescent="0.3">
      <c r="A11" s="15">
        <v>1000</v>
      </c>
      <c r="B11" s="7" t="s">
        <v>9</v>
      </c>
      <c r="C11" s="22" t="s">
        <v>20</v>
      </c>
      <c r="D11" s="23">
        <v>45000</v>
      </c>
      <c r="E11" s="24">
        <v>0.05</v>
      </c>
      <c r="F11" s="25">
        <v>60</v>
      </c>
      <c r="G11" s="26">
        <f t="shared" si="4"/>
        <v>63</v>
      </c>
      <c r="H11" s="27">
        <f t="shared" si="5"/>
        <v>2835</v>
      </c>
      <c r="I11" s="27">
        <f>C26</f>
        <v>2.52</v>
      </c>
      <c r="J11" s="89">
        <f t="shared" si="6"/>
        <v>7144.2</v>
      </c>
      <c r="K11" s="84">
        <f>E36</f>
        <v>1.1438383838383839E-3</v>
      </c>
      <c r="L11" s="28">
        <f t="shared" si="0"/>
        <v>51.472727272727276</v>
      </c>
      <c r="M11" s="29">
        <f>A18*B18</f>
        <v>128</v>
      </c>
      <c r="N11" s="29">
        <f>C18</f>
        <v>200</v>
      </c>
      <c r="O11" s="29">
        <f>E18+F18*D18</f>
        <v>17.5</v>
      </c>
      <c r="P11" s="29">
        <f t="shared" si="1"/>
        <v>225</v>
      </c>
      <c r="Q11" s="28">
        <f t="shared" si="7"/>
        <v>3937.5</v>
      </c>
      <c r="R11" s="26">
        <f t="shared" si="8"/>
        <v>11261.172727272728</v>
      </c>
      <c r="S11" s="26">
        <f>G18</f>
        <v>0.3</v>
      </c>
      <c r="T11" s="26">
        <f t="shared" si="9"/>
        <v>14639.524545454546</v>
      </c>
      <c r="U11" s="27">
        <f t="shared" si="2"/>
        <v>0.32532276767676765</v>
      </c>
      <c r="V11" s="78">
        <f>E19+F19*D19</f>
        <v>11.25</v>
      </c>
      <c r="W11" s="78">
        <f t="shared" si="10"/>
        <v>2531.25</v>
      </c>
      <c r="X11" s="92">
        <f t="shared" si="11"/>
        <v>9854.9227272727276</v>
      </c>
      <c r="Y11" s="78">
        <f>G18</f>
        <v>0.3</v>
      </c>
      <c r="Z11" s="26">
        <f t="shared" si="12"/>
        <v>12811.399545454546</v>
      </c>
      <c r="AA11" s="78">
        <f t="shared" si="3"/>
        <v>0.28469776767676769</v>
      </c>
      <c r="AB11" s="30">
        <v>70</v>
      </c>
      <c r="AC11" s="31">
        <f t="shared" si="13"/>
        <v>0.55304870505050507</v>
      </c>
      <c r="AD11" s="31">
        <f t="shared" si="14"/>
        <v>0.48398620505050505</v>
      </c>
    </row>
    <row r="12" spans="1:30" ht="14.4" x14ac:dyDescent="0.3">
      <c r="A12" s="15">
        <v>1000</v>
      </c>
      <c r="B12" s="7" t="s">
        <v>10</v>
      </c>
      <c r="C12" s="22" t="s">
        <v>21</v>
      </c>
      <c r="D12" s="23">
        <v>75000</v>
      </c>
      <c r="E12" s="24">
        <v>0.05</v>
      </c>
      <c r="F12" s="25">
        <v>60</v>
      </c>
      <c r="G12" s="26">
        <f t="shared" si="4"/>
        <v>63</v>
      </c>
      <c r="H12" s="27">
        <f t="shared" si="5"/>
        <v>4725</v>
      </c>
      <c r="I12" s="27">
        <f>C26</f>
        <v>2.52</v>
      </c>
      <c r="J12" s="89">
        <f t="shared" si="6"/>
        <v>11907</v>
      </c>
      <c r="K12" s="84">
        <f>E36</f>
        <v>1.1438383838383839E-3</v>
      </c>
      <c r="L12" s="28">
        <f t="shared" si="0"/>
        <v>85.787878787878796</v>
      </c>
      <c r="M12" s="29">
        <f>A18*B18</f>
        <v>128</v>
      </c>
      <c r="N12" s="29">
        <f>C18</f>
        <v>200</v>
      </c>
      <c r="O12" s="29">
        <f>E18+F18*D18</f>
        <v>17.5</v>
      </c>
      <c r="P12" s="29">
        <f t="shared" si="1"/>
        <v>375</v>
      </c>
      <c r="Q12" s="28">
        <f>O12*P12</f>
        <v>6562.5</v>
      </c>
      <c r="R12" s="26">
        <f t="shared" si="8"/>
        <v>18683.28787878788</v>
      </c>
      <c r="S12" s="26">
        <f>G18</f>
        <v>0.3</v>
      </c>
      <c r="T12" s="26">
        <f t="shared" si="9"/>
        <v>24288.274242424242</v>
      </c>
      <c r="U12" s="27">
        <f t="shared" si="2"/>
        <v>0.32384365656565656</v>
      </c>
      <c r="V12" s="78">
        <f>E19+F19*D19</f>
        <v>11.25</v>
      </c>
      <c r="W12" s="78">
        <f t="shared" si="10"/>
        <v>4218.75</v>
      </c>
      <c r="X12" s="92">
        <f t="shared" si="11"/>
        <v>16339.53787878788</v>
      </c>
      <c r="Y12" s="78">
        <f>G18</f>
        <v>0.3</v>
      </c>
      <c r="Z12" s="26">
        <f t="shared" si="12"/>
        <v>21241.399242424242</v>
      </c>
      <c r="AA12" s="78">
        <f t="shared" si="3"/>
        <v>0.28321865656565659</v>
      </c>
      <c r="AB12" s="30">
        <v>70</v>
      </c>
      <c r="AC12" s="31">
        <f t="shared" si="13"/>
        <v>0.55053421616161613</v>
      </c>
      <c r="AD12" s="31">
        <f t="shared" si="14"/>
        <v>0.48147171616161621</v>
      </c>
    </row>
    <row r="13" spans="1:30" ht="14.4" x14ac:dyDescent="0.3">
      <c r="A13" s="15">
        <v>1000</v>
      </c>
      <c r="B13" s="7" t="s">
        <v>11</v>
      </c>
      <c r="C13" s="22" t="s">
        <v>22</v>
      </c>
      <c r="D13" s="23">
        <v>125000</v>
      </c>
      <c r="E13" s="24">
        <v>0.03</v>
      </c>
      <c r="F13" s="25">
        <v>60</v>
      </c>
      <c r="G13" s="26">
        <f t="shared" si="4"/>
        <v>61.8</v>
      </c>
      <c r="H13" s="27">
        <f t="shared" si="5"/>
        <v>7725</v>
      </c>
      <c r="I13" s="27">
        <f>C26</f>
        <v>2.52</v>
      </c>
      <c r="J13" s="89">
        <f t="shared" si="6"/>
        <v>19467</v>
      </c>
      <c r="K13" s="84">
        <f>E36</f>
        <v>1.1438383838383839E-3</v>
      </c>
      <c r="L13" s="28">
        <f t="shared" si="0"/>
        <v>142.97979797979798</v>
      </c>
      <c r="M13" s="29">
        <f>A18*B18</f>
        <v>128</v>
      </c>
      <c r="N13" s="29">
        <f>C18</f>
        <v>200</v>
      </c>
      <c r="O13" s="29">
        <f>E18+F18*D18</f>
        <v>17.5</v>
      </c>
      <c r="P13" s="29">
        <f t="shared" si="1"/>
        <v>625</v>
      </c>
      <c r="Q13" s="28">
        <f t="shared" si="7"/>
        <v>10937.5</v>
      </c>
      <c r="R13" s="26">
        <f t="shared" si="8"/>
        <v>30675.479797979799</v>
      </c>
      <c r="S13" s="26">
        <f>G18</f>
        <v>0.3</v>
      </c>
      <c r="T13" s="26">
        <f t="shared" si="9"/>
        <v>39878.123737373739</v>
      </c>
      <c r="U13" s="27">
        <f t="shared" si="2"/>
        <v>0.31902498989898992</v>
      </c>
      <c r="V13" s="78">
        <f>E19+F19*D19</f>
        <v>11.25</v>
      </c>
      <c r="W13" s="78">
        <f t="shared" si="10"/>
        <v>7031.25</v>
      </c>
      <c r="X13" s="92">
        <f t="shared" si="11"/>
        <v>26769.229797979799</v>
      </c>
      <c r="Y13" s="78">
        <f>G18</f>
        <v>0.3</v>
      </c>
      <c r="Z13" s="26">
        <f t="shared" si="12"/>
        <v>34799.998737373739</v>
      </c>
      <c r="AA13" s="78">
        <f t="shared" si="3"/>
        <v>0.2783999898989899</v>
      </c>
      <c r="AB13" s="30">
        <v>65</v>
      </c>
      <c r="AC13" s="31">
        <f t="shared" si="13"/>
        <v>0.52639123333333337</v>
      </c>
      <c r="AD13" s="31">
        <f t="shared" si="14"/>
        <v>0.45935998333333333</v>
      </c>
    </row>
    <row r="14" spans="1:30" ht="15" thickBot="1" x14ac:dyDescent="0.35">
      <c r="A14" s="15">
        <v>1000</v>
      </c>
      <c r="B14" s="7" t="s">
        <v>12</v>
      </c>
      <c r="C14" s="22" t="s">
        <v>23</v>
      </c>
      <c r="D14" s="23">
        <v>200000</v>
      </c>
      <c r="E14" s="24">
        <v>0.03</v>
      </c>
      <c r="F14" s="25">
        <v>60</v>
      </c>
      <c r="G14" s="26">
        <f t="shared" si="4"/>
        <v>61.8</v>
      </c>
      <c r="H14" s="27">
        <f t="shared" si="5"/>
        <v>12360</v>
      </c>
      <c r="I14" s="27">
        <f>C26</f>
        <v>2.52</v>
      </c>
      <c r="J14" s="89">
        <f t="shared" si="6"/>
        <v>31147.200000000001</v>
      </c>
      <c r="K14" s="84">
        <f>E36</f>
        <v>1.1438383838383839E-3</v>
      </c>
      <c r="L14" s="28">
        <f t="shared" si="0"/>
        <v>228.76767676767679</v>
      </c>
      <c r="M14" s="29">
        <f>A18*B18</f>
        <v>128</v>
      </c>
      <c r="N14" s="29">
        <f>C18</f>
        <v>200</v>
      </c>
      <c r="O14" s="29">
        <f>E18+F18*D18</f>
        <v>17.5</v>
      </c>
      <c r="P14" s="29">
        <f t="shared" si="1"/>
        <v>1000</v>
      </c>
      <c r="Q14" s="28">
        <f t="shared" si="7"/>
        <v>17500</v>
      </c>
      <c r="R14" s="26">
        <f t="shared" si="8"/>
        <v>49003.967676767679</v>
      </c>
      <c r="S14" s="26">
        <f>G18</f>
        <v>0.3</v>
      </c>
      <c r="T14" s="26">
        <f t="shared" si="9"/>
        <v>63705.157979797979</v>
      </c>
      <c r="U14" s="27">
        <f t="shared" si="2"/>
        <v>0.31852578989898989</v>
      </c>
      <c r="V14" s="78">
        <f>E19+F19*D19</f>
        <v>11.25</v>
      </c>
      <c r="W14" s="78">
        <f t="shared" si="10"/>
        <v>11250</v>
      </c>
      <c r="X14" s="92">
        <f t="shared" si="11"/>
        <v>42753.967676767679</v>
      </c>
      <c r="Y14" s="78">
        <f>G18</f>
        <v>0.3</v>
      </c>
      <c r="Z14" s="26">
        <f t="shared" si="12"/>
        <v>55580.157979797979</v>
      </c>
      <c r="AA14" s="78">
        <f t="shared" si="3"/>
        <v>0.27790078989898992</v>
      </c>
      <c r="AB14" s="30">
        <v>60</v>
      </c>
      <c r="AC14" s="32">
        <f t="shared" si="13"/>
        <v>0.50964126383838382</v>
      </c>
      <c r="AD14" s="32">
        <f t="shared" si="14"/>
        <v>0.44464126383838387</v>
      </c>
    </row>
    <row r="15" spans="1:30" ht="14.4" thickBot="1" x14ac:dyDescent="0.35"/>
    <row r="16" spans="1:30" x14ac:dyDescent="0.3">
      <c r="A16" s="33" t="s">
        <v>27</v>
      </c>
      <c r="B16" s="34"/>
      <c r="C16" s="34"/>
      <c r="D16" s="34"/>
      <c r="E16" s="34"/>
      <c r="F16" s="34"/>
      <c r="G16" s="35"/>
      <c r="AC16" s="80"/>
    </row>
    <row r="17" spans="1:12" x14ac:dyDescent="0.3">
      <c r="A17" s="36" t="s">
        <v>28</v>
      </c>
      <c r="B17" s="37" t="s">
        <v>29</v>
      </c>
      <c r="C17" s="37" t="s">
        <v>30</v>
      </c>
      <c r="D17" s="37" t="s">
        <v>31</v>
      </c>
      <c r="E17" s="37" t="s">
        <v>32</v>
      </c>
      <c r="F17" s="37" t="s">
        <v>33</v>
      </c>
      <c r="G17" s="38" t="s">
        <v>34</v>
      </c>
      <c r="J17" s="39"/>
      <c r="K17" s="85"/>
      <c r="L17" s="14" t="s">
        <v>59</v>
      </c>
    </row>
    <row r="18" spans="1:12" ht="14.4" thickBot="1" x14ac:dyDescent="0.35">
      <c r="A18" s="40">
        <v>4</v>
      </c>
      <c r="B18" s="41">
        <v>32</v>
      </c>
      <c r="C18" s="41">
        <v>200</v>
      </c>
      <c r="D18" s="41">
        <v>0.5</v>
      </c>
      <c r="E18" s="41">
        <v>5</v>
      </c>
      <c r="F18" s="42">
        <v>25</v>
      </c>
      <c r="G18" s="43">
        <v>0.3</v>
      </c>
    </row>
    <row r="19" spans="1:12" ht="14.4" thickBot="1" x14ac:dyDescent="0.35">
      <c r="A19" s="40">
        <v>4</v>
      </c>
      <c r="B19" s="41">
        <v>32</v>
      </c>
      <c r="C19" s="41">
        <v>200</v>
      </c>
      <c r="D19" s="41">
        <v>0.25</v>
      </c>
      <c r="E19" s="41">
        <v>5</v>
      </c>
      <c r="F19" s="42">
        <v>25</v>
      </c>
      <c r="G19" s="43">
        <v>0.3</v>
      </c>
    </row>
    <row r="20" spans="1:12" ht="14.4" thickBot="1" x14ac:dyDescent="0.35">
      <c r="J20" s="44"/>
      <c r="K20" s="86"/>
      <c r="L20" s="14" t="s">
        <v>60</v>
      </c>
    </row>
    <row r="21" spans="1:12" x14ac:dyDescent="0.3">
      <c r="A21" s="45" t="s">
        <v>35</v>
      </c>
      <c r="B21" s="46"/>
      <c r="C21" s="46" t="s">
        <v>36</v>
      </c>
      <c r="D21" s="47" t="s">
        <v>37</v>
      </c>
    </row>
    <row r="22" spans="1:12" x14ac:dyDescent="0.3">
      <c r="A22" s="48" t="s">
        <v>40</v>
      </c>
      <c r="B22" s="49">
        <v>2</v>
      </c>
      <c r="C22" s="50">
        <v>96</v>
      </c>
      <c r="D22" s="51"/>
    </row>
    <row r="23" spans="1:12" x14ac:dyDescent="0.3">
      <c r="A23" s="48" t="s">
        <v>40</v>
      </c>
      <c r="B23" s="49">
        <v>15</v>
      </c>
      <c r="C23" s="50">
        <v>4</v>
      </c>
      <c r="D23" s="51"/>
    </row>
    <row r="24" spans="1:12" x14ac:dyDescent="0.3">
      <c r="A24" s="48" t="s">
        <v>40</v>
      </c>
      <c r="B24" s="49">
        <v>0</v>
      </c>
      <c r="C24" s="50"/>
      <c r="D24" s="51"/>
    </row>
    <row r="25" spans="1:12" ht="14.4" thickBot="1" x14ac:dyDescent="0.35">
      <c r="A25" s="48" t="s">
        <v>44</v>
      </c>
      <c r="B25" s="49">
        <v>0</v>
      </c>
      <c r="C25" s="50"/>
      <c r="D25" s="51"/>
    </row>
    <row r="26" spans="1:12" ht="14.4" thickBot="1" x14ac:dyDescent="0.35">
      <c r="A26" s="52" t="s">
        <v>45</v>
      </c>
      <c r="B26" s="53">
        <f>SUM(B22:B25)</f>
        <v>17</v>
      </c>
      <c r="C26" s="54">
        <f>(B22*C22/100)+(B23*C23/100)+(B24*C24/100)+(B25*C25/100)</f>
        <v>2.52</v>
      </c>
      <c r="D26" s="55" t="s">
        <v>62</v>
      </c>
    </row>
    <row r="27" spans="1:12" ht="14.4" thickBot="1" x14ac:dyDescent="0.35"/>
    <row r="28" spans="1:12" x14ac:dyDescent="0.3">
      <c r="A28" s="56" t="s">
        <v>38</v>
      </c>
      <c r="B28" s="57"/>
      <c r="C28" s="58"/>
      <c r="D28" s="59" t="s">
        <v>39</v>
      </c>
      <c r="E28" s="60" t="s">
        <v>97</v>
      </c>
    </row>
    <row r="29" spans="1:12" x14ac:dyDescent="0.3">
      <c r="A29" s="61" t="s">
        <v>42</v>
      </c>
      <c r="B29" s="62">
        <v>1100</v>
      </c>
      <c r="C29" s="63"/>
      <c r="D29" s="64"/>
      <c r="E29" s="65"/>
    </row>
    <row r="30" spans="1:12" x14ac:dyDescent="0.3">
      <c r="A30" s="61" t="s">
        <v>86</v>
      </c>
      <c r="B30" s="62">
        <v>9</v>
      </c>
      <c r="C30" s="63" t="s">
        <v>41</v>
      </c>
      <c r="D30" s="66">
        <v>0.68100000000000005</v>
      </c>
      <c r="E30" s="65">
        <f>D30*B30</f>
        <v>6.1290000000000004</v>
      </c>
    </row>
    <row r="31" spans="1:12" x14ac:dyDescent="0.3">
      <c r="A31" s="61" t="s">
        <v>87</v>
      </c>
      <c r="B31" s="62">
        <f>B30*B29</f>
        <v>9900</v>
      </c>
      <c r="C31" s="67"/>
      <c r="D31" s="68"/>
      <c r="E31" s="65"/>
    </row>
    <row r="32" spans="1:12" x14ac:dyDescent="0.3">
      <c r="A32" s="61" t="s">
        <v>88</v>
      </c>
      <c r="B32" s="62">
        <v>9</v>
      </c>
      <c r="C32" s="63" t="s">
        <v>43</v>
      </c>
      <c r="D32" s="69">
        <v>0.13800000000000001</v>
      </c>
      <c r="E32" s="65">
        <f>D32*B32</f>
        <v>1.242</v>
      </c>
    </row>
    <row r="33" spans="1:5" x14ac:dyDescent="0.3">
      <c r="A33" s="61" t="s">
        <v>46</v>
      </c>
      <c r="B33" s="62">
        <f>B32*5</f>
        <v>45</v>
      </c>
      <c r="C33" s="63" t="s">
        <v>47</v>
      </c>
      <c r="D33" s="66">
        <v>4.3400000000000001E-2</v>
      </c>
      <c r="E33" s="65">
        <f>D33*B33</f>
        <v>1.9530000000000001</v>
      </c>
    </row>
    <row r="34" spans="1:5" ht="14.4" thickBot="1" x14ac:dyDescent="0.35">
      <c r="A34" s="70" t="s">
        <v>48</v>
      </c>
      <c r="B34" s="71" t="s">
        <v>49</v>
      </c>
      <c r="C34" s="72" t="s">
        <v>50</v>
      </c>
      <c r="D34" s="73">
        <v>2</v>
      </c>
      <c r="E34" s="74">
        <f>D34</f>
        <v>2</v>
      </c>
    </row>
    <row r="35" spans="1:5" ht="14.4" thickBot="1" x14ac:dyDescent="0.35">
      <c r="E35" s="75">
        <f>SUM(E29:E34)</f>
        <v>11.324</v>
      </c>
    </row>
    <row r="36" spans="1:5" ht="14.4" thickBot="1" x14ac:dyDescent="0.35">
      <c r="D36" s="76" t="s">
        <v>98</v>
      </c>
      <c r="E36" s="77">
        <f>E35/B31</f>
        <v>1.1438383838383839E-3</v>
      </c>
    </row>
  </sheetData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65562-ACD1-46D0-B5AC-BAE7A02E2257}">
  <dimension ref="A2:AD36"/>
  <sheetViews>
    <sheetView topLeftCell="M1" workbookViewId="0">
      <selection activeCell="T4" sqref="T4:T14"/>
    </sheetView>
  </sheetViews>
  <sheetFormatPr defaultColWidth="9.109375" defaultRowHeight="13.8" x14ac:dyDescent="0.3"/>
  <cols>
    <col min="1" max="1" width="28.6640625" style="14" bestFit="1" customWidth="1"/>
    <col min="2" max="2" width="10.109375" style="14" bestFit="1" customWidth="1"/>
    <col min="3" max="3" width="21" style="14" bestFit="1" customWidth="1"/>
    <col min="4" max="4" width="12.44140625" style="14" bestFit="1" customWidth="1"/>
    <col min="5" max="5" width="21" style="14" bestFit="1" customWidth="1"/>
    <col min="6" max="6" width="14.88671875" style="14" bestFit="1" customWidth="1"/>
    <col min="7" max="7" width="23.5546875" style="14" bestFit="1" customWidth="1"/>
    <col min="8" max="8" width="18.6640625" style="14" customWidth="1"/>
    <col min="9" max="9" width="0.109375" style="14" customWidth="1"/>
    <col min="10" max="10" width="9.5546875" style="14" bestFit="1" customWidth="1"/>
    <col min="11" max="11" width="15.33203125" style="82" customWidth="1"/>
    <col min="12" max="12" width="17.5546875" style="14" bestFit="1" customWidth="1"/>
    <col min="13" max="13" width="19.33203125" style="14" customWidth="1"/>
    <col min="14" max="14" width="9.109375" style="14" customWidth="1"/>
    <col min="15" max="15" width="22.88671875" style="14" customWidth="1"/>
    <col min="16" max="16" width="11.88671875" style="14" customWidth="1"/>
    <col min="17" max="17" width="23.5546875" style="14" bestFit="1" customWidth="1"/>
    <col min="18" max="18" width="24.33203125" style="14" customWidth="1"/>
    <col min="19" max="19" width="11" style="14" customWidth="1"/>
    <col min="20" max="20" width="35.5546875" style="14" bestFit="1" customWidth="1"/>
    <col min="21" max="21" width="14.6640625" style="14" bestFit="1" customWidth="1"/>
    <col min="22" max="27" width="14.6640625" style="14" customWidth="1"/>
    <col min="28" max="28" width="16.5546875" style="14" bestFit="1" customWidth="1"/>
    <col min="29" max="29" width="17.44140625" style="14" bestFit="1" customWidth="1"/>
    <col min="30" max="30" width="11.88671875" style="14" bestFit="1" customWidth="1"/>
    <col min="31" max="16384" width="9.109375" style="14"/>
  </cols>
  <sheetData>
    <row r="2" spans="1:30" ht="14.4" thickBot="1" x14ac:dyDescent="0.35"/>
    <row r="3" spans="1:30" ht="74.25" customHeight="1" thickBot="1" x14ac:dyDescent="0.35">
      <c r="A3" s="15" t="s">
        <v>57</v>
      </c>
      <c r="B3" s="15" t="s">
        <v>24</v>
      </c>
      <c r="C3" s="15" t="s">
        <v>25</v>
      </c>
      <c r="D3" s="15" t="s">
        <v>26</v>
      </c>
      <c r="E3" s="15" t="s">
        <v>55</v>
      </c>
      <c r="F3" s="15" t="s">
        <v>58</v>
      </c>
      <c r="G3" s="16" t="s">
        <v>51</v>
      </c>
      <c r="H3" s="17" t="s">
        <v>52</v>
      </c>
      <c r="I3" s="17" t="s">
        <v>61</v>
      </c>
      <c r="J3" s="90" t="s">
        <v>53</v>
      </c>
      <c r="K3" s="83" t="s">
        <v>99</v>
      </c>
      <c r="L3" s="18" t="s">
        <v>96</v>
      </c>
      <c r="M3" s="19" t="s">
        <v>54</v>
      </c>
      <c r="N3" s="19" t="s">
        <v>100</v>
      </c>
      <c r="O3" s="19" t="s">
        <v>108</v>
      </c>
      <c r="P3" s="19" t="s">
        <v>101</v>
      </c>
      <c r="Q3" s="91" t="s">
        <v>116</v>
      </c>
      <c r="R3" s="87" t="s">
        <v>107</v>
      </c>
      <c r="S3" s="88" t="s">
        <v>102</v>
      </c>
      <c r="T3" s="87" t="s">
        <v>104</v>
      </c>
      <c r="U3" s="87" t="s">
        <v>105</v>
      </c>
      <c r="V3" s="19" t="s">
        <v>109</v>
      </c>
      <c r="W3" s="20" t="s">
        <v>110</v>
      </c>
      <c r="X3" s="20"/>
      <c r="Y3" s="20"/>
      <c r="Z3" s="20" t="s">
        <v>111</v>
      </c>
      <c r="AA3" s="20" t="s">
        <v>112</v>
      </c>
      <c r="AB3" s="20" t="s">
        <v>103</v>
      </c>
      <c r="AC3" s="79" t="s">
        <v>106</v>
      </c>
      <c r="AD3" s="21" t="s">
        <v>113</v>
      </c>
    </row>
    <row r="4" spans="1:30" ht="14.4" x14ac:dyDescent="0.3">
      <c r="A4" s="15">
        <v>1000</v>
      </c>
      <c r="B4" s="7" t="s">
        <v>2</v>
      </c>
      <c r="C4" s="22" t="s">
        <v>13</v>
      </c>
      <c r="D4" s="23">
        <v>2000</v>
      </c>
      <c r="E4" s="24">
        <v>0.1</v>
      </c>
      <c r="F4" s="25">
        <v>60</v>
      </c>
      <c r="G4" s="26">
        <f>F4+F4*E4</f>
        <v>66</v>
      </c>
      <c r="H4" s="27">
        <f>(G4*D4)/1000</f>
        <v>132</v>
      </c>
      <c r="I4" s="27">
        <f>C26</f>
        <v>2.08</v>
      </c>
      <c r="J4" s="89">
        <f>H4*I4</f>
        <v>274.56</v>
      </c>
      <c r="K4" s="84">
        <f>E36</f>
        <v>1.1438383838383839E-3</v>
      </c>
      <c r="L4" s="28">
        <f t="shared" ref="L4:L14" si="0">K4*D4</f>
        <v>2.2876767676767678</v>
      </c>
      <c r="M4" s="29">
        <f>A18*B18</f>
        <v>128</v>
      </c>
      <c r="N4" s="29">
        <f>C18</f>
        <v>200</v>
      </c>
      <c r="O4" s="29">
        <f>E18+F18*D18</f>
        <v>17.5</v>
      </c>
      <c r="P4" s="29">
        <f t="shared" ref="P4:P14" si="1">D4/N4</f>
        <v>10</v>
      </c>
      <c r="Q4" s="28">
        <f>O4*P4</f>
        <v>175</v>
      </c>
      <c r="R4" s="26">
        <f>Q4+L4+J4+M4</f>
        <v>579.84767676767683</v>
      </c>
      <c r="S4" s="26">
        <f>G18</f>
        <v>0.3</v>
      </c>
      <c r="T4" s="26">
        <f>R4+R4*S4</f>
        <v>753.80197979797981</v>
      </c>
      <c r="U4" s="27">
        <f t="shared" ref="U4:U14" si="2">T4/D4</f>
        <v>0.3769009898989899</v>
      </c>
      <c r="V4" s="78">
        <f>E19+F19*D19</f>
        <v>11.25</v>
      </c>
      <c r="W4" s="78">
        <f>V4*P4</f>
        <v>112.5</v>
      </c>
      <c r="X4" s="92">
        <f>W4+M4+L4+J4</f>
        <v>517.34767676767683</v>
      </c>
      <c r="Y4" s="78">
        <f>G18</f>
        <v>0.3</v>
      </c>
      <c r="Z4" s="26">
        <f>X4+X4*Y4</f>
        <v>672.55197979797981</v>
      </c>
      <c r="AA4" s="78">
        <f t="shared" ref="AA4:AA14" si="3">Z4/D4</f>
        <v>0.33627598989898988</v>
      </c>
      <c r="AB4" s="30">
        <v>180</v>
      </c>
      <c r="AC4" s="81">
        <f>U4*2+(U4*2*80/100)</f>
        <v>1.3568435636363636</v>
      </c>
      <c r="AD4" s="81">
        <f>AA4*2+(AA4*2*80/100)</f>
        <v>1.2105935636363636</v>
      </c>
    </row>
    <row r="5" spans="1:30" ht="14.4" x14ac:dyDescent="0.3">
      <c r="A5" s="15">
        <v>1000</v>
      </c>
      <c r="B5" s="7" t="s">
        <v>3</v>
      </c>
      <c r="C5" s="22" t="s">
        <v>14</v>
      </c>
      <c r="D5" s="23">
        <v>4000</v>
      </c>
      <c r="E5" s="24">
        <v>0.1</v>
      </c>
      <c r="F5" s="25">
        <v>60</v>
      </c>
      <c r="G5" s="26">
        <f t="shared" ref="G5:G14" si="4">F5+F5*E5</f>
        <v>66</v>
      </c>
      <c r="H5" s="27">
        <f t="shared" ref="H5:H14" si="5">(G5*D5)/1000</f>
        <v>264</v>
      </c>
      <c r="I5" s="27">
        <f>C26</f>
        <v>2.08</v>
      </c>
      <c r="J5" s="89">
        <f t="shared" ref="J5:J14" si="6">H5*I5</f>
        <v>549.12</v>
      </c>
      <c r="K5" s="84">
        <f>E36</f>
        <v>1.1438383838383839E-3</v>
      </c>
      <c r="L5" s="28">
        <f t="shared" si="0"/>
        <v>4.5753535353535355</v>
      </c>
      <c r="M5" s="29">
        <f>A18*B18</f>
        <v>128</v>
      </c>
      <c r="N5" s="29">
        <f>C18</f>
        <v>200</v>
      </c>
      <c r="O5" s="29">
        <f>E18+F18*D18</f>
        <v>17.5</v>
      </c>
      <c r="P5" s="29">
        <f t="shared" si="1"/>
        <v>20</v>
      </c>
      <c r="Q5" s="28">
        <f t="shared" ref="Q5:Q14" si="7">O5*P5</f>
        <v>350</v>
      </c>
      <c r="R5" s="26">
        <f t="shared" ref="R5:R14" si="8">Q5+L5+J5+M5</f>
        <v>1031.6953535353537</v>
      </c>
      <c r="S5" s="26">
        <f>G18</f>
        <v>0.3</v>
      </c>
      <c r="T5" s="26">
        <f t="shared" ref="T5:T14" si="9">R5+R5*S5</f>
        <v>1341.2039595959598</v>
      </c>
      <c r="U5" s="27">
        <f t="shared" si="2"/>
        <v>0.33530098989898993</v>
      </c>
      <c r="V5" s="78">
        <f>E19+F19*D19</f>
        <v>11.25</v>
      </c>
      <c r="W5" s="78">
        <f t="shared" ref="W5:W14" si="10">V5*P5</f>
        <v>225</v>
      </c>
      <c r="X5" s="92">
        <f t="shared" ref="X5:X14" si="11">W5+M5+L5+J5</f>
        <v>906.69535353535355</v>
      </c>
      <c r="Y5" s="78">
        <f>G18</f>
        <v>0.3</v>
      </c>
      <c r="Z5" s="26">
        <f t="shared" ref="Z5:Z14" si="12">X5+X5*Y5</f>
        <v>1178.7039595959595</v>
      </c>
      <c r="AA5" s="78">
        <f t="shared" si="3"/>
        <v>0.29467598989898991</v>
      </c>
      <c r="AB5" s="30">
        <v>160</v>
      </c>
      <c r="AC5" s="31">
        <f>U5*2+(U5*2*80/100)</f>
        <v>1.2070835636363637</v>
      </c>
      <c r="AD5" s="31">
        <f>AA5*2+(AA5*2*80/100)</f>
        <v>1.0608335636363637</v>
      </c>
    </row>
    <row r="6" spans="1:30" ht="14.4" x14ac:dyDescent="0.3">
      <c r="A6" s="15">
        <v>1000</v>
      </c>
      <c r="B6" s="7" t="s">
        <v>4</v>
      </c>
      <c r="C6" s="22" t="s">
        <v>15</v>
      </c>
      <c r="D6" s="23">
        <v>7500</v>
      </c>
      <c r="E6" s="24">
        <v>7.0000000000000007E-2</v>
      </c>
      <c r="F6" s="25">
        <v>60</v>
      </c>
      <c r="G6" s="26">
        <f t="shared" si="4"/>
        <v>64.2</v>
      </c>
      <c r="H6" s="27">
        <f t="shared" si="5"/>
        <v>481.5</v>
      </c>
      <c r="I6" s="27">
        <f>C26</f>
        <v>2.08</v>
      </c>
      <c r="J6" s="89">
        <f t="shared" si="6"/>
        <v>1001.52</v>
      </c>
      <c r="K6" s="84">
        <f>E36</f>
        <v>1.1438383838383839E-3</v>
      </c>
      <c r="L6" s="28">
        <f t="shared" si="0"/>
        <v>8.57878787878788</v>
      </c>
      <c r="M6" s="29">
        <f>A18*B18</f>
        <v>128</v>
      </c>
      <c r="N6" s="29">
        <f>C18</f>
        <v>200</v>
      </c>
      <c r="O6" s="29">
        <f>E18+F18*D18</f>
        <v>17.5</v>
      </c>
      <c r="P6" s="29">
        <f t="shared" si="1"/>
        <v>37.5</v>
      </c>
      <c r="Q6" s="28">
        <f t="shared" si="7"/>
        <v>656.25</v>
      </c>
      <c r="R6" s="26">
        <f t="shared" si="8"/>
        <v>1794.3487878787878</v>
      </c>
      <c r="S6" s="26">
        <f>G18</f>
        <v>0.3</v>
      </c>
      <c r="T6" s="26">
        <f t="shared" si="9"/>
        <v>2332.6534242424241</v>
      </c>
      <c r="U6" s="27">
        <f t="shared" si="2"/>
        <v>0.31102045656565652</v>
      </c>
      <c r="V6" s="78">
        <f>E19+F19*D19</f>
        <v>11.25</v>
      </c>
      <c r="W6" s="78">
        <f t="shared" si="10"/>
        <v>421.875</v>
      </c>
      <c r="X6" s="92">
        <f t="shared" si="11"/>
        <v>1559.9737878787878</v>
      </c>
      <c r="Y6" s="78">
        <f>G18</f>
        <v>0.3</v>
      </c>
      <c r="Z6" s="26">
        <f t="shared" si="12"/>
        <v>2027.9659242424241</v>
      </c>
      <c r="AA6" s="78">
        <f t="shared" si="3"/>
        <v>0.27039545656565656</v>
      </c>
      <c r="AB6" s="30">
        <v>140</v>
      </c>
      <c r="AC6" s="31">
        <f>U6*2+(U6*2*80/100)</f>
        <v>1.1196736436363635</v>
      </c>
      <c r="AD6" s="31">
        <f>AA6*2+(AA6*2*80/100)</f>
        <v>0.97342364363636358</v>
      </c>
    </row>
    <row r="7" spans="1:30" ht="14.4" x14ac:dyDescent="0.3">
      <c r="A7" s="15">
        <v>1000</v>
      </c>
      <c r="B7" s="7" t="s">
        <v>5</v>
      </c>
      <c r="C7" s="22" t="s">
        <v>16</v>
      </c>
      <c r="D7" s="23">
        <v>12500</v>
      </c>
      <c r="E7" s="24">
        <v>7.0000000000000007E-2</v>
      </c>
      <c r="F7" s="25">
        <v>60</v>
      </c>
      <c r="G7" s="26">
        <f t="shared" si="4"/>
        <v>64.2</v>
      </c>
      <c r="H7" s="27">
        <f t="shared" si="5"/>
        <v>802.5</v>
      </c>
      <c r="I7" s="27">
        <f>C26</f>
        <v>2.08</v>
      </c>
      <c r="J7" s="89">
        <f t="shared" si="6"/>
        <v>1669.2</v>
      </c>
      <c r="K7" s="84">
        <f>E36</f>
        <v>1.1438383838383839E-3</v>
      </c>
      <c r="L7" s="28">
        <f t="shared" si="0"/>
        <v>14.297979797979799</v>
      </c>
      <c r="M7" s="29">
        <f>A18*B18</f>
        <v>128</v>
      </c>
      <c r="N7" s="29">
        <f>C18</f>
        <v>200</v>
      </c>
      <c r="O7" s="29">
        <f>E18+F18*D18</f>
        <v>17.5</v>
      </c>
      <c r="P7" s="29">
        <f t="shared" si="1"/>
        <v>62.5</v>
      </c>
      <c r="Q7" s="28">
        <f t="shared" si="7"/>
        <v>1093.75</v>
      </c>
      <c r="R7" s="26">
        <f t="shared" si="8"/>
        <v>2905.24797979798</v>
      </c>
      <c r="S7" s="26">
        <f>G18</f>
        <v>0.3</v>
      </c>
      <c r="T7" s="26">
        <f t="shared" si="9"/>
        <v>3776.8223737373737</v>
      </c>
      <c r="U7" s="27">
        <f t="shared" si="2"/>
        <v>0.30214578989898988</v>
      </c>
      <c r="V7" s="78">
        <f>E19+F19*D19</f>
        <v>11.25</v>
      </c>
      <c r="W7" s="78">
        <f t="shared" si="10"/>
        <v>703.125</v>
      </c>
      <c r="X7" s="92">
        <f t="shared" si="11"/>
        <v>2514.62297979798</v>
      </c>
      <c r="Y7" s="78">
        <f>G18</f>
        <v>0.3</v>
      </c>
      <c r="Z7" s="26">
        <f t="shared" si="12"/>
        <v>3269.0098737373737</v>
      </c>
      <c r="AA7" s="78">
        <f t="shared" si="3"/>
        <v>0.26152078989898991</v>
      </c>
      <c r="AB7" s="30">
        <v>85</v>
      </c>
      <c r="AC7" s="31">
        <f>U7+U7*AB7/100</f>
        <v>0.55896971131313133</v>
      </c>
      <c r="AD7" s="31">
        <f>AA7+AA7*AB7/100</f>
        <v>0.4838134613131313</v>
      </c>
    </row>
    <row r="8" spans="1:30" ht="14.4" x14ac:dyDescent="0.3">
      <c r="A8" s="15">
        <v>1000</v>
      </c>
      <c r="B8" s="7" t="s">
        <v>6</v>
      </c>
      <c r="C8" s="22" t="s">
        <v>17</v>
      </c>
      <c r="D8" s="23">
        <v>17500</v>
      </c>
      <c r="E8" s="24">
        <v>7.0000000000000007E-2</v>
      </c>
      <c r="F8" s="25">
        <v>60</v>
      </c>
      <c r="G8" s="26">
        <f t="shared" si="4"/>
        <v>64.2</v>
      </c>
      <c r="H8" s="27">
        <f t="shared" si="5"/>
        <v>1123.5</v>
      </c>
      <c r="I8" s="27">
        <f>C26</f>
        <v>2.08</v>
      </c>
      <c r="J8" s="89">
        <f t="shared" si="6"/>
        <v>2336.88</v>
      </c>
      <c r="K8" s="84">
        <f>E36</f>
        <v>1.1438383838383839E-3</v>
      </c>
      <c r="L8" s="28">
        <f t="shared" si="0"/>
        <v>20.017171717171717</v>
      </c>
      <c r="M8" s="29">
        <f>A18*B18</f>
        <v>128</v>
      </c>
      <c r="N8" s="29">
        <f>C18</f>
        <v>200</v>
      </c>
      <c r="O8" s="29">
        <f>E18+F18*D18</f>
        <v>17.5</v>
      </c>
      <c r="P8" s="29">
        <f t="shared" si="1"/>
        <v>87.5</v>
      </c>
      <c r="Q8" s="28">
        <f t="shared" si="7"/>
        <v>1531.25</v>
      </c>
      <c r="R8" s="26">
        <f t="shared" si="8"/>
        <v>4016.1471717171717</v>
      </c>
      <c r="S8" s="26">
        <f>G18</f>
        <v>0.3</v>
      </c>
      <c r="T8" s="26">
        <f t="shared" si="9"/>
        <v>5220.9913232323233</v>
      </c>
      <c r="U8" s="27">
        <f t="shared" si="2"/>
        <v>0.29834236132756131</v>
      </c>
      <c r="V8" s="78">
        <f>E19+F19*D19</f>
        <v>11.25</v>
      </c>
      <c r="W8" s="78">
        <f t="shared" si="10"/>
        <v>984.375</v>
      </c>
      <c r="X8" s="92">
        <f t="shared" si="11"/>
        <v>3469.2721717171717</v>
      </c>
      <c r="Y8" s="78">
        <f>G18</f>
        <v>0.3</v>
      </c>
      <c r="Z8" s="26">
        <f t="shared" si="12"/>
        <v>4510.0538232323233</v>
      </c>
      <c r="AA8" s="78">
        <f t="shared" si="3"/>
        <v>0.25771736132756135</v>
      </c>
      <c r="AB8" s="30">
        <v>80</v>
      </c>
      <c r="AC8" s="31">
        <f t="shared" ref="AC8:AC14" si="13">U8+U8*AB8/100</f>
        <v>0.53701625038961032</v>
      </c>
      <c r="AD8" s="31">
        <f t="shared" ref="AD8:AD14" si="14">AA8+AA8*AB8/100</f>
        <v>0.46389125038961043</v>
      </c>
    </row>
    <row r="9" spans="1:30" ht="14.4" x14ac:dyDescent="0.3">
      <c r="A9" s="15">
        <v>1000</v>
      </c>
      <c r="B9" s="7" t="s">
        <v>7</v>
      </c>
      <c r="C9" s="22" t="s">
        <v>18</v>
      </c>
      <c r="D9" s="23">
        <v>25000</v>
      </c>
      <c r="E9" s="24">
        <v>0.05</v>
      </c>
      <c r="F9" s="25">
        <v>60</v>
      </c>
      <c r="G9" s="26">
        <f t="shared" si="4"/>
        <v>63</v>
      </c>
      <c r="H9" s="27">
        <f t="shared" si="5"/>
        <v>1575</v>
      </c>
      <c r="I9" s="27">
        <f>C26</f>
        <v>2.08</v>
      </c>
      <c r="J9" s="89">
        <f t="shared" si="6"/>
        <v>3276</v>
      </c>
      <c r="K9" s="84">
        <f>E36</f>
        <v>1.1438383838383839E-3</v>
      </c>
      <c r="L9" s="28">
        <f t="shared" si="0"/>
        <v>28.595959595959599</v>
      </c>
      <c r="M9" s="29">
        <f>A18*B18</f>
        <v>128</v>
      </c>
      <c r="N9" s="29">
        <f>C18</f>
        <v>200</v>
      </c>
      <c r="O9" s="29">
        <f>E18+F18*D18</f>
        <v>17.5</v>
      </c>
      <c r="P9" s="29">
        <f t="shared" si="1"/>
        <v>125</v>
      </c>
      <c r="Q9" s="28">
        <f t="shared" si="7"/>
        <v>2187.5</v>
      </c>
      <c r="R9" s="26">
        <f t="shared" si="8"/>
        <v>5620.0959595959594</v>
      </c>
      <c r="S9" s="26">
        <f>G18</f>
        <v>0.3</v>
      </c>
      <c r="T9" s="26">
        <f t="shared" si="9"/>
        <v>7306.124747474747</v>
      </c>
      <c r="U9" s="27">
        <f t="shared" si="2"/>
        <v>0.29224498989898989</v>
      </c>
      <c r="V9" s="78">
        <f>E19+F19*D19</f>
        <v>11.25</v>
      </c>
      <c r="W9" s="78">
        <f t="shared" si="10"/>
        <v>1406.25</v>
      </c>
      <c r="X9" s="92">
        <f t="shared" si="11"/>
        <v>4838.8459595959594</v>
      </c>
      <c r="Y9" s="78">
        <f>G18</f>
        <v>0.3</v>
      </c>
      <c r="Z9" s="26">
        <f t="shared" si="12"/>
        <v>6290.499747474747</v>
      </c>
      <c r="AA9" s="78">
        <f t="shared" si="3"/>
        <v>0.25161998989898987</v>
      </c>
      <c r="AB9" s="30">
        <v>75</v>
      </c>
      <c r="AC9" s="31">
        <f t="shared" si="13"/>
        <v>0.51142873232323227</v>
      </c>
      <c r="AD9" s="31">
        <f t="shared" si="14"/>
        <v>0.44033498232323226</v>
      </c>
    </row>
    <row r="10" spans="1:30" ht="14.4" x14ac:dyDescent="0.3">
      <c r="A10" s="15">
        <v>1000</v>
      </c>
      <c r="B10" s="7" t="s">
        <v>8</v>
      </c>
      <c r="C10" s="22" t="s">
        <v>19</v>
      </c>
      <c r="D10" s="23">
        <v>35000</v>
      </c>
      <c r="E10" s="24">
        <v>0.05</v>
      </c>
      <c r="F10" s="25">
        <v>60</v>
      </c>
      <c r="G10" s="26">
        <f t="shared" si="4"/>
        <v>63</v>
      </c>
      <c r="H10" s="27">
        <f t="shared" si="5"/>
        <v>2205</v>
      </c>
      <c r="I10" s="27">
        <f>C26</f>
        <v>2.08</v>
      </c>
      <c r="J10" s="89">
        <f t="shared" si="6"/>
        <v>4586.4000000000005</v>
      </c>
      <c r="K10" s="84">
        <f>E36</f>
        <v>1.1438383838383839E-3</v>
      </c>
      <c r="L10" s="28">
        <f t="shared" si="0"/>
        <v>40.034343434343434</v>
      </c>
      <c r="M10" s="29">
        <f>A18*B18</f>
        <v>128</v>
      </c>
      <c r="N10" s="29">
        <f>C18</f>
        <v>200</v>
      </c>
      <c r="O10" s="29">
        <f>E18+F18*D18</f>
        <v>17.5</v>
      </c>
      <c r="P10" s="29">
        <f t="shared" si="1"/>
        <v>175</v>
      </c>
      <c r="Q10" s="28">
        <f t="shared" si="7"/>
        <v>3062.5</v>
      </c>
      <c r="R10" s="26">
        <f t="shared" si="8"/>
        <v>7816.9343434343446</v>
      </c>
      <c r="S10" s="26">
        <f>G18</f>
        <v>0.3</v>
      </c>
      <c r="T10" s="26">
        <f t="shared" si="9"/>
        <v>10162.014646464648</v>
      </c>
      <c r="U10" s="27">
        <f t="shared" si="2"/>
        <v>0.29034327561327566</v>
      </c>
      <c r="V10" s="78">
        <f>E19+F19*D19</f>
        <v>11.25</v>
      </c>
      <c r="W10" s="78">
        <f t="shared" si="10"/>
        <v>1968.75</v>
      </c>
      <c r="X10" s="92">
        <f t="shared" si="11"/>
        <v>6723.1843434343446</v>
      </c>
      <c r="Y10" s="78">
        <f>G18</f>
        <v>0.3</v>
      </c>
      <c r="Z10" s="26">
        <f t="shared" si="12"/>
        <v>8740.1396464646477</v>
      </c>
      <c r="AA10" s="78">
        <f t="shared" si="3"/>
        <v>0.24971827561327564</v>
      </c>
      <c r="AB10" s="30">
        <v>75</v>
      </c>
      <c r="AC10" s="31">
        <f t="shared" si="13"/>
        <v>0.50810073232323238</v>
      </c>
      <c r="AD10" s="31">
        <f t="shared" si="14"/>
        <v>0.43700698232323237</v>
      </c>
    </row>
    <row r="11" spans="1:30" ht="14.4" x14ac:dyDescent="0.3">
      <c r="A11" s="15">
        <v>1000</v>
      </c>
      <c r="B11" s="7" t="s">
        <v>9</v>
      </c>
      <c r="C11" s="22" t="s">
        <v>20</v>
      </c>
      <c r="D11" s="23">
        <v>45000</v>
      </c>
      <c r="E11" s="24">
        <v>0.05</v>
      </c>
      <c r="F11" s="25">
        <v>60</v>
      </c>
      <c r="G11" s="26">
        <f t="shared" si="4"/>
        <v>63</v>
      </c>
      <c r="H11" s="27">
        <f t="shared" si="5"/>
        <v>2835</v>
      </c>
      <c r="I11" s="27">
        <f>C26</f>
        <v>2.08</v>
      </c>
      <c r="J11" s="89">
        <f t="shared" si="6"/>
        <v>5896.8</v>
      </c>
      <c r="K11" s="84">
        <f>E36</f>
        <v>1.1438383838383839E-3</v>
      </c>
      <c r="L11" s="28">
        <f t="shared" si="0"/>
        <v>51.472727272727276</v>
      </c>
      <c r="M11" s="29">
        <f>A18*B18</f>
        <v>128</v>
      </c>
      <c r="N11" s="29">
        <f>C18</f>
        <v>200</v>
      </c>
      <c r="O11" s="29">
        <f>E18+F18*D18</f>
        <v>17.5</v>
      </c>
      <c r="P11" s="29">
        <f t="shared" si="1"/>
        <v>225</v>
      </c>
      <c r="Q11" s="28">
        <f t="shared" si="7"/>
        <v>3937.5</v>
      </c>
      <c r="R11" s="26">
        <f t="shared" si="8"/>
        <v>10013.772727272728</v>
      </c>
      <c r="S11" s="26">
        <f>G18</f>
        <v>0.3</v>
      </c>
      <c r="T11" s="26">
        <f t="shared" si="9"/>
        <v>13017.904545454547</v>
      </c>
      <c r="U11" s="27">
        <f t="shared" si="2"/>
        <v>0.2892867676767677</v>
      </c>
      <c r="V11" s="78">
        <f>E19+F19*D19</f>
        <v>11.25</v>
      </c>
      <c r="W11" s="78">
        <f t="shared" si="10"/>
        <v>2531.25</v>
      </c>
      <c r="X11" s="92">
        <f t="shared" si="11"/>
        <v>8607.5227272727279</v>
      </c>
      <c r="Y11" s="78">
        <f>G18</f>
        <v>0.3</v>
      </c>
      <c r="Z11" s="26">
        <f t="shared" si="12"/>
        <v>11189.779545454547</v>
      </c>
      <c r="AA11" s="78">
        <f t="shared" si="3"/>
        <v>0.2486617676767677</v>
      </c>
      <c r="AB11" s="30">
        <v>70</v>
      </c>
      <c r="AC11" s="31">
        <f t="shared" si="13"/>
        <v>0.49178750505050506</v>
      </c>
      <c r="AD11" s="31">
        <f t="shared" si="14"/>
        <v>0.42272500505050509</v>
      </c>
    </row>
    <row r="12" spans="1:30" ht="14.4" x14ac:dyDescent="0.3">
      <c r="A12" s="15">
        <v>1000</v>
      </c>
      <c r="B12" s="7" t="s">
        <v>10</v>
      </c>
      <c r="C12" s="22" t="s">
        <v>21</v>
      </c>
      <c r="D12" s="23">
        <v>75000</v>
      </c>
      <c r="E12" s="24">
        <v>0.05</v>
      </c>
      <c r="F12" s="25">
        <v>60</v>
      </c>
      <c r="G12" s="26">
        <f t="shared" si="4"/>
        <v>63</v>
      </c>
      <c r="H12" s="27">
        <f t="shared" si="5"/>
        <v>4725</v>
      </c>
      <c r="I12" s="27">
        <f>C26</f>
        <v>2.08</v>
      </c>
      <c r="J12" s="89">
        <f t="shared" si="6"/>
        <v>9828</v>
      </c>
      <c r="K12" s="84">
        <f>E36</f>
        <v>1.1438383838383839E-3</v>
      </c>
      <c r="L12" s="28">
        <f t="shared" si="0"/>
        <v>85.787878787878796</v>
      </c>
      <c r="M12" s="29">
        <f>A18*B18</f>
        <v>128</v>
      </c>
      <c r="N12" s="29">
        <f>C18</f>
        <v>200</v>
      </c>
      <c r="O12" s="29">
        <f>E18+F18*D18</f>
        <v>17.5</v>
      </c>
      <c r="P12" s="29">
        <f t="shared" si="1"/>
        <v>375</v>
      </c>
      <c r="Q12" s="28">
        <f>O12*P12</f>
        <v>6562.5</v>
      </c>
      <c r="R12" s="26">
        <f t="shared" si="8"/>
        <v>16604.28787878788</v>
      </c>
      <c r="S12" s="26">
        <f>G18</f>
        <v>0.3</v>
      </c>
      <c r="T12" s="26">
        <f t="shared" si="9"/>
        <v>21585.574242424242</v>
      </c>
      <c r="U12" s="27">
        <f t="shared" si="2"/>
        <v>0.28780765656565654</v>
      </c>
      <c r="V12" s="78">
        <f>E19+F19*D19</f>
        <v>11.25</v>
      </c>
      <c r="W12" s="78">
        <f t="shared" si="10"/>
        <v>4218.75</v>
      </c>
      <c r="X12" s="92">
        <f t="shared" si="11"/>
        <v>14260.53787878788</v>
      </c>
      <c r="Y12" s="78">
        <f>G18</f>
        <v>0.3</v>
      </c>
      <c r="Z12" s="26">
        <f t="shared" si="12"/>
        <v>18538.699242424242</v>
      </c>
      <c r="AA12" s="78">
        <f t="shared" si="3"/>
        <v>0.24718265656565655</v>
      </c>
      <c r="AB12" s="30">
        <v>70</v>
      </c>
      <c r="AC12" s="31">
        <f t="shared" si="13"/>
        <v>0.48927301616161611</v>
      </c>
      <c r="AD12" s="31">
        <f t="shared" si="14"/>
        <v>0.42021051616161614</v>
      </c>
    </row>
    <row r="13" spans="1:30" ht="14.4" x14ac:dyDescent="0.3">
      <c r="A13" s="15">
        <v>1000</v>
      </c>
      <c r="B13" s="7" t="s">
        <v>11</v>
      </c>
      <c r="C13" s="22" t="s">
        <v>22</v>
      </c>
      <c r="D13" s="23">
        <v>125000</v>
      </c>
      <c r="E13" s="24">
        <v>0.03</v>
      </c>
      <c r="F13" s="25">
        <v>60</v>
      </c>
      <c r="G13" s="26">
        <f t="shared" si="4"/>
        <v>61.8</v>
      </c>
      <c r="H13" s="27">
        <f t="shared" si="5"/>
        <v>7725</v>
      </c>
      <c r="I13" s="27">
        <f>C26</f>
        <v>2.08</v>
      </c>
      <c r="J13" s="89">
        <f t="shared" si="6"/>
        <v>16068</v>
      </c>
      <c r="K13" s="84">
        <f>E36</f>
        <v>1.1438383838383839E-3</v>
      </c>
      <c r="L13" s="28">
        <f t="shared" si="0"/>
        <v>142.97979797979798</v>
      </c>
      <c r="M13" s="29">
        <f>A18*B18</f>
        <v>128</v>
      </c>
      <c r="N13" s="29">
        <f>C18</f>
        <v>200</v>
      </c>
      <c r="O13" s="29">
        <f>E18+F18*D18</f>
        <v>17.5</v>
      </c>
      <c r="P13" s="29">
        <f t="shared" si="1"/>
        <v>625</v>
      </c>
      <c r="Q13" s="28">
        <f t="shared" si="7"/>
        <v>10937.5</v>
      </c>
      <c r="R13" s="26">
        <f t="shared" si="8"/>
        <v>27276.479797979799</v>
      </c>
      <c r="S13" s="26">
        <f>G18</f>
        <v>0.3</v>
      </c>
      <c r="T13" s="26">
        <f t="shared" si="9"/>
        <v>35459.423737373741</v>
      </c>
      <c r="U13" s="27">
        <f t="shared" si="2"/>
        <v>0.28367538989898994</v>
      </c>
      <c r="V13" s="78">
        <f>E19+F19*D19</f>
        <v>11.25</v>
      </c>
      <c r="W13" s="78">
        <f t="shared" si="10"/>
        <v>7031.25</v>
      </c>
      <c r="X13" s="92">
        <f t="shared" si="11"/>
        <v>23370.229797979799</v>
      </c>
      <c r="Y13" s="78">
        <f>G18</f>
        <v>0.3</v>
      </c>
      <c r="Z13" s="26">
        <f t="shared" si="12"/>
        <v>30381.298737373738</v>
      </c>
      <c r="AA13" s="78">
        <f t="shared" si="3"/>
        <v>0.24305038989898992</v>
      </c>
      <c r="AB13" s="30">
        <v>65</v>
      </c>
      <c r="AC13" s="31">
        <f t="shared" si="13"/>
        <v>0.46806439333333338</v>
      </c>
      <c r="AD13" s="31">
        <f t="shared" si="14"/>
        <v>0.4010331433333334</v>
      </c>
    </row>
    <row r="14" spans="1:30" ht="15" thickBot="1" x14ac:dyDescent="0.35">
      <c r="A14" s="15">
        <v>1000</v>
      </c>
      <c r="B14" s="7" t="s">
        <v>12</v>
      </c>
      <c r="C14" s="22" t="s">
        <v>23</v>
      </c>
      <c r="D14" s="23">
        <v>200000</v>
      </c>
      <c r="E14" s="24">
        <v>0.03</v>
      </c>
      <c r="F14" s="25">
        <v>60</v>
      </c>
      <c r="G14" s="26">
        <f t="shared" si="4"/>
        <v>61.8</v>
      </c>
      <c r="H14" s="27">
        <f t="shared" si="5"/>
        <v>12360</v>
      </c>
      <c r="I14" s="27">
        <f>C26</f>
        <v>2.08</v>
      </c>
      <c r="J14" s="89">
        <f t="shared" si="6"/>
        <v>25708.799999999999</v>
      </c>
      <c r="K14" s="84">
        <f>E36</f>
        <v>1.1438383838383839E-3</v>
      </c>
      <c r="L14" s="28">
        <f t="shared" si="0"/>
        <v>228.76767676767679</v>
      </c>
      <c r="M14" s="29">
        <f>A18*B18</f>
        <v>128</v>
      </c>
      <c r="N14" s="29">
        <f>C18</f>
        <v>200</v>
      </c>
      <c r="O14" s="29">
        <f>E18+F18*D18</f>
        <v>17.5</v>
      </c>
      <c r="P14" s="29">
        <f t="shared" si="1"/>
        <v>1000</v>
      </c>
      <c r="Q14" s="28">
        <f t="shared" si="7"/>
        <v>17500</v>
      </c>
      <c r="R14" s="26">
        <f t="shared" si="8"/>
        <v>43565.567676767678</v>
      </c>
      <c r="S14" s="26">
        <f>G18</f>
        <v>0.3</v>
      </c>
      <c r="T14" s="26">
        <f t="shared" si="9"/>
        <v>56635.237979797981</v>
      </c>
      <c r="U14" s="27">
        <f t="shared" si="2"/>
        <v>0.28317618989898991</v>
      </c>
      <c r="V14" s="78">
        <f>E19+F19*D19</f>
        <v>11.25</v>
      </c>
      <c r="W14" s="78">
        <f t="shared" si="10"/>
        <v>11250</v>
      </c>
      <c r="X14" s="92">
        <f t="shared" si="11"/>
        <v>37315.567676767678</v>
      </c>
      <c r="Y14" s="78">
        <f>G18</f>
        <v>0.3</v>
      </c>
      <c r="Z14" s="26">
        <f t="shared" si="12"/>
        <v>48510.237979797981</v>
      </c>
      <c r="AA14" s="78">
        <f t="shared" si="3"/>
        <v>0.24255118989898991</v>
      </c>
      <c r="AB14" s="30">
        <v>60</v>
      </c>
      <c r="AC14" s="32">
        <f t="shared" si="13"/>
        <v>0.45308190383838387</v>
      </c>
      <c r="AD14" s="32">
        <f t="shared" si="14"/>
        <v>0.38808190383838381</v>
      </c>
    </row>
    <row r="15" spans="1:30" ht="14.4" thickBot="1" x14ac:dyDescent="0.35"/>
    <row r="16" spans="1:30" x14ac:dyDescent="0.3">
      <c r="A16" s="33" t="s">
        <v>27</v>
      </c>
      <c r="B16" s="34"/>
      <c r="C16" s="34"/>
      <c r="D16" s="34"/>
      <c r="E16" s="34"/>
      <c r="F16" s="34"/>
      <c r="G16" s="35"/>
      <c r="AC16" s="80"/>
    </row>
    <row r="17" spans="1:12" x14ac:dyDescent="0.3">
      <c r="A17" s="36" t="s">
        <v>28</v>
      </c>
      <c r="B17" s="37" t="s">
        <v>29</v>
      </c>
      <c r="C17" s="37" t="s">
        <v>30</v>
      </c>
      <c r="D17" s="37" t="s">
        <v>31</v>
      </c>
      <c r="E17" s="37" t="s">
        <v>32</v>
      </c>
      <c r="F17" s="37" t="s">
        <v>33</v>
      </c>
      <c r="G17" s="38" t="s">
        <v>34</v>
      </c>
      <c r="J17" s="39"/>
      <c r="K17" s="85"/>
      <c r="L17" s="14" t="s">
        <v>59</v>
      </c>
    </row>
    <row r="18" spans="1:12" ht="14.4" thickBot="1" x14ac:dyDescent="0.35">
      <c r="A18" s="40">
        <v>4</v>
      </c>
      <c r="B18" s="41">
        <v>32</v>
      </c>
      <c r="C18" s="41">
        <v>200</v>
      </c>
      <c r="D18" s="41">
        <v>0.5</v>
      </c>
      <c r="E18" s="41">
        <v>5</v>
      </c>
      <c r="F18" s="42">
        <v>25</v>
      </c>
      <c r="G18" s="43">
        <v>0.3</v>
      </c>
    </row>
    <row r="19" spans="1:12" ht="14.4" thickBot="1" x14ac:dyDescent="0.35">
      <c r="A19" s="40">
        <v>4</v>
      </c>
      <c r="B19" s="41">
        <v>32</v>
      </c>
      <c r="C19" s="41">
        <v>200</v>
      </c>
      <c r="D19" s="41">
        <v>0.25</v>
      </c>
      <c r="E19" s="41">
        <v>5</v>
      </c>
      <c r="F19" s="42">
        <v>25</v>
      </c>
      <c r="G19" s="43">
        <v>0.3</v>
      </c>
    </row>
    <row r="20" spans="1:12" ht="14.4" thickBot="1" x14ac:dyDescent="0.35">
      <c r="J20" s="44"/>
      <c r="K20" s="86"/>
      <c r="L20" s="14" t="s">
        <v>60</v>
      </c>
    </row>
    <row r="21" spans="1:12" x14ac:dyDescent="0.3">
      <c r="A21" s="45" t="s">
        <v>35</v>
      </c>
      <c r="B21" s="46"/>
      <c r="C21" s="46" t="s">
        <v>36</v>
      </c>
      <c r="D21" s="47" t="s">
        <v>37</v>
      </c>
    </row>
    <row r="22" spans="1:12" x14ac:dyDescent="0.3">
      <c r="A22" s="48" t="s">
        <v>40</v>
      </c>
      <c r="B22" s="49">
        <v>2</v>
      </c>
      <c r="C22" s="50">
        <v>96</v>
      </c>
      <c r="D22" s="51"/>
    </row>
    <row r="23" spans="1:12" x14ac:dyDescent="0.3">
      <c r="A23" s="48" t="s">
        <v>40</v>
      </c>
      <c r="B23" s="49">
        <v>4</v>
      </c>
      <c r="C23" s="50">
        <v>4</v>
      </c>
      <c r="D23" s="51"/>
    </row>
    <row r="24" spans="1:12" x14ac:dyDescent="0.3">
      <c r="A24" s="48" t="s">
        <v>40</v>
      </c>
      <c r="B24" s="49">
        <v>0</v>
      </c>
      <c r="C24" s="50"/>
      <c r="D24" s="51"/>
    </row>
    <row r="25" spans="1:12" ht="14.4" thickBot="1" x14ac:dyDescent="0.35">
      <c r="A25" s="48" t="s">
        <v>44</v>
      </c>
      <c r="B25" s="49">
        <v>0</v>
      </c>
      <c r="C25" s="50"/>
      <c r="D25" s="51"/>
    </row>
    <row r="26" spans="1:12" ht="14.4" thickBot="1" x14ac:dyDescent="0.35">
      <c r="A26" s="52" t="s">
        <v>45</v>
      </c>
      <c r="B26" s="53">
        <f>SUM(B22:B25)</f>
        <v>6</v>
      </c>
      <c r="C26" s="54">
        <f>(B22*C22/100)+(B23*C23/100)+(B24*C24/100)+(B25*C25/100)</f>
        <v>2.08</v>
      </c>
      <c r="D26" s="55" t="s">
        <v>62</v>
      </c>
    </row>
    <row r="27" spans="1:12" ht="14.4" thickBot="1" x14ac:dyDescent="0.35"/>
    <row r="28" spans="1:12" x14ac:dyDescent="0.3">
      <c r="A28" s="56" t="s">
        <v>38</v>
      </c>
      <c r="B28" s="57"/>
      <c r="C28" s="58"/>
      <c r="D28" s="59" t="s">
        <v>39</v>
      </c>
      <c r="E28" s="60" t="s">
        <v>97</v>
      </c>
    </row>
    <row r="29" spans="1:12" x14ac:dyDescent="0.3">
      <c r="A29" s="61" t="s">
        <v>42</v>
      </c>
      <c r="B29" s="62">
        <v>1100</v>
      </c>
      <c r="C29" s="63"/>
      <c r="D29" s="64"/>
      <c r="E29" s="65"/>
    </row>
    <row r="30" spans="1:12" x14ac:dyDescent="0.3">
      <c r="A30" s="61" t="s">
        <v>86</v>
      </c>
      <c r="B30" s="62">
        <v>9</v>
      </c>
      <c r="C30" s="63" t="s">
        <v>41</v>
      </c>
      <c r="D30" s="66">
        <v>0.68100000000000005</v>
      </c>
      <c r="E30" s="65">
        <f>D30*B30</f>
        <v>6.1290000000000004</v>
      </c>
    </row>
    <row r="31" spans="1:12" x14ac:dyDescent="0.3">
      <c r="A31" s="61" t="s">
        <v>87</v>
      </c>
      <c r="B31" s="62">
        <f>B30*B29</f>
        <v>9900</v>
      </c>
      <c r="C31" s="67"/>
      <c r="D31" s="68"/>
      <c r="E31" s="65"/>
    </row>
    <row r="32" spans="1:12" x14ac:dyDescent="0.3">
      <c r="A32" s="61" t="s">
        <v>88</v>
      </c>
      <c r="B32" s="62">
        <v>9</v>
      </c>
      <c r="C32" s="63" t="s">
        <v>43</v>
      </c>
      <c r="D32" s="69">
        <v>0.13800000000000001</v>
      </c>
      <c r="E32" s="65">
        <f>D32*B32</f>
        <v>1.242</v>
      </c>
    </row>
    <row r="33" spans="1:5" x14ac:dyDescent="0.3">
      <c r="A33" s="61" t="s">
        <v>46</v>
      </c>
      <c r="B33" s="62">
        <f>B32*5</f>
        <v>45</v>
      </c>
      <c r="C33" s="63" t="s">
        <v>47</v>
      </c>
      <c r="D33" s="66">
        <v>4.3400000000000001E-2</v>
      </c>
      <c r="E33" s="65">
        <f>D33*B33</f>
        <v>1.9530000000000001</v>
      </c>
    </row>
    <row r="34" spans="1:5" ht="14.4" thickBot="1" x14ac:dyDescent="0.35">
      <c r="A34" s="70" t="s">
        <v>48</v>
      </c>
      <c r="B34" s="71" t="s">
        <v>49</v>
      </c>
      <c r="C34" s="72" t="s">
        <v>50</v>
      </c>
      <c r="D34" s="73">
        <v>2</v>
      </c>
      <c r="E34" s="74">
        <f>D34</f>
        <v>2</v>
      </c>
    </row>
    <row r="35" spans="1:5" ht="14.4" thickBot="1" x14ac:dyDescent="0.35">
      <c r="E35" s="75">
        <f>SUM(E29:E34)</f>
        <v>11.324</v>
      </c>
    </row>
    <row r="36" spans="1:5" ht="14.4" thickBot="1" x14ac:dyDescent="0.35">
      <c r="D36" s="76" t="s">
        <v>98</v>
      </c>
      <c r="E36" s="77">
        <f>E35/B31</f>
        <v>1.1438383838383839E-3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E1DBE-DAFA-4B87-A18C-341B0FCF897A}">
  <dimension ref="A2:AD36"/>
  <sheetViews>
    <sheetView workbookViewId="0">
      <selection activeCell="Q26" sqref="Q26"/>
    </sheetView>
  </sheetViews>
  <sheetFormatPr defaultColWidth="9.109375" defaultRowHeight="13.8" x14ac:dyDescent="0.3"/>
  <cols>
    <col min="1" max="1" width="28.6640625" style="14" bestFit="1" customWidth="1"/>
    <col min="2" max="2" width="10.109375" style="14" bestFit="1" customWidth="1"/>
    <col min="3" max="3" width="21" style="14" bestFit="1" customWidth="1"/>
    <col min="4" max="4" width="12.44140625" style="14" bestFit="1" customWidth="1"/>
    <col min="5" max="5" width="21" style="14" bestFit="1" customWidth="1"/>
    <col min="6" max="6" width="14.88671875" style="14" bestFit="1" customWidth="1"/>
    <col min="7" max="7" width="23.5546875" style="14" bestFit="1" customWidth="1"/>
    <col min="8" max="8" width="18.6640625" style="14" customWidth="1"/>
    <col min="9" max="9" width="0.109375" style="14" customWidth="1"/>
    <col min="10" max="10" width="9.5546875" style="14" bestFit="1" customWidth="1"/>
    <col min="11" max="11" width="15.33203125" style="82" customWidth="1"/>
    <col min="12" max="12" width="17.5546875" style="14" bestFit="1" customWidth="1"/>
    <col min="13" max="13" width="19.33203125" style="14" customWidth="1"/>
    <col min="14" max="14" width="9.109375" style="14" customWidth="1"/>
    <col min="15" max="15" width="22.88671875" style="14" customWidth="1"/>
    <col min="16" max="16" width="11.88671875" style="14" customWidth="1"/>
    <col min="17" max="17" width="23.5546875" style="14" bestFit="1" customWidth="1"/>
    <col min="18" max="18" width="24.33203125" style="14" customWidth="1"/>
    <col min="19" max="19" width="11" style="14" customWidth="1"/>
    <col min="20" max="20" width="35.5546875" style="14" bestFit="1" customWidth="1"/>
    <col min="21" max="21" width="14.6640625" style="14" bestFit="1" customWidth="1"/>
    <col min="22" max="27" width="14.6640625" style="14" customWidth="1"/>
    <col min="28" max="28" width="16.5546875" style="14" bestFit="1" customWidth="1"/>
    <col min="29" max="29" width="17.44140625" style="14" bestFit="1" customWidth="1"/>
    <col min="30" max="30" width="11.88671875" style="14" bestFit="1" customWidth="1"/>
    <col min="31" max="16384" width="9.109375" style="14"/>
  </cols>
  <sheetData>
    <row r="2" spans="1:30" ht="14.4" thickBot="1" x14ac:dyDescent="0.35"/>
    <row r="3" spans="1:30" ht="74.25" customHeight="1" thickBot="1" x14ac:dyDescent="0.35">
      <c r="A3" s="15" t="s">
        <v>57</v>
      </c>
      <c r="B3" s="15" t="s">
        <v>24</v>
      </c>
      <c r="C3" s="15" t="s">
        <v>25</v>
      </c>
      <c r="D3" s="15" t="s">
        <v>26</v>
      </c>
      <c r="E3" s="15" t="s">
        <v>55</v>
      </c>
      <c r="F3" s="15" t="s">
        <v>58</v>
      </c>
      <c r="G3" s="16" t="s">
        <v>51</v>
      </c>
      <c r="H3" s="17" t="s">
        <v>52</v>
      </c>
      <c r="I3" s="17" t="s">
        <v>61</v>
      </c>
      <c r="J3" s="90" t="s">
        <v>53</v>
      </c>
      <c r="K3" s="83" t="s">
        <v>99</v>
      </c>
      <c r="L3" s="18" t="s">
        <v>96</v>
      </c>
      <c r="M3" s="19" t="s">
        <v>54</v>
      </c>
      <c r="N3" s="19" t="s">
        <v>100</v>
      </c>
      <c r="O3" s="19" t="s">
        <v>108</v>
      </c>
      <c r="P3" s="19" t="s">
        <v>101</v>
      </c>
      <c r="Q3" s="91" t="s">
        <v>116</v>
      </c>
      <c r="R3" s="87" t="s">
        <v>107</v>
      </c>
      <c r="S3" s="88" t="s">
        <v>102</v>
      </c>
      <c r="T3" s="87" t="s">
        <v>104</v>
      </c>
      <c r="U3" s="87" t="s">
        <v>105</v>
      </c>
      <c r="V3" s="19" t="s">
        <v>109</v>
      </c>
      <c r="W3" s="20" t="s">
        <v>110</v>
      </c>
      <c r="X3" s="20"/>
      <c r="Y3" s="20"/>
      <c r="Z3" s="20" t="s">
        <v>111</v>
      </c>
      <c r="AA3" s="20" t="s">
        <v>112</v>
      </c>
      <c r="AB3" s="20" t="s">
        <v>103</v>
      </c>
      <c r="AC3" s="79" t="s">
        <v>106</v>
      </c>
      <c r="AD3" s="21" t="s">
        <v>113</v>
      </c>
    </row>
    <row r="4" spans="1:30" ht="14.4" x14ac:dyDescent="0.3">
      <c r="A4" s="15">
        <v>1000</v>
      </c>
      <c r="B4" s="7" t="s">
        <v>2</v>
      </c>
      <c r="C4" s="22" t="s">
        <v>13</v>
      </c>
      <c r="D4" s="23">
        <v>2000</v>
      </c>
      <c r="E4" s="24">
        <v>0.1</v>
      </c>
      <c r="F4" s="25">
        <v>60</v>
      </c>
      <c r="G4" s="26">
        <f>F4+F4*E4</f>
        <v>66</v>
      </c>
      <c r="H4" s="27">
        <f>(G4*D4)/1000</f>
        <v>132</v>
      </c>
      <c r="I4" s="27">
        <f>C26</f>
        <v>1.5999999999999999</v>
      </c>
      <c r="J4" s="89">
        <f>H4*I4</f>
        <v>211.2</v>
      </c>
      <c r="K4" s="84">
        <f>E36</f>
        <v>1.1438383838383839E-3</v>
      </c>
      <c r="L4" s="28">
        <f t="shared" ref="L4:L14" si="0">K4*D4</f>
        <v>2.2876767676767678</v>
      </c>
      <c r="M4" s="29">
        <f>A18*B18</f>
        <v>128</v>
      </c>
      <c r="N4" s="29">
        <f>C18</f>
        <v>200</v>
      </c>
      <c r="O4" s="29">
        <f>E18+F18*D18</f>
        <v>17.5</v>
      </c>
      <c r="P4" s="29">
        <f t="shared" ref="P4:P14" si="1">D4/N4</f>
        <v>10</v>
      </c>
      <c r="Q4" s="28">
        <f>O4*P4</f>
        <v>175</v>
      </c>
      <c r="R4" s="26">
        <f>Q4+L4+J4+M4</f>
        <v>516.4876767676767</v>
      </c>
      <c r="S4" s="26">
        <f>G18</f>
        <v>0.3</v>
      </c>
      <c r="T4" s="26">
        <f>R4+R4*S4</f>
        <v>671.43397979797965</v>
      </c>
      <c r="U4" s="27">
        <f t="shared" ref="U4:U14" si="2">T4/D4</f>
        <v>0.33571698989898985</v>
      </c>
      <c r="V4" s="78">
        <f>E19+F19*D19</f>
        <v>11.25</v>
      </c>
      <c r="W4" s="78">
        <f>V4*P4</f>
        <v>112.5</v>
      </c>
      <c r="X4" s="92">
        <f>W4+M4+L4+J4</f>
        <v>453.98767676767676</v>
      </c>
      <c r="Y4" s="78">
        <f>G18</f>
        <v>0.3</v>
      </c>
      <c r="Z4" s="26">
        <f>X4+X4*Y4</f>
        <v>590.18397979797976</v>
      </c>
      <c r="AA4" s="78">
        <f t="shared" ref="AA4:AA14" si="3">Z4/D4</f>
        <v>0.29509198989898988</v>
      </c>
      <c r="AB4" s="30">
        <v>180</v>
      </c>
      <c r="AC4" s="81">
        <f>U4*2+(U4*2*80/100)</f>
        <v>1.2085811636363635</v>
      </c>
      <c r="AD4" s="81">
        <f>AA4*2+(AA4*2*80/100)</f>
        <v>1.0623311636363635</v>
      </c>
    </row>
    <row r="5" spans="1:30" ht="14.4" x14ac:dyDescent="0.3">
      <c r="A5" s="15">
        <v>1000</v>
      </c>
      <c r="B5" s="7" t="s">
        <v>3</v>
      </c>
      <c r="C5" s="22" t="s">
        <v>14</v>
      </c>
      <c r="D5" s="23">
        <v>4000</v>
      </c>
      <c r="E5" s="24">
        <v>0.1</v>
      </c>
      <c r="F5" s="25">
        <v>60</v>
      </c>
      <c r="G5" s="26">
        <f t="shared" ref="G5:G14" si="4">F5+F5*E5</f>
        <v>66</v>
      </c>
      <c r="H5" s="27">
        <f t="shared" ref="H5:H14" si="5">(G5*D5)/1000</f>
        <v>264</v>
      </c>
      <c r="I5" s="27">
        <f>C26</f>
        <v>1.5999999999999999</v>
      </c>
      <c r="J5" s="89">
        <f t="shared" ref="J5:J14" si="6">H5*I5</f>
        <v>422.4</v>
      </c>
      <c r="K5" s="84">
        <f>E36</f>
        <v>1.1438383838383839E-3</v>
      </c>
      <c r="L5" s="28">
        <f t="shared" si="0"/>
        <v>4.5753535353535355</v>
      </c>
      <c r="M5" s="29">
        <f>A18*B18</f>
        <v>128</v>
      </c>
      <c r="N5" s="29">
        <f>C18</f>
        <v>200</v>
      </c>
      <c r="O5" s="29">
        <f>E18+F18*D18</f>
        <v>17.5</v>
      </c>
      <c r="P5" s="29">
        <f t="shared" si="1"/>
        <v>20</v>
      </c>
      <c r="Q5" s="28">
        <f t="shared" ref="Q5:Q14" si="7">O5*P5</f>
        <v>350</v>
      </c>
      <c r="R5" s="26">
        <f t="shared" ref="R5:R14" si="8">Q5+L5+J5+M5</f>
        <v>904.97535353535352</v>
      </c>
      <c r="S5" s="26">
        <f>G18</f>
        <v>0.3</v>
      </c>
      <c r="T5" s="26">
        <f t="shared" ref="T5:T14" si="9">R5+R5*S5</f>
        <v>1176.4679595959597</v>
      </c>
      <c r="U5" s="27">
        <f t="shared" si="2"/>
        <v>0.29411698989898993</v>
      </c>
      <c r="V5" s="78">
        <f>E19+F19*D19</f>
        <v>11.25</v>
      </c>
      <c r="W5" s="78">
        <f t="shared" ref="W5:W14" si="10">V5*P5</f>
        <v>225</v>
      </c>
      <c r="X5" s="92">
        <f t="shared" ref="X5:X14" si="11">W5+M5+L5+J5</f>
        <v>779.97535353535352</v>
      </c>
      <c r="Y5" s="78">
        <f>G18</f>
        <v>0.3</v>
      </c>
      <c r="Z5" s="26">
        <f t="shared" ref="Z5:Z14" si="12">X5+X5*Y5</f>
        <v>1013.9679595959595</v>
      </c>
      <c r="AA5" s="78">
        <f t="shared" si="3"/>
        <v>0.25349198989898991</v>
      </c>
      <c r="AB5" s="30">
        <v>160</v>
      </c>
      <c r="AC5" s="31">
        <f>U5*2+(U5*2*80/100)</f>
        <v>1.0588211636363638</v>
      </c>
      <c r="AD5" s="31">
        <f>AA5*2+(AA5*2*80/100)</f>
        <v>0.91257116363636359</v>
      </c>
    </row>
    <row r="6" spans="1:30" ht="14.4" x14ac:dyDescent="0.3">
      <c r="A6" s="15">
        <v>1000</v>
      </c>
      <c r="B6" s="7" t="s">
        <v>4</v>
      </c>
      <c r="C6" s="22" t="s">
        <v>15</v>
      </c>
      <c r="D6" s="23">
        <v>7500</v>
      </c>
      <c r="E6" s="24">
        <v>7.0000000000000007E-2</v>
      </c>
      <c r="F6" s="25">
        <v>60</v>
      </c>
      <c r="G6" s="26">
        <f t="shared" si="4"/>
        <v>64.2</v>
      </c>
      <c r="H6" s="27">
        <f t="shared" si="5"/>
        <v>481.5</v>
      </c>
      <c r="I6" s="27">
        <f>C26</f>
        <v>1.5999999999999999</v>
      </c>
      <c r="J6" s="89">
        <f t="shared" si="6"/>
        <v>770.4</v>
      </c>
      <c r="K6" s="84">
        <f>E36</f>
        <v>1.1438383838383839E-3</v>
      </c>
      <c r="L6" s="28">
        <f t="shared" si="0"/>
        <v>8.57878787878788</v>
      </c>
      <c r="M6" s="29">
        <f>A18*B18</f>
        <v>128</v>
      </c>
      <c r="N6" s="29">
        <f>C18</f>
        <v>200</v>
      </c>
      <c r="O6" s="29">
        <f>E18+F18*D18</f>
        <v>17.5</v>
      </c>
      <c r="P6" s="29">
        <f t="shared" si="1"/>
        <v>37.5</v>
      </c>
      <c r="Q6" s="28">
        <f t="shared" si="7"/>
        <v>656.25</v>
      </c>
      <c r="R6" s="26">
        <f t="shared" si="8"/>
        <v>1563.2287878787879</v>
      </c>
      <c r="S6" s="26">
        <f>G18</f>
        <v>0.3</v>
      </c>
      <c r="T6" s="26">
        <f t="shared" si="9"/>
        <v>2032.1974242424242</v>
      </c>
      <c r="U6" s="27">
        <f t="shared" si="2"/>
        <v>0.27095965656565657</v>
      </c>
      <c r="V6" s="78">
        <f>E19+F19*D19</f>
        <v>11.25</v>
      </c>
      <c r="W6" s="78">
        <f t="shared" si="10"/>
        <v>421.875</v>
      </c>
      <c r="X6" s="92">
        <f t="shared" si="11"/>
        <v>1328.8537878787879</v>
      </c>
      <c r="Y6" s="78">
        <f>G18</f>
        <v>0.3</v>
      </c>
      <c r="Z6" s="26">
        <f t="shared" si="12"/>
        <v>1727.5099242424242</v>
      </c>
      <c r="AA6" s="78">
        <f t="shared" si="3"/>
        <v>0.23033465656565655</v>
      </c>
      <c r="AB6" s="30">
        <v>140</v>
      </c>
      <c r="AC6" s="31">
        <f>U6*2+(U6*2*80/100)</f>
        <v>0.97545476363636363</v>
      </c>
      <c r="AD6" s="31">
        <f>AA6*2+(AA6*2*80/100)</f>
        <v>0.82920476363636353</v>
      </c>
    </row>
    <row r="7" spans="1:30" ht="14.4" x14ac:dyDescent="0.3">
      <c r="A7" s="15">
        <v>1000</v>
      </c>
      <c r="B7" s="7" t="s">
        <v>5</v>
      </c>
      <c r="C7" s="22" t="s">
        <v>16</v>
      </c>
      <c r="D7" s="23">
        <v>12500</v>
      </c>
      <c r="E7" s="24">
        <v>7.0000000000000007E-2</v>
      </c>
      <c r="F7" s="25">
        <v>60</v>
      </c>
      <c r="G7" s="26">
        <f t="shared" si="4"/>
        <v>64.2</v>
      </c>
      <c r="H7" s="27">
        <f t="shared" si="5"/>
        <v>802.5</v>
      </c>
      <c r="I7" s="27">
        <f>C26</f>
        <v>1.5999999999999999</v>
      </c>
      <c r="J7" s="89">
        <f t="shared" si="6"/>
        <v>1284</v>
      </c>
      <c r="K7" s="84">
        <f>E36</f>
        <v>1.1438383838383839E-3</v>
      </c>
      <c r="L7" s="28">
        <f t="shared" si="0"/>
        <v>14.297979797979799</v>
      </c>
      <c r="M7" s="29">
        <f>A18*B18</f>
        <v>128</v>
      </c>
      <c r="N7" s="29">
        <f>C18</f>
        <v>200</v>
      </c>
      <c r="O7" s="29">
        <f>E18+F18*D18</f>
        <v>17.5</v>
      </c>
      <c r="P7" s="29">
        <f t="shared" si="1"/>
        <v>62.5</v>
      </c>
      <c r="Q7" s="28">
        <f t="shared" si="7"/>
        <v>1093.75</v>
      </c>
      <c r="R7" s="26">
        <f t="shared" si="8"/>
        <v>2520.0479797979797</v>
      </c>
      <c r="S7" s="26">
        <f>G18</f>
        <v>0.3</v>
      </c>
      <c r="T7" s="26">
        <f t="shared" si="9"/>
        <v>3276.0623737373735</v>
      </c>
      <c r="U7" s="27">
        <f t="shared" si="2"/>
        <v>0.26208498989898987</v>
      </c>
      <c r="V7" s="78">
        <f>E19+F19*D19</f>
        <v>11.25</v>
      </c>
      <c r="W7" s="78">
        <f t="shared" si="10"/>
        <v>703.125</v>
      </c>
      <c r="X7" s="92">
        <f t="shared" si="11"/>
        <v>2129.4229797979797</v>
      </c>
      <c r="Y7" s="78">
        <f>G18</f>
        <v>0.3</v>
      </c>
      <c r="Z7" s="26">
        <f t="shared" si="12"/>
        <v>2768.2498737373735</v>
      </c>
      <c r="AA7" s="78">
        <f t="shared" si="3"/>
        <v>0.22145998989898988</v>
      </c>
      <c r="AB7" s="30">
        <v>85</v>
      </c>
      <c r="AC7" s="31">
        <f>U7+U7*AB7/100</f>
        <v>0.48485723131313124</v>
      </c>
      <c r="AD7" s="31">
        <f>AA7+AA7*AB7/100</f>
        <v>0.40970098131313126</v>
      </c>
    </row>
    <row r="8" spans="1:30" ht="14.4" x14ac:dyDescent="0.3">
      <c r="A8" s="15">
        <v>1000</v>
      </c>
      <c r="B8" s="7" t="s">
        <v>6</v>
      </c>
      <c r="C8" s="22" t="s">
        <v>17</v>
      </c>
      <c r="D8" s="23">
        <v>17500</v>
      </c>
      <c r="E8" s="24">
        <v>7.0000000000000007E-2</v>
      </c>
      <c r="F8" s="25">
        <v>60</v>
      </c>
      <c r="G8" s="26">
        <f t="shared" si="4"/>
        <v>64.2</v>
      </c>
      <c r="H8" s="27">
        <f t="shared" si="5"/>
        <v>1123.5</v>
      </c>
      <c r="I8" s="27">
        <f>C26</f>
        <v>1.5999999999999999</v>
      </c>
      <c r="J8" s="89">
        <f t="shared" si="6"/>
        <v>1797.6</v>
      </c>
      <c r="K8" s="84">
        <f>E36</f>
        <v>1.1438383838383839E-3</v>
      </c>
      <c r="L8" s="28">
        <f t="shared" si="0"/>
        <v>20.017171717171717</v>
      </c>
      <c r="M8" s="29">
        <f>A18*B18</f>
        <v>128</v>
      </c>
      <c r="N8" s="29">
        <f>C18</f>
        <v>200</v>
      </c>
      <c r="O8" s="29">
        <f>E18+F18*D18</f>
        <v>17.5</v>
      </c>
      <c r="P8" s="29">
        <f t="shared" si="1"/>
        <v>87.5</v>
      </c>
      <c r="Q8" s="28">
        <f t="shared" si="7"/>
        <v>1531.25</v>
      </c>
      <c r="R8" s="26">
        <f t="shared" si="8"/>
        <v>3476.8671717171719</v>
      </c>
      <c r="S8" s="26">
        <f>G18</f>
        <v>0.3</v>
      </c>
      <c r="T8" s="26">
        <f t="shared" si="9"/>
        <v>4519.927323232323</v>
      </c>
      <c r="U8" s="27">
        <f t="shared" si="2"/>
        <v>0.2582815613275613</v>
      </c>
      <c r="V8" s="78">
        <f>E19+F19*D19</f>
        <v>11.25</v>
      </c>
      <c r="W8" s="78">
        <f t="shared" si="10"/>
        <v>984.375</v>
      </c>
      <c r="X8" s="92">
        <f t="shared" si="11"/>
        <v>2929.9921717171719</v>
      </c>
      <c r="Y8" s="78">
        <f>G18</f>
        <v>0.3</v>
      </c>
      <c r="Z8" s="26">
        <f t="shared" si="12"/>
        <v>3808.9898232323235</v>
      </c>
      <c r="AA8" s="78">
        <f t="shared" si="3"/>
        <v>0.21765656132756134</v>
      </c>
      <c r="AB8" s="30">
        <v>80</v>
      </c>
      <c r="AC8" s="31">
        <f t="shared" ref="AC8:AC14" si="13">U8+U8*AB8/100</f>
        <v>0.46490681038961035</v>
      </c>
      <c r="AD8" s="31">
        <f t="shared" ref="AD8:AD14" si="14">AA8+AA8*AB8/100</f>
        <v>0.39178181038961041</v>
      </c>
    </row>
    <row r="9" spans="1:30" ht="14.4" x14ac:dyDescent="0.3">
      <c r="A9" s="15">
        <v>1000</v>
      </c>
      <c r="B9" s="7" t="s">
        <v>7</v>
      </c>
      <c r="C9" s="22" t="s">
        <v>18</v>
      </c>
      <c r="D9" s="23">
        <v>25000</v>
      </c>
      <c r="E9" s="24">
        <v>0.05</v>
      </c>
      <c r="F9" s="25">
        <v>60</v>
      </c>
      <c r="G9" s="26">
        <f t="shared" si="4"/>
        <v>63</v>
      </c>
      <c r="H9" s="27">
        <f t="shared" si="5"/>
        <v>1575</v>
      </c>
      <c r="I9" s="27">
        <f>C26</f>
        <v>1.5999999999999999</v>
      </c>
      <c r="J9" s="89">
        <f t="shared" si="6"/>
        <v>2520</v>
      </c>
      <c r="K9" s="84">
        <f>E36</f>
        <v>1.1438383838383839E-3</v>
      </c>
      <c r="L9" s="28">
        <f t="shared" si="0"/>
        <v>28.595959595959599</v>
      </c>
      <c r="M9" s="29">
        <f>A18*B18</f>
        <v>128</v>
      </c>
      <c r="N9" s="29">
        <f>C18</f>
        <v>200</v>
      </c>
      <c r="O9" s="29">
        <f>E18+F18*D18</f>
        <v>17.5</v>
      </c>
      <c r="P9" s="29">
        <f t="shared" si="1"/>
        <v>125</v>
      </c>
      <c r="Q9" s="28">
        <f t="shared" si="7"/>
        <v>2187.5</v>
      </c>
      <c r="R9" s="26">
        <f t="shared" si="8"/>
        <v>4864.0959595959594</v>
      </c>
      <c r="S9" s="26">
        <f>G18</f>
        <v>0.3</v>
      </c>
      <c r="T9" s="26">
        <f t="shared" si="9"/>
        <v>6323.3247474747468</v>
      </c>
      <c r="U9" s="27">
        <f t="shared" si="2"/>
        <v>0.25293298989898988</v>
      </c>
      <c r="V9" s="78">
        <f>E19+F19*D19</f>
        <v>11.25</v>
      </c>
      <c r="W9" s="78">
        <f t="shared" si="10"/>
        <v>1406.25</v>
      </c>
      <c r="X9" s="92">
        <f t="shared" si="11"/>
        <v>4082.8459595959594</v>
      </c>
      <c r="Y9" s="78">
        <f>G18</f>
        <v>0.3</v>
      </c>
      <c r="Z9" s="26">
        <f t="shared" si="12"/>
        <v>5307.6997474747468</v>
      </c>
      <c r="AA9" s="78">
        <f t="shared" si="3"/>
        <v>0.21230798989898989</v>
      </c>
      <c r="AB9" s="30">
        <v>75</v>
      </c>
      <c r="AC9" s="31">
        <f t="shared" si="13"/>
        <v>0.4426327323232323</v>
      </c>
      <c r="AD9" s="31">
        <f t="shared" si="14"/>
        <v>0.37153898232323229</v>
      </c>
    </row>
    <row r="10" spans="1:30" ht="14.4" x14ac:dyDescent="0.3">
      <c r="A10" s="15">
        <v>1000</v>
      </c>
      <c r="B10" s="7" t="s">
        <v>8</v>
      </c>
      <c r="C10" s="22" t="s">
        <v>19</v>
      </c>
      <c r="D10" s="23">
        <v>35000</v>
      </c>
      <c r="E10" s="24">
        <v>0.05</v>
      </c>
      <c r="F10" s="25">
        <v>60</v>
      </c>
      <c r="G10" s="26">
        <f t="shared" si="4"/>
        <v>63</v>
      </c>
      <c r="H10" s="27">
        <f t="shared" si="5"/>
        <v>2205</v>
      </c>
      <c r="I10" s="27">
        <f>C26</f>
        <v>1.5999999999999999</v>
      </c>
      <c r="J10" s="89">
        <f t="shared" si="6"/>
        <v>3527.9999999999995</v>
      </c>
      <c r="K10" s="84">
        <f>E36</f>
        <v>1.1438383838383839E-3</v>
      </c>
      <c r="L10" s="28">
        <f t="shared" si="0"/>
        <v>40.034343434343434</v>
      </c>
      <c r="M10" s="29">
        <f>A18*B18</f>
        <v>128</v>
      </c>
      <c r="N10" s="29">
        <f>C18</f>
        <v>200</v>
      </c>
      <c r="O10" s="29">
        <f>E18+F18*D18</f>
        <v>17.5</v>
      </c>
      <c r="P10" s="29">
        <f t="shared" si="1"/>
        <v>175</v>
      </c>
      <c r="Q10" s="28">
        <f t="shared" si="7"/>
        <v>3062.5</v>
      </c>
      <c r="R10" s="26">
        <f t="shared" si="8"/>
        <v>6758.5343434343431</v>
      </c>
      <c r="S10" s="26">
        <f>G18</f>
        <v>0.3</v>
      </c>
      <c r="T10" s="26">
        <f t="shared" si="9"/>
        <v>8786.0946464646458</v>
      </c>
      <c r="U10" s="27">
        <f t="shared" si="2"/>
        <v>0.2510312756132756</v>
      </c>
      <c r="V10" s="78">
        <f>E19+F19*D19</f>
        <v>11.25</v>
      </c>
      <c r="W10" s="78">
        <f t="shared" si="10"/>
        <v>1968.75</v>
      </c>
      <c r="X10" s="92">
        <f t="shared" si="11"/>
        <v>5664.7843434343431</v>
      </c>
      <c r="Y10" s="78">
        <f>G18</f>
        <v>0.3</v>
      </c>
      <c r="Z10" s="26">
        <f t="shared" si="12"/>
        <v>7364.2196464646458</v>
      </c>
      <c r="AA10" s="78">
        <f t="shared" si="3"/>
        <v>0.2104062756132756</v>
      </c>
      <c r="AB10" s="30">
        <v>75</v>
      </c>
      <c r="AC10" s="31">
        <f t="shared" si="13"/>
        <v>0.43930473232323231</v>
      </c>
      <c r="AD10" s="31">
        <f t="shared" si="14"/>
        <v>0.36821098232323235</v>
      </c>
    </row>
    <row r="11" spans="1:30" ht="14.4" x14ac:dyDescent="0.3">
      <c r="A11" s="15">
        <v>1000</v>
      </c>
      <c r="B11" s="7" t="s">
        <v>9</v>
      </c>
      <c r="C11" s="22" t="s">
        <v>20</v>
      </c>
      <c r="D11" s="23">
        <v>45000</v>
      </c>
      <c r="E11" s="24">
        <v>0.05</v>
      </c>
      <c r="F11" s="25">
        <v>60</v>
      </c>
      <c r="G11" s="26">
        <f t="shared" si="4"/>
        <v>63</v>
      </c>
      <c r="H11" s="27">
        <f t="shared" si="5"/>
        <v>2835</v>
      </c>
      <c r="I11" s="27">
        <f>C26</f>
        <v>1.5999999999999999</v>
      </c>
      <c r="J11" s="89">
        <f t="shared" si="6"/>
        <v>4536</v>
      </c>
      <c r="K11" s="84">
        <f>E36</f>
        <v>1.1438383838383839E-3</v>
      </c>
      <c r="L11" s="28">
        <f t="shared" si="0"/>
        <v>51.472727272727276</v>
      </c>
      <c r="M11" s="29">
        <f>A18*B18</f>
        <v>128</v>
      </c>
      <c r="N11" s="29">
        <f>C18</f>
        <v>200</v>
      </c>
      <c r="O11" s="29">
        <f>E18+F18*D18</f>
        <v>17.5</v>
      </c>
      <c r="P11" s="29">
        <f t="shared" si="1"/>
        <v>225</v>
      </c>
      <c r="Q11" s="28">
        <f t="shared" si="7"/>
        <v>3937.5</v>
      </c>
      <c r="R11" s="26">
        <f t="shared" si="8"/>
        <v>8652.9727272727268</v>
      </c>
      <c r="S11" s="26">
        <f>G18</f>
        <v>0.3</v>
      </c>
      <c r="T11" s="26">
        <f t="shared" si="9"/>
        <v>11248.864545454544</v>
      </c>
      <c r="U11" s="27">
        <f t="shared" si="2"/>
        <v>0.24997476767676766</v>
      </c>
      <c r="V11" s="78">
        <f>E19+F19*D19</f>
        <v>11.25</v>
      </c>
      <c r="W11" s="78">
        <f t="shared" si="10"/>
        <v>2531.25</v>
      </c>
      <c r="X11" s="92">
        <f t="shared" si="11"/>
        <v>7246.7227272727268</v>
      </c>
      <c r="Y11" s="78">
        <f>G18</f>
        <v>0.3</v>
      </c>
      <c r="Z11" s="26">
        <f t="shared" si="12"/>
        <v>9420.739545454544</v>
      </c>
      <c r="AA11" s="78">
        <f t="shared" si="3"/>
        <v>0.20934976767676763</v>
      </c>
      <c r="AB11" s="30">
        <v>70</v>
      </c>
      <c r="AC11" s="31">
        <f t="shared" si="13"/>
        <v>0.42495710505050499</v>
      </c>
      <c r="AD11" s="31">
        <f t="shared" si="14"/>
        <v>0.35589460505050496</v>
      </c>
    </row>
    <row r="12" spans="1:30" ht="14.4" x14ac:dyDescent="0.3">
      <c r="A12" s="15">
        <v>1000</v>
      </c>
      <c r="B12" s="7" t="s">
        <v>10</v>
      </c>
      <c r="C12" s="22" t="s">
        <v>21</v>
      </c>
      <c r="D12" s="23">
        <v>75000</v>
      </c>
      <c r="E12" s="24">
        <v>0.05</v>
      </c>
      <c r="F12" s="25">
        <v>60</v>
      </c>
      <c r="G12" s="26">
        <f t="shared" si="4"/>
        <v>63</v>
      </c>
      <c r="H12" s="27">
        <f t="shared" si="5"/>
        <v>4725</v>
      </c>
      <c r="I12" s="27">
        <f>C26</f>
        <v>1.5999999999999999</v>
      </c>
      <c r="J12" s="89">
        <f t="shared" si="6"/>
        <v>7559.9999999999991</v>
      </c>
      <c r="K12" s="84">
        <f>E36</f>
        <v>1.1438383838383839E-3</v>
      </c>
      <c r="L12" s="28">
        <f t="shared" si="0"/>
        <v>85.787878787878796</v>
      </c>
      <c r="M12" s="29">
        <f>A18*B18</f>
        <v>128</v>
      </c>
      <c r="N12" s="29">
        <f>C18</f>
        <v>200</v>
      </c>
      <c r="O12" s="29">
        <f>E18+F18*D18</f>
        <v>17.5</v>
      </c>
      <c r="P12" s="29">
        <f t="shared" si="1"/>
        <v>375</v>
      </c>
      <c r="Q12" s="28">
        <f>O12*P12</f>
        <v>6562.5</v>
      </c>
      <c r="R12" s="26">
        <f t="shared" si="8"/>
        <v>14336.287878787878</v>
      </c>
      <c r="S12" s="26">
        <f>G18</f>
        <v>0.3</v>
      </c>
      <c r="T12" s="26">
        <f t="shared" si="9"/>
        <v>18637.17424242424</v>
      </c>
      <c r="U12" s="27">
        <f t="shared" si="2"/>
        <v>0.24849565656565653</v>
      </c>
      <c r="V12" s="78">
        <f>E19+F19*D19</f>
        <v>11.25</v>
      </c>
      <c r="W12" s="78">
        <f t="shared" si="10"/>
        <v>4218.75</v>
      </c>
      <c r="X12" s="92">
        <f t="shared" si="11"/>
        <v>11992.537878787878</v>
      </c>
      <c r="Y12" s="78">
        <f>G18</f>
        <v>0.3</v>
      </c>
      <c r="Z12" s="26">
        <f t="shared" si="12"/>
        <v>15590.299242424242</v>
      </c>
      <c r="AA12" s="78">
        <f t="shared" si="3"/>
        <v>0.20787065656565656</v>
      </c>
      <c r="AB12" s="30">
        <v>70</v>
      </c>
      <c r="AC12" s="31">
        <f t="shared" si="13"/>
        <v>0.4224426161616161</v>
      </c>
      <c r="AD12" s="31">
        <f t="shared" si="14"/>
        <v>0.35338011616161613</v>
      </c>
    </row>
    <row r="13" spans="1:30" ht="14.4" x14ac:dyDescent="0.3">
      <c r="A13" s="15">
        <v>1000</v>
      </c>
      <c r="B13" s="7" t="s">
        <v>11</v>
      </c>
      <c r="C13" s="22" t="s">
        <v>22</v>
      </c>
      <c r="D13" s="23">
        <v>125000</v>
      </c>
      <c r="E13" s="24">
        <v>0.03</v>
      </c>
      <c r="F13" s="25">
        <v>60</v>
      </c>
      <c r="G13" s="26">
        <f t="shared" si="4"/>
        <v>61.8</v>
      </c>
      <c r="H13" s="27">
        <f t="shared" si="5"/>
        <v>7725</v>
      </c>
      <c r="I13" s="27">
        <f>C26</f>
        <v>1.5999999999999999</v>
      </c>
      <c r="J13" s="89">
        <f t="shared" si="6"/>
        <v>12359.999999999998</v>
      </c>
      <c r="K13" s="84">
        <f>E36</f>
        <v>1.1438383838383839E-3</v>
      </c>
      <c r="L13" s="28">
        <f t="shared" si="0"/>
        <v>142.97979797979798</v>
      </c>
      <c r="M13" s="29">
        <f>A18*B18</f>
        <v>128</v>
      </c>
      <c r="N13" s="29">
        <f>C18</f>
        <v>200</v>
      </c>
      <c r="O13" s="29">
        <f>E18+F18*D18</f>
        <v>17.5</v>
      </c>
      <c r="P13" s="29">
        <f t="shared" si="1"/>
        <v>625</v>
      </c>
      <c r="Q13" s="28">
        <f t="shared" si="7"/>
        <v>10937.5</v>
      </c>
      <c r="R13" s="26">
        <f t="shared" si="8"/>
        <v>23568.479797979795</v>
      </c>
      <c r="S13" s="26">
        <f>G18</f>
        <v>0.3</v>
      </c>
      <c r="T13" s="26">
        <f t="shared" si="9"/>
        <v>30639.023737373733</v>
      </c>
      <c r="U13" s="27">
        <f t="shared" si="2"/>
        <v>0.24511218989898986</v>
      </c>
      <c r="V13" s="78">
        <f>E19+F19*D19</f>
        <v>11.25</v>
      </c>
      <c r="W13" s="78">
        <f t="shared" si="10"/>
        <v>7031.25</v>
      </c>
      <c r="X13" s="92">
        <f t="shared" si="11"/>
        <v>19662.229797979795</v>
      </c>
      <c r="Y13" s="78">
        <f>G18</f>
        <v>0.3</v>
      </c>
      <c r="Z13" s="26">
        <f t="shared" si="12"/>
        <v>25560.898737373733</v>
      </c>
      <c r="AA13" s="78">
        <f t="shared" si="3"/>
        <v>0.20448718989898987</v>
      </c>
      <c r="AB13" s="30">
        <v>65</v>
      </c>
      <c r="AC13" s="31">
        <f t="shared" si="13"/>
        <v>0.40443511333333326</v>
      </c>
      <c r="AD13" s="31">
        <f t="shared" si="14"/>
        <v>0.33740386333333328</v>
      </c>
    </row>
    <row r="14" spans="1:30" ht="15" thickBot="1" x14ac:dyDescent="0.35">
      <c r="A14" s="15">
        <v>1000</v>
      </c>
      <c r="B14" s="7" t="s">
        <v>12</v>
      </c>
      <c r="C14" s="22" t="s">
        <v>23</v>
      </c>
      <c r="D14" s="23">
        <v>200000</v>
      </c>
      <c r="E14" s="24">
        <v>0.03</v>
      </c>
      <c r="F14" s="25">
        <v>60</v>
      </c>
      <c r="G14" s="26">
        <f t="shared" si="4"/>
        <v>61.8</v>
      </c>
      <c r="H14" s="27">
        <f t="shared" si="5"/>
        <v>12360</v>
      </c>
      <c r="I14" s="27">
        <f>C26</f>
        <v>1.5999999999999999</v>
      </c>
      <c r="J14" s="89">
        <f t="shared" si="6"/>
        <v>19776</v>
      </c>
      <c r="K14" s="84">
        <f>E36</f>
        <v>1.1438383838383839E-3</v>
      </c>
      <c r="L14" s="28">
        <f t="shared" si="0"/>
        <v>228.76767676767679</v>
      </c>
      <c r="M14" s="29">
        <f>A18*B18</f>
        <v>128</v>
      </c>
      <c r="N14" s="29">
        <f>C18</f>
        <v>200</v>
      </c>
      <c r="O14" s="29">
        <f>E18+F18*D18</f>
        <v>17.5</v>
      </c>
      <c r="P14" s="29">
        <f t="shared" si="1"/>
        <v>1000</v>
      </c>
      <c r="Q14" s="28">
        <f t="shared" si="7"/>
        <v>17500</v>
      </c>
      <c r="R14" s="26">
        <f t="shared" si="8"/>
        <v>37632.767676767675</v>
      </c>
      <c r="S14" s="26">
        <f>G18</f>
        <v>0.3</v>
      </c>
      <c r="T14" s="26">
        <f t="shared" si="9"/>
        <v>48922.597979797974</v>
      </c>
      <c r="U14" s="27">
        <f t="shared" si="2"/>
        <v>0.24461298989898989</v>
      </c>
      <c r="V14" s="78">
        <f>E19+F19*D19</f>
        <v>11.25</v>
      </c>
      <c r="W14" s="78">
        <f t="shared" si="10"/>
        <v>11250</v>
      </c>
      <c r="X14" s="92">
        <f t="shared" si="11"/>
        <v>31382.767676767675</v>
      </c>
      <c r="Y14" s="78">
        <f>G18</f>
        <v>0.3</v>
      </c>
      <c r="Z14" s="26">
        <f t="shared" si="12"/>
        <v>40797.597979797974</v>
      </c>
      <c r="AA14" s="78">
        <f t="shared" si="3"/>
        <v>0.20398798989898986</v>
      </c>
      <c r="AB14" s="30">
        <v>60</v>
      </c>
      <c r="AC14" s="32">
        <f t="shared" si="13"/>
        <v>0.39138078383838382</v>
      </c>
      <c r="AD14" s="32">
        <f t="shared" si="14"/>
        <v>0.32638078383838376</v>
      </c>
    </row>
    <row r="15" spans="1:30" ht="14.4" thickBot="1" x14ac:dyDescent="0.35"/>
    <row r="16" spans="1:30" x14ac:dyDescent="0.3">
      <c r="A16" s="33" t="s">
        <v>27</v>
      </c>
      <c r="B16" s="34"/>
      <c r="C16" s="34"/>
      <c r="D16" s="34"/>
      <c r="E16" s="34"/>
      <c r="F16" s="34"/>
      <c r="G16" s="35"/>
      <c r="AC16" s="80"/>
    </row>
    <row r="17" spans="1:12" x14ac:dyDescent="0.3">
      <c r="A17" s="36" t="s">
        <v>28</v>
      </c>
      <c r="B17" s="37" t="s">
        <v>29</v>
      </c>
      <c r="C17" s="37" t="s">
        <v>30</v>
      </c>
      <c r="D17" s="37" t="s">
        <v>31</v>
      </c>
      <c r="E17" s="37" t="s">
        <v>32</v>
      </c>
      <c r="F17" s="37" t="s">
        <v>33</v>
      </c>
      <c r="G17" s="38" t="s">
        <v>34</v>
      </c>
      <c r="J17" s="39"/>
      <c r="K17" s="85"/>
      <c r="L17" s="14" t="s">
        <v>59</v>
      </c>
    </row>
    <row r="18" spans="1:12" ht="14.4" thickBot="1" x14ac:dyDescent="0.35">
      <c r="A18" s="40">
        <v>4</v>
      </c>
      <c r="B18" s="41">
        <v>32</v>
      </c>
      <c r="C18" s="41">
        <v>200</v>
      </c>
      <c r="D18" s="41">
        <v>0.5</v>
      </c>
      <c r="E18" s="41">
        <v>5</v>
      </c>
      <c r="F18" s="42">
        <v>25</v>
      </c>
      <c r="G18" s="43">
        <v>0.3</v>
      </c>
    </row>
    <row r="19" spans="1:12" ht="14.4" thickBot="1" x14ac:dyDescent="0.35">
      <c r="A19" s="40">
        <v>4</v>
      </c>
      <c r="B19" s="41">
        <v>32</v>
      </c>
      <c r="C19" s="41">
        <v>200</v>
      </c>
      <c r="D19" s="41">
        <v>0.25</v>
      </c>
      <c r="E19" s="41">
        <v>5</v>
      </c>
      <c r="F19" s="42">
        <v>25</v>
      </c>
      <c r="G19" s="43">
        <v>0.3</v>
      </c>
    </row>
    <row r="20" spans="1:12" ht="14.4" thickBot="1" x14ac:dyDescent="0.35">
      <c r="J20" s="44"/>
      <c r="K20" s="86"/>
      <c r="L20" s="14" t="s">
        <v>60</v>
      </c>
    </row>
    <row r="21" spans="1:12" x14ac:dyDescent="0.3">
      <c r="A21" s="45" t="s">
        <v>35</v>
      </c>
      <c r="B21" s="46"/>
      <c r="C21" s="46" t="s">
        <v>36</v>
      </c>
      <c r="D21" s="47" t="s">
        <v>37</v>
      </c>
    </row>
    <row r="22" spans="1:12" x14ac:dyDescent="0.3">
      <c r="A22" s="48" t="s">
        <v>40</v>
      </c>
      <c r="B22" s="49">
        <v>1.5</v>
      </c>
      <c r="C22" s="50">
        <v>96</v>
      </c>
      <c r="D22" s="51"/>
    </row>
    <row r="23" spans="1:12" x14ac:dyDescent="0.3">
      <c r="A23" s="48" t="s">
        <v>40</v>
      </c>
      <c r="B23" s="49">
        <v>4</v>
      </c>
      <c r="C23" s="50">
        <v>4</v>
      </c>
      <c r="D23" s="51"/>
    </row>
    <row r="24" spans="1:12" x14ac:dyDescent="0.3">
      <c r="A24" s="48" t="s">
        <v>40</v>
      </c>
      <c r="B24" s="49">
        <v>0</v>
      </c>
      <c r="C24" s="50"/>
      <c r="D24" s="51"/>
    </row>
    <row r="25" spans="1:12" ht="14.4" thickBot="1" x14ac:dyDescent="0.35">
      <c r="A25" s="48" t="s">
        <v>44</v>
      </c>
      <c r="B25" s="49">
        <v>0</v>
      </c>
      <c r="C25" s="50"/>
      <c r="D25" s="51"/>
    </row>
    <row r="26" spans="1:12" ht="14.4" thickBot="1" x14ac:dyDescent="0.35">
      <c r="A26" s="52" t="s">
        <v>45</v>
      </c>
      <c r="B26" s="53">
        <f>SUM(B22:B25)</f>
        <v>5.5</v>
      </c>
      <c r="C26" s="54">
        <f>(B22*C22/100)+(B23*C23/100)+(B24*C24/100)+(B25*C25/100)</f>
        <v>1.5999999999999999</v>
      </c>
      <c r="D26" s="55" t="s">
        <v>62</v>
      </c>
    </row>
    <row r="27" spans="1:12" ht="14.4" thickBot="1" x14ac:dyDescent="0.35"/>
    <row r="28" spans="1:12" x14ac:dyDescent="0.3">
      <c r="A28" s="56" t="s">
        <v>38</v>
      </c>
      <c r="B28" s="57"/>
      <c r="C28" s="58"/>
      <c r="D28" s="59" t="s">
        <v>39</v>
      </c>
      <c r="E28" s="60" t="s">
        <v>97</v>
      </c>
    </row>
    <row r="29" spans="1:12" x14ac:dyDescent="0.3">
      <c r="A29" s="61" t="s">
        <v>42</v>
      </c>
      <c r="B29" s="62">
        <v>1100</v>
      </c>
      <c r="C29" s="63"/>
      <c r="D29" s="64"/>
      <c r="E29" s="65"/>
    </row>
    <row r="30" spans="1:12" x14ac:dyDescent="0.3">
      <c r="A30" s="61" t="s">
        <v>86</v>
      </c>
      <c r="B30" s="62">
        <v>9</v>
      </c>
      <c r="C30" s="63" t="s">
        <v>41</v>
      </c>
      <c r="D30" s="66">
        <v>0.68100000000000005</v>
      </c>
      <c r="E30" s="65">
        <f>D30*B30</f>
        <v>6.1290000000000004</v>
      </c>
    </row>
    <row r="31" spans="1:12" x14ac:dyDescent="0.3">
      <c r="A31" s="61" t="s">
        <v>87</v>
      </c>
      <c r="B31" s="62">
        <f>B30*B29</f>
        <v>9900</v>
      </c>
      <c r="C31" s="67"/>
      <c r="D31" s="68"/>
      <c r="E31" s="65"/>
    </row>
    <row r="32" spans="1:12" x14ac:dyDescent="0.3">
      <c r="A32" s="61" t="s">
        <v>88</v>
      </c>
      <c r="B32" s="62">
        <v>9</v>
      </c>
      <c r="C32" s="63" t="s">
        <v>43</v>
      </c>
      <c r="D32" s="69">
        <v>0.13800000000000001</v>
      </c>
      <c r="E32" s="65">
        <f>D32*B32</f>
        <v>1.242</v>
      </c>
    </row>
    <row r="33" spans="1:5" x14ac:dyDescent="0.3">
      <c r="A33" s="61" t="s">
        <v>46</v>
      </c>
      <c r="B33" s="62">
        <f>B32*5</f>
        <v>45</v>
      </c>
      <c r="C33" s="63" t="s">
        <v>47</v>
      </c>
      <c r="D33" s="66">
        <v>4.3400000000000001E-2</v>
      </c>
      <c r="E33" s="65">
        <f>D33*B33</f>
        <v>1.9530000000000001</v>
      </c>
    </row>
    <row r="34" spans="1:5" ht="14.4" thickBot="1" x14ac:dyDescent="0.35">
      <c r="A34" s="70" t="s">
        <v>48</v>
      </c>
      <c r="B34" s="71" t="s">
        <v>49</v>
      </c>
      <c r="C34" s="72" t="s">
        <v>50</v>
      </c>
      <c r="D34" s="73">
        <v>2</v>
      </c>
      <c r="E34" s="74">
        <f>D34</f>
        <v>2</v>
      </c>
    </row>
    <row r="35" spans="1:5" ht="14.4" thickBot="1" x14ac:dyDescent="0.35">
      <c r="E35" s="75">
        <f>SUM(E29:E34)</f>
        <v>11.324</v>
      </c>
    </row>
    <row r="36" spans="1:5" ht="14.4" thickBot="1" x14ac:dyDescent="0.35">
      <c r="D36" s="76" t="s">
        <v>98</v>
      </c>
      <c r="E36" s="77">
        <f>E35/B31</f>
        <v>1.1438383838383839E-3</v>
      </c>
    </row>
  </sheetData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15141-7F71-4380-8B2F-95393D29E08A}">
  <dimension ref="A2:AD36"/>
  <sheetViews>
    <sheetView topLeftCell="M1" workbookViewId="0">
      <selection activeCell="Z4" sqref="Z4"/>
    </sheetView>
  </sheetViews>
  <sheetFormatPr defaultColWidth="9.109375" defaultRowHeight="13.8" x14ac:dyDescent="0.3"/>
  <cols>
    <col min="1" max="1" width="28.6640625" style="14" bestFit="1" customWidth="1"/>
    <col min="2" max="2" width="10.109375" style="14" bestFit="1" customWidth="1"/>
    <col min="3" max="3" width="21" style="14" bestFit="1" customWidth="1"/>
    <col min="4" max="4" width="12.44140625" style="14" bestFit="1" customWidth="1"/>
    <col min="5" max="5" width="21" style="14" bestFit="1" customWidth="1"/>
    <col min="6" max="6" width="14.88671875" style="14" bestFit="1" customWidth="1"/>
    <col min="7" max="7" width="23.5546875" style="14" bestFit="1" customWidth="1"/>
    <col min="8" max="8" width="18.6640625" style="14" customWidth="1"/>
    <col min="9" max="9" width="0.109375" style="14" customWidth="1"/>
    <col min="10" max="10" width="9.5546875" style="14" bestFit="1" customWidth="1"/>
    <col min="11" max="11" width="15.33203125" style="82" customWidth="1"/>
    <col min="12" max="12" width="17.5546875" style="14" bestFit="1" customWidth="1"/>
    <col min="13" max="13" width="19.33203125" style="14" customWidth="1"/>
    <col min="14" max="14" width="9.109375" style="14" customWidth="1"/>
    <col min="15" max="15" width="22.88671875" style="14" customWidth="1"/>
    <col min="16" max="16" width="11.88671875" style="14" customWidth="1"/>
    <col min="17" max="17" width="23.5546875" style="14" bestFit="1" customWidth="1"/>
    <col min="18" max="18" width="24.33203125" style="14" customWidth="1"/>
    <col min="19" max="19" width="11" style="14" customWidth="1"/>
    <col min="20" max="20" width="35.5546875" style="14" bestFit="1" customWidth="1"/>
    <col min="21" max="21" width="14.6640625" style="14" bestFit="1" customWidth="1"/>
    <col min="22" max="27" width="14.6640625" style="14" customWidth="1"/>
    <col min="28" max="28" width="16.5546875" style="14" bestFit="1" customWidth="1"/>
    <col min="29" max="29" width="17.44140625" style="14" bestFit="1" customWidth="1"/>
    <col min="30" max="30" width="11.88671875" style="14" bestFit="1" customWidth="1"/>
    <col min="31" max="16384" width="9.109375" style="14"/>
  </cols>
  <sheetData>
    <row r="2" spans="1:30" ht="14.4" thickBot="1" x14ac:dyDescent="0.35"/>
    <row r="3" spans="1:30" ht="74.25" customHeight="1" thickBot="1" x14ac:dyDescent="0.35">
      <c r="A3" s="15" t="s">
        <v>57</v>
      </c>
      <c r="B3" s="15" t="s">
        <v>24</v>
      </c>
      <c r="C3" s="15" t="s">
        <v>25</v>
      </c>
      <c r="D3" s="15" t="s">
        <v>26</v>
      </c>
      <c r="E3" s="15" t="s">
        <v>55</v>
      </c>
      <c r="F3" s="15" t="s">
        <v>58</v>
      </c>
      <c r="G3" s="16" t="s">
        <v>51</v>
      </c>
      <c r="H3" s="17" t="s">
        <v>52</v>
      </c>
      <c r="I3" s="17" t="s">
        <v>61</v>
      </c>
      <c r="J3" s="90" t="s">
        <v>53</v>
      </c>
      <c r="K3" s="83" t="s">
        <v>99</v>
      </c>
      <c r="L3" s="18" t="s">
        <v>96</v>
      </c>
      <c r="M3" s="19" t="s">
        <v>54</v>
      </c>
      <c r="N3" s="19" t="s">
        <v>100</v>
      </c>
      <c r="O3" s="19" t="s">
        <v>108</v>
      </c>
      <c r="P3" s="19" t="s">
        <v>101</v>
      </c>
      <c r="Q3" s="91" t="s">
        <v>116</v>
      </c>
      <c r="R3" s="87" t="s">
        <v>107</v>
      </c>
      <c r="S3" s="88" t="s">
        <v>102</v>
      </c>
      <c r="T3" s="87" t="s">
        <v>104</v>
      </c>
      <c r="U3" s="87" t="s">
        <v>105</v>
      </c>
      <c r="V3" s="19" t="s">
        <v>109</v>
      </c>
      <c r="W3" s="20" t="s">
        <v>110</v>
      </c>
      <c r="X3" s="20"/>
      <c r="Y3" s="20"/>
      <c r="Z3" s="20" t="s">
        <v>111</v>
      </c>
      <c r="AA3" s="20" t="s">
        <v>112</v>
      </c>
      <c r="AB3" s="20" t="s">
        <v>103</v>
      </c>
      <c r="AC3" s="79" t="s">
        <v>106</v>
      </c>
      <c r="AD3" s="21" t="s">
        <v>113</v>
      </c>
    </row>
    <row r="4" spans="1:30" ht="14.4" x14ac:dyDescent="0.3">
      <c r="A4" s="15">
        <v>1000</v>
      </c>
      <c r="B4" s="7" t="s">
        <v>2</v>
      </c>
      <c r="C4" s="22" t="s">
        <v>13</v>
      </c>
      <c r="D4" s="23">
        <v>2000</v>
      </c>
      <c r="E4" s="24">
        <v>0.1</v>
      </c>
      <c r="F4" s="25">
        <v>60</v>
      </c>
      <c r="G4" s="26">
        <f>F4+F4*E4</f>
        <v>66</v>
      </c>
      <c r="H4" s="27">
        <f>(G4*D4)/1000</f>
        <v>132</v>
      </c>
      <c r="I4" s="27">
        <f>C26</f>
        <v>2.04</v>
      </c>
      <c r="J4" s="89">
        <f>H4*I4</f>
        <v>269.28000000000003</v>
      </c>
      <c r="K4" s="84">
        <f>E36</f>
        <v>1.1438383838383839E-3</v>
      </c>
      <c r="L4" s="28">
        <f t="shared" ref="L4:L14" si="0">K4*D4</f>
        <v>2.2876767676767678</v>
      </c>
      <c r="M4" s="29">
        <f>A18*B18</f>
        <v>128</v>
      </c>
      <c r="N4" s="29">
        <f>C18</f>
        <v>200</v>
      </c>
      <c r="O4" s="29">
        <f>E18+F18*D18</f>
        <v>17.5</v>
      </c>
      <c r="P4" s="29">
        <f t="shared" ref="P4:P14" si="1">D4/N4</f>
        <v>10</v>
      </c>
      <c r="Q4" s="28">
        <f>O4*P4</f>
        <v>175</v>
      </c>
      <c r="R4" s="26">
        <f>Q4+L4+J4+M4</f>
        <v>574.56767676767686</v>
      </c>
      <c r="S4" s="26">
        <f>G18</f>
        <v>0.3</v>
      </c>
      <c r="T4" s="26">
        <f>R4+R4*S4</f>
        <v>746.93797979797989</v>
      </c>
      <c r="U4" s="27">
        <f t="shared" ref="U4:U14" si="2">T4/D4</f>
        <v>0.37346898989898997</v>
      </c>
      <c r="V4" s="78">
        <f>E19+F19*D19</f>
        <v>11.25</v>
      </c>
      <c r="W4" s="78">
        <f>V4*P4</f>
        <v>112.5</v>
      </c>
      <c r="X4" s="92">
        <f>W4+M4+L4+J4</f>
        <v>512.06767676767686</v>
      </c>
      <c r="Y4" s="78">
        <f>G18</f>
        <v>0.3</v>
      </c>
      <c r="Z4" s="26">
        <f>X4+X4*Y4/100</f>
        <v>513.60387979797986</v>
      </c>
      <c r="AA4" s="78">
        <f t="shared" ref="AA4:AA14" si="3">Z4/D4</f>
        <v>0.25680193989898992</v>
      </c>
      <c r="AB4" s="30">
        <v>180</v>
      </c>
      <c r="AC4" s="81">
        <f>U4*2+(U4*2*80/100)</f>
        <v>1.3444883636363638</v>
      </c>
      <c r="AD4" s="81">
        <f>AA4*2+(AA4*2*80/100)</f>
        <v>0.92448698363636372</v>
      </c>
    </row>
    <row r="5" spans="1:30" ht="14.4" x14ac:dyDescent="0.3">
      <c r="A5" s="15">
        <v>1000</v>
      </c>
      <c r="B5" s="7" t="s">
        <v>3</v>
      </c>
      <c r="C5" s="22" t="s">
        <v>14</v>
      </c>
      <c r="D5" s="23">
        <v>4000</v>
      </c>
      <c r="E5" s="24">
        <v>0.1</v>
      </c>
      <c r="F5" s="25">
        <v>60</v>
      </c>
      <c r="G5" s="26">
        <f t="shared" ref="G5:G14" si="4">F5+F5*E5</f>
        <v>66</v>
      </c>
      <c r="H5" s="27">
        <f t="shared" ref="H5:H14" si="5">(G5*D5)/1000</f>
        <v>264</v>
      </c>
      <c r="I5" s="27">
        <f>C26</f>
        <v>2.04</v>
      </c>
      <c r="J5" s="89">
        <f t="shared" ref="J5:J14" si="6">H5*I5</f>
        <v>538.56000000000006</v>
      </c>
      <c r="K5" s="84">
        <f>E36</f>
        <v>1.1438383838383839E-3</v>
      </c>
      <c r="L5" s="28">
        <f t="shared" si="0"/>
        <v>4.5753535353535355</v>
      </c>
      <c r="M5" s="29">
        <f>A18*B18</f>
        <v>128</v>
      </c>
      <c r="N5" s="29">
        <f>C18</f>
        <v>200</v>
      </c>
      <c r="O5" s="29">
        <f>E18+F18*D18</f>
        <v>17.5</v>
      </c>
      <c r="P5" s="29">
        <f t="shared" si="1"/>
        <v>20</v>
      </c>
      <c r="Q5" s="28">
        <f t="shared" ref="Q5:Q14" si="7">O5*P5</f>
        <v>350</v>
      </c>
      <c r="R5" s="26">
        <f t="shared" ref="R5:R14" si="8">Q5+L5+J5+M5</f>
        <v>1021.1353535353536</v>
      </c>
      <c r="S5" s="26">
        <f>G18</f>
        <v>0.3</v>
      </c>
      <c r="T5" s="26">
        <f t="shared" ref="T5:T14" si="9">R5+R5*S5</f>
        <v>1327.4759595959597</v>
      </c>
      <c r="U5" s="27">
        <f t="shared" si="2"/>
        <v>0.33186898989898994</v>
      </c>
      <c r="V5" s="78">
        <f>E19+F19*D19</f>
        <v>11.25</v>
      </c>
      <c r="W5" s="78">
        <f t="shared" ref="W5:W14" si="10">V5*P5</f>
        <v>225</v>
      </c>
      <c r="X5" s="92">
        <f t="shared" ref="X5:X14" si="11">W5+M5+L5+J5</f>
        <v>896.1353535353536</v>
      </c>
      <c r="Y5" s="78">
        <f>G18</f>
        <v>0.3</v>
      </c>
      <c r="Z5" s="26">
        <f t="shared" ref="Z5:Z14" si="12">X5+X5*Y5/100</f>
        <v>898.8237595959597</v>
      </c>
      <c r="AA5" s="78">
        <f t="shared" si="3"/>
        <v>0.22470593989898993</v>
      </c>
      <c r="AB5" s="30">
        <v>160</v>
      </c>
      <c r="AC5" s="31">
        <f>U5*2+(U5*2*80/100)</f>
        <v>1.1947283636363637</v>
      </c>
      <c r="AD5" s="31">
        <f>AA5*2+(AA5*2*80/100)</f>
        <v>0.8089413836363637</v>
      </c>
    </row>
    <row r="6" spans="1:30" ht="14.4" x14ac:dyDescent="0.3">
      <c r="A6" s="15">
        <v>1000</v>
      </c>
      <c r="B6" s="7" t="s">
        <v>4</v>
      </c>
      <c r="C6" s="22" t="s">
        <v>15</v>
      </c>
      <c r="D6" s="23">
        <v>7500</v>
      </c>
      <c r="E6" s="24">
        <v>7.0000000000000007E-2</v>
      </c>
      <c r="F6" s="25">
        <v>60</v>
      </c>
      <c r="G6" s="26">
        <f t="shared" si="4"/>
        <v>64.2</v>
      </c>
      <c r="H6" s="27">
        <f t="shared" si="5"/>
        <v>481.5</v>
      </c>
      <c r="I6" s="27">
        <f>C26</f>
        <v>2.04</v>
      </c>
      <c r="J6" s="89">
        <f t="shared" si="6"/>
        <v>982.26</v>
      </c>
      <c r="K6" s="84">
        <f>E36</f>
        <v>1.1438383838383839E-3</v>
      </c>
      <c r="L6" s="28">
        <f t="shared" si="0"/>
        <v>8.57878787878788</v>
      </c>
      <c r="M6" s="29">
        <f>A18*B18</f>
        <v>128</v>
      </c>
      <c r="N6" s="29">
        <f>C18</f>
        <v>200</v>
      </c>
      <c r="O6" s="29">
        <f>E18+F18*D18</f>
        <v>17.5</v>
      </c>
      <c r="P6" s="29">
        <f t="shared" si="1"/>
        <v>37.5</v>
      </c>
      <c r="Q6" s="28">
        <f t="shared" si="7"/>
        <v>656.25</v>
      </c>
      <c r="R6" s="26">
        <f t="shared" si="8"/>
        <v>1775.088787878788</v>
      </c>
      <c r="S6" s="26">
        <f>G18</f>
        <v>0.3</v>
      </c>
      <c r="T6" s="26">
        <f t="shared" si="9"/>
        <v>2307.6154242424245</v>
      </c>
      <c r="U6" s="27">
        <f t="shared" si="2"/>
        <v>0.30768205656565661</v>
      </c>
      <c r="V6" s="78">
        <f>E19+F19*D19</f>
        <v>11.25</v>
      </c>
      <c r="W6" s="78">
        <f t="shared" si="10"/>
        <v>421.875</v>
      </c>
      <c r="X6" s="92">
        <f t="shared" si="11"/>
        <v>1540.713787878788</v>
      </c>
      <c r="Y6" s="78">
        <f>G18</f>
        <v>0.3</v>
      </c>
      <c r="Z6" s="26">
        <f t="shared" si="12"/>
        <v>1545.3359292424243</v>
      </c>
      <c r="AA6" s="78">
        <f t="shared" si="3"/>
        <v>0.20604479056565658</v>
      </c>
      <c r="AB6" s="30">
        <v>140</v>
      </c>
      <c r="AC6" s="31">
        <f>U6*2+(U6*2*80/100)</f>
        <v>1.1076554036363637</v>
      </c>
      <c r="AD6" s="31">
        <f>AA6*2+(AA6*2*80/100)</f>
        <v>0.74176124603636362</v>
      </c>
    </row>
    <row r="7" spans="1:30" ht="14.4" x14ac:dyDescent="0.3">
      <c r="A7" s="15">
        <v>1000</v>
      </c>
      <c r="B7" s="7" t="s">
        <v>5</v>
      </c>
      <c r="C7" s="22" t="s">
        <v>16</v>
      </c>
      <c r="D7" s="23">
        <v>12500</v>
      </c>
      <c r="E7" s="24">
        <v>7.0000000000000007E-2</v>
      </c>
      <c r="F7" s="25">
        <v>60</v>
      </c>
      <c r="G7" s="26">
        <f t="shared" si="4"/>
        <v>64.2</v>
      </c>
      <c r="H7" s="27">
        <f t="shared" si="5"/>
        <v>802.5</v>
      </c>
      <c r="I7" s="27">
        <f>C26</f>
        <v>2.04</v>
      </c>
      <c r="J7" s="89">
        <f t="shared" si="6"/>
        <v>1637.1000000000001</v>
      </c>
      <c r="K7" s="84">
        <f>E36</f>
        <v>1.1438383838383839E-3</v>
      </c>
      <c r="L7" s="28">
        <f t="shared" si="0"/>
        <v>14.297979797979799</v>
      </c>
      <c r="M7" s="29">
        <f>A18*B18</f>
        <v>128</v>
      </c>
      <c r="N7" s="29">
        <f>C18</f>
        <v>200</v>
      </c>
      <c r="O7" s="29">
        <f>E18+F18*D18</f>
        <v>17.5</v>
      </c>
      <c r="P7" s="29">
        <f t="shared" si="1"/>
        <v>62.5</v>
      </c>
      <c r="Q7" s="28">
        <f t="shared" si="7"/>
        <v>1093.75</v>
      </c>
      <c r="R7" s="26">
        <f t="shared" si="8"/>
        <v>2873.14797979798</v>
      </c>
      <c r="S7" s="26">
        <f>G18</f>
        <v>0.3</v>
      </c>
      <c r="T7" s="26">
        <f t="shared" si="9"/>
        <v>3735.0923737373741</v>
      </c>
      <c r="U7" s="27">
        <f t="shared" si="2"/>
        <v>0.29880738989898992</v>
      </c>
      <c r="V7" s="78">
        <f>E19+F19*D19</f>
        <v>11.25</v>
      </c>
      <c r="W7" s="78">
        <f t="shared" si="10"/>
        <v>703.125</v>
      </c>
      <c r="X7" s="92">
        <f t="shared" si="11"/>
        <v>2482.52297979798</v>
      </c>
      <c r="Y7" s="78">
        <f>G18</f>
        <v>0.3</v>
      </c>
      <c r="Z7" s="26">
        <f t="shared" si="12"/>
        <v>2489.970548737374</v>
      </c>
      <c r="AA7" s="78">
        <f t="shared" si="3"/>
        <v>0.19919764389898992</v>
      </c>
      <c r="AB7" s="30">
        <v>85</v>
      </c>
      <c r="AC7" s="31">
        <f>U7+U7*AB7/100</f>
        <v>0.5527936713131314</v>
      </c>
      <c r="AD7" s="31">
        <f>AA7+AA7*AB7/100</f>
        <v>0.3685156412131313</v>
      </c>
    </row>
    <row r="8" spans="1:30" ht="14.4" x14ac:dyDescent="0.3">
      <c r="A8" s="15">
        <v>1000</v>
      </c>
      <c r="B8" s="7" t="s">
        <v>6</v>
      </c>
      <c r="C8" s="22" t="s">
        <v>17</v>
      </c>
      <c r="D8" s="23">
        <v>17500</v>
      </c>
      <c r="E8" s="24">
        <v>7.0000000000000007E-2</v>
      </c>
      <c r="F8" s="25">
        <v>60</v>
      </c>
      <c r="G8" s="26">
        <f t="shared" si="4"/>
        <v>64.2</v>
      </c>
      <c r="H8" s="27">
        <f t="shared" si="5"/>
        <v>1123.5</v>
      </c>
      <c r="I8" s="27">
        <f>C26</f>
        <v>2.04</v>
      </c>
      <c r="J8" s="89">
        <f t="shared" si="6"/>
        <v>2291.94</v>
      </c>
      <c r="K8" s="84">
        <f>E36</f>
        <v>1.1438383838383839E-3</v>
      </c>
      <c r="L8" s="28">
        <f t="shared" si="0"/>
        <v>20.017171717171717</v>
      </c>
      <c r="M8" s="29">
        <f>A18*B18</f>
        <v>128</v>
      </c>
      <c r="N8" s="29">
        <f>C18</f>
        <v>200</v>
      </c>
      <c r="O8" s="29">
        <f>E18+F18*D18</f>
        <v>17.5</v>
      </c>
      <c r="P8" s="29">
        <f t="shared" si="1"/>
        <v>87.5</v>
      </c>
      <c r="Q8" s="28">
        <f t="shared" si="7"/>
        <v>1531.25</v>
      </c>
      <c r="R8" s="26">
        <f t="shared" si="8"/>
        <v>3971.2071717171721</v>
      </c>
      <c r="S8" s="26">
        <f>G18</f>
        <v>0.3</v>
      </c>
      <c r="T8" s="26">
        <f t="shared" si="9"/>
        <v>5162.5693232323238</v>
      </c>
      <c r="U8" s="27">
        <f t="shared" si="2"/>
        <v>0.29500396132756135</v>
      </c>
      <c r="V8" s="78">
        <f>E19+F19*D19</f>
        <v>11.25</v>
      </c>
      <c r="W8" s="78">
        <f t="shared" si="10"/>
        <v>984.375</v>
      </c>
      <c r="X8" s="92">
        <f t="shared" si="11"/>
        <v>3424.3321717171721</v>
      </c>
      <c r="Y8" s="78">
        <f>G18</f>
        <v>0.3</v>
      </c>
      <c r="Z8" s="26">
        <f t="shared" si="12"/>
        <v>3434.6051682323236</v>
      </c>
      <c r="AA8" s="78">
        <f t="shared" si="3"/>
        <v>0.19626315247041851</v>
      </c>
      <c r="AB8" s="30">
        <v>80</v>
      </c>
      <c r="AC8" s="31">
        <f t="shared" ref="AC8:AC14" si="13">U8+U8*AB8/100</f>
        <v>0.53100713038961045</v>
      </c>
      <c r="AD8" s="31">
        <f t="shared" ref="AD8:AD14" si="14">AA8+AA8*AB8/100</f>
        <v>0.35327367444675328</v>
      </c>
    </row>
    <row r="9" spans="1:30" ht="14.4" x14ac:dyDescent="0.3">
      <c r="A9" s="15">
        <v>1000</v>
      </c>
      <c r="B9" s="7" t="s">
        <v>7</v>
      </c>
      <c r="C9" s="22" t="s">
        <v>18</v>
      </c>
      <c r="D9" s="23">
        <v>25000</v>
      </c>
      <c r="E9" s="24">
        <v>0.05</v>
      </c>
      <c r="F9" s="25">
        <v>60</v>
      </c>
      <c r="G9" s="26">
        <f t="shared" si="4"/>
        <v>63</v>
      </c>
      <c r="H9" s="27">
        <f t="shared" si="5"/>
        <v>1575</v>
      </c>
      <c r="I9" s="27">
        <f>C26</f>
        <v>2.04</v>
      </c>
      <c r="J9" s="89">
        <f t="shared" si="6"/>
        <v>3213</v>
      </c>
      <c r="K9" s="84">
        <f>E36</f>
        <v>1.1438383838383839E-3</v>
      </c>
      <c r="L9" s="28">
        <f t="shared" si="0"/>
        <v>28.595959595959599</v>
      </c>
      <c r="M9" s="29">
        <f>A18*B18</f>
        <v>128</v>
      </c>
      <c r="N9" s="29">
        <f>C18</f>
        <v>200</v>
      </c>
      <c r="O9" s="29">
        <f>E18+F18*D18</f>
        <v>17.5</v>
      </c>
      <c r="P9" s="29">
        <f t="shared" si="1"/>
        <v>125</v>
      </c>
      <c r="Q9" s="28">
        <f t="shared" si="7"/>
        <v>2187.5</v>
      </c>
      <c r="R9" s="26">
        <f t="shared" si="8"/>
        <v>5557.0959595959594</v>
      </c>
      <c r="S9" s="26">
        <f>G18</f>
        <v>0.3</v>
      </c>
      <c r="T9" s="26">
        <f t="shared" si="9"/>
        <v>7224.2247474747473</v>
      </c>
      <c r="U9" s="27">
        <f t="shared" si="2"/>
        <v>0.28896898989898989</v>
      </c>
      <c r="V9" s="78">
        <f>E19+F19*D19</f>
        <v>11.25</v>
      </c>
      <c r="W9" s="78">
        <f t="shared" si="10"/>
        <v>1406.25</v>
      </c>
      <c r="X9" s="92">
        <f t="shared" si="11"/>
        <v>4775.8459595959594</v>
      </c>
      <c r="Y9" s="78">
        <f>G18</f>
        <v>0.3</v>
      </c>
      <c r="Z9" s="26">
        <f t="shared" si="12"/>
        <v>4790.1734974747469</v>
      </c>
      <c r="AA9" s="78">
        <f t="shared" si="3"/>
        <v>0.19160693989898989</v>
      </c>
      <c r="AB9" s="30">
        <v>75</v>
      </c>
      <c r="AC9" s="31">
        <f t="shared" si="13"/>
        <v>0.50569573232323228</v>
      </c>
      <c r="AD9" s="31">
        <f t="shared" si="14"/>
        <v>0.33531214482323229</v>
      </c>
    </row>
    <row r="10" spans="1:30" ht="14.4" x14ac:dyDescent="0.3">
      <c r="A10" s="15">
        <v>1000</v>
      </c>
      <c r="B10" s="7" t="s">
        <v>8</v>
      </c>
      <c r="C10" s="22" t="s">
        <v>19</v>
      </c>
      <c r="D10" s="23">
        <v>35000</v>
      </c>
      <c r="E10" s="24">
        <v>0.05</v>
      </c>
      <c r="F10" s="25">
        <v>60</v>
      </c>
      <c r="G10" s="26">
        <f t="shared" si="4"/>
        <v>63</v>
      </c>
      <c r="H10" s="27">
        <f t="shared" si="5"/>
        <v>2205</v>
      </c>
      <c r="I10" s="27">
        <f>C26</f>
        <v>2.04</v>
      </c>
      <c r="J10" s="89">
        <f t="shared" si="6"/>
        <v>4498.2</v>
      </c>
      <c r="K10" s="84">
        <f>E36</f>
        <v>1.1438383838383839E-3</v>
      </c>
      <c r="L10" s="28">
        <f t="shared" si="0"/>
        <v>40.034343434343434</v>
      </c>
      <c r="M10" s="29">
        <f>A18*B18</f>
        <v>128</v>
      </c>
      <c r="N10" s="29">
        <f>C18</f>
        <v>200</v>
      </c>
      <c r="O10" s="29">
        <f>E18+F18*D18</f>
        <v>17.5</v>
      </c>
      <c r="P10" s="29">
        <f t="shared" si="1"/>
        <v>175</v>
      </c>
      <c r="Q10" s="28">
        <f t="shared" si="7"/>
        <v>3062.5</v>
      </c>
      <c r="R10" s="26">
        <f t="shared" si="8"/>
        <v>7728.7343434343438</v>
      </c>
      <c r="S10" s="26">
        <f>G18</f>
        <v>0.3</v>
      </c>
      <c r="T10" s="26">
        <f t="shared" si="9"/>
        <v>10047.354646464646</v>
      </c>
      <c r="U10" s="27">
        <f t="shared" si="2"/>
        <v>0.28706727561327561</v>
      </c>
      <c r="V10" s="78">
        <f>E19+F19*D19</f>
        <v>11.25</v>
      </c>
      <c r="W10" s="78">
        <f t="shared" si="10"/>
        <v>1968.75</v>
      </c>
      <c r="X10" s="92">
        <f t="shared" si="11"/>
        <v>6634.9843434343438</v>
      </c>
      <c r="Y10" s="78">
        <f>G18</f>
        <v>0.3</v>
      </c>
      <c r="Z10" s="26">
        <f t="shared" si="12"/>
        <v>6654.8892964646466</v>
      </c>
      <c r="AA10" s="78">
        <f t="shared" si="3"/>
        <v>0.19013969418470419</v>
      </c>
      <c r="AB10" s="30">
        <v>75</v>
      </c>
      <c r="AC10" s="31">
        <f t="shared" si="13"/>
        <v>0.50236773232323229</v>
      </c>
      <c r="AD10" s="31">
        <f t="shared" si="14"/>
        <v>0.33274446482323233</v>
      </c>
    </row>
    <row r="11" spans="1:30" ht="14.4" x14ac:dyDescent="0.3">
      <c r="A11" s="15">
        <v>1000</v>
      </c>
      <c r="B11" s="7" t="s">
        <v>9</v>
      </c>
      <c r="C11" s="22" t="s">
        <v>20</v>
      </c>
      <c r="D11" s="23">
        <v>45000</v>
      </c>
      <c r="E11" s="24">
        <v>0.05</v>
      </c>
      <c r="F11" s="25">
        <v>60</v>
      </c>
      <c r="G11" s="26">
        <f t="shared" si="4"/>
        <v>63</v>
      </c>
      <c r="H11" s="27">
        <f t="shared" si="5"/>
        <v>2835</v>
      </c>
      <c r="I11" s="27">
        <f>C26</f>
        <v>2.04</v>
      </c>
      <c r="J11" s="89">
        <f t="shared" si="6"/>
        <v>5783.4000000000005</v>
      </c>
      <c r="K11" s="84">
        <f>E36</f>
        <v>1.1438383838383839E-3</v>
      </c>
      <c r="L11" s="28">
        <f t="shared" si="0"/>
        <v>51.472727272727276</v>
      </c>
      <c r="M11" s="29">
        <f>A18*B18</f>
        <v>128</v>
      </c>
      <c r="N11" s="29">
        <f>C18</f>
        <v>200</v>
      </c>
      <c r="O11" s="29">
        <f>E18+F18*D18</f>
        <v>17.5</v>
      </c>
      <c r="P11" s="29">
        <f t="shared" si="1"/>
        <v>225</v>
      </c>
      <c r="Q11" s="28">
        <f t="shared" si="7"/>
        <v>3937.5</v>
      </c>
      <c r="R11" s="26">
        <f t="shared" si="8"/>
        <v>9900.3727272727283</v>
      </c>
      <c r="S11" s="26">
        <f>G18</f>
        <v>0.3</v>
      </c>
      <c r="T11" s="26">
        <f t="shared" si="9"/>
        <v>12870.484545454547</v>
      </c>
      <c r="U11" s="27">
        <f t="shared" si="2"/>
        <v>0.2860107676767677</v>
      </c>
      <c r="V11" s="78">
        <f>E19+F19*D19</f>
        <v>11.25</v>
      </c>
      <c r="W11" s="78">
        <f t="shared" si="10"/>
        <v>2531.25</v>
      </c>
      <c r="X11" s="92">
        <f t="shared" si="11"/>
        <v>8494.1227272727283</v>
      </c>
      <c r="Y11" s="78">
        <f>G18</f>
        <v>0.3</v>
      </c>
      <c r="Z11" s="26">
        <f t="shared" si="12"/>
        <v>8519.6050954545462</v>
      </c>
      <c r="AA11" s="78">
        <f t="shared" si="3"/>
        <v>0.1893245576767677</v>
      </c>
      <c r="AB11" s="30">
        <v>70</v>
      </c>
      <c r="AC11" s="31">
        <f t="shared" si="13"/>
        <v>0.48621830505050512</v>
      </c>
      <c r="AD11" s="31">
        <f t="shared" si="14"/>
        <v>0.32185174805050509</v>
      </c>
    </row>
    <row r="12" spans="1:30" ht="14.4" x14ac:dyDescent="0.3">
      <c r="A12" s="15">
        <v>1000</v>
      </c>
      <c r="B12" s="7" t="s">
        <v>10</v>
      </c>
      <c r="C12" s="22" t="s">
        <v>21</v>
      </c>
      <c r="D12" s="23">
        <v>75000</v>
      </c>
      <c r="E12" s="24">
        <v>0.05</v>
      </c>
      <c r="F12" s="25">
        <v>60</v>
      </c>
      <c r="G12" s="26">
        <f t="shared" si="4"/>
        <v>63</v>
      </c>
      <c r="H12" s="27">
        <f t="shared" si="5"/>
        <v>4725</v>
      </c>
      <c r="I12" s="27">
        <f>C26</f>
        <v>2.04</v>
      </c>
      <c r="J12" s="89">
        <f t="shared" si="6"/>
        <v>9639</v>
      </c>
      <c r="K12" s="84">
        <f>E36</f>
        <v>1.1438383838383839E-3</v>
      </c>
      <c r="L12" s="28">
        <f t="shared" si="0"/>
        <v>85.787878787878796</v>
      </c>
      <c r="M12" s="29">
        <f>A18*B18</f>
        <v>128</v>
      </c>
      <c r="N12" s="29">
        <f>C18</f>
        <v>200</v>
      </c>
      <c r="O12" s="29">
        <f>E18+F18*D18</f>
        <v>17.5</v>
      </c>
      <c r="P12" s="29">
        <f t="shared" si="1"/>
        <v>375</v>
      </c>
      <c r="Q12" s="28">
        <f>O12*P12</f>
        <v>6562.5</v>
      </c>
      <c r="R12" s="26">
        <f t="shared" si="8"/>
        <v>16415.28787878788</v>
      </c>
      <c r="S12" s="26">
        <f>G18</f>
        <v>0.3</v>
      </c>
      <c r="T12" s="26">
        <f t="shared" si="9"/>
        <v>21339.874242424245</v>
      </c>
      <c r="U12" s="27">
        <f t="shared" si="2"/>
        <v>0.2845316565656566</v>
      </c>
      <c r="V12" s="78">
        <f>E19+F19*D19</f>
        <v>11.25</v>
      </c>
      <c r="W12" s="78">
        <f t="shared" si="10"/>
        <v>4218.75</v>
      </c>
      <c r="X12" s="92">
        <f t="shared" si="11"/>
        <v>14071.53787878788</v>
      </c>
      <c r="Y12" s="78">
        <f>G18</f>
        <v>0.3</v>
      </c>
      <c r="Z12" s="26">
        <f t="shared" si="12"/>
        <v>14113.752492424244</v>
      </c>
      <c r="AA12" s="78">
        <f t="shared" si="3"/>
        <v>0.1881833665656566</v>
      </c>
      <c r="AB12" s="30">
        <v>70</v>
      </c>
      <c r="AC12" s="31">
        <f t="shared" si="13"/>
        <v>0.48370381616161617</v>
      </c>
      <c r="AD12" s="31">
        <f t="shared" si="14"/>
        <v>0.3199117231616162</v>
      </c>
    </row>
    <row r="13" spans="1:30" ht="14.4" x14ac:dyDescent="0.3">
      <c r="A13" s="15">
        <v>1000</v>
      </c>
      <c r="B13" s="7" t="s">
        <v>11</v>
      </c>
      <c r="C13" s="22" t="s">
        <v>22</v>
      </c>
      <c r="D13" s="23">
        <v>125000</v>
      </c>
      <c r="E13" s="24">
        <v>0.03</v>
      </c>
      <c r="F13" s="25">
        <v>60</v>
      </c>
      <c r="G13" s="26">
        <f t="shared" si="4"/>
        <v>61.8</v>
      </c>
      <c r="H13" s="27">
        <f t="shared" si="5"/>
        <v>7725</v>
      </c>
      <c r="I13" s="27">
        <f>C26</f>
        <v>2.04</v>
      </c>
      <c r="J13" s="89">
        <f t="shared" si="6"/>
        <v>15759</v>
      </c>
      <c r="K13" s="84">
        <f>E36</f>
        <v>1.1438383838383839E-3</v>
      </c>
      <c r="L13" s="28">
        <f t="shared" si="0"/>
        <v>142.97979797979798</v>
      </c>
      <c r="M13" s="29">
        <f>A18*B18</f>
        <v>128</v>
      </c>
      <c r="N13" s="29">
        <f>C18</f>
        <v>200</v>
      </c>
      <c r="O13" s="29">
        <f>E18+F18*D18</f>
        <v>17.5</v>
      </c>
      <c r="P13" s="29">
        <f t="shared" si="1"/>
        <v>625</v>
      </c>
      <c r="Q13" s="28">
        <f t="shared" si="7"/>
        <v>10937.5</v>
      </c>
      <c r="R13" s="26">
        <f t="shared" si="8"/>
        <v>26967.479797979799</v>
      </c>
      <c r="S13" s="26">
        <f>G18</f>
        <v>0.3</v>
      </c>
      <c r="T13" s="26">
        <f t="shared" si="9"/>
        <v>35057.723737373737</v>
      </c>
      <c r="U13" s="27">
        <f t="shared" si="2"/>
        <v>0.2804617898989899</v>
      </c>
      <c r="V13" s="78">
        <f>E19+F19*D19</f>
        <v>11.25</v>
      </c>
      <c r="W13" s="78">
        <f t="shared" si="10"/>
        <v>7031.25</v>
      </c>
      <c r="X13" s="92">
        <f t="shared" si="11"/>
        <v>23061.229797979799</v>
      </c>
      <c r="Y13" s="78">
        <f>G18</f>
        <v>0.3</v>
      </c>
      <c r="Z13" s="26">
        <f t="shared" si="12"/>
        <v>23130.413487373738</v>
      </c>
      <c r="AA13" s="78">
        <f t="shared" si="3"/>
        <v>0.1850433078989899</v>
      </c>
      <c r="AB13" s="30">
        <v>65</v>
      </c>
      <c r="AC13" s="31">
        <f t="shared" si="13"/>
        <v>0.46276195333333336</v>
      </c>
      <c r="AD13" s="31">
        <f t="shared" si="14"/>
        <v>0.30532145803333333</v>
      </c>
    </row>
    <row r="14" spans="1:30" ht="15" thickBot="1" x14ac:dyDescent="0.35">
      <c r="A14" s="15">
        <v>1000</v>
      </c>
      <c r="B14" s="7" t="s">
        <v>12</v>
      </c>
      <c r="C14" s="22" t="s">
        <v>23</v>
      </c>
      <c r="D14" s="23">
        <v>200000</v>
      </c>
      <c r="E14" s="24">
        <v>0.03</v>
      </c>
      <c r="F14" s="25">
        <v>60</v>
      </c>
      <c r="G14" s="26">
        <f t="shared" si="4"/>
        <v>61.8</v>
      </c>
      <c r="H14" s="27">
        <f t="shared" si="5"/>
        <v>12360</v>
      </c>
      <c r="I14" s="27">
        <f>C26</f>
        <v>2.04</v>
      </c>
      <c r="J14" s="89">
        <f t="shared" si="6"/>
        <v>25214.400000000001</v>
      </c>
      <c r="K14" s="84">
        <f>E36</f>
        <v>1.1438383838383839E-3</v>
      </c>
      <c r="L14" s="28">
        <f t="shared" si="0"/>
        <v>228.76767676767679</v>
      </c>
      <c r="M14" s="29">
        <f>A18*B18</f>
        <v>128</v>
      </c>
      <c r="N14" s="29">
        <f>C18</f>
        <v>200</v>
      </c>
      <c r="O14" s="29">
        <f>E18+F18*D18</f>
        <v>17.5</v>
      </c>
      <c r="P14" s="29">
        <f t="shared" si="1"/>
        <v>1000</v>
      </c>
      <c r="Q14" s="28">
        <f t="shared" si="7"/>
        <v>17500</v>
      </c>
      <c r="R14" s="26">
        <f t="shared" si="8"/>
        <v>43071.167676767684</v>
      </c>
      <c r="S14" s="26">
        <f>G18</f>
        <v>0.3</v>
      </c>
      <c r="T14" s="26">
        <f t="shared" si="9"/>
        <v>55992.517979797987</v>
      </c>
      <c r="U14" s="27">
        <f t="shared" si="2"/>
        <v>0.27996258989898992</v>
      </c>
      <c r="V14" s="78">
        <f>E19+F19*D19</f>
        <v>11.25</v>
      </c>
      <c r="W14" s="78">
        <f t="shared" si="10"/>
        <v>11250</v>
      </c>
      <c r="X14" s="92">
        <f t="shared" si="11"/>
        <v>36821.167676767676</v>
      </c>
      <c r="Y14" s="78">
        <f>G18</f>
        <v>0.3</v>
      </c>
      <c r="Z14" s="26">
        <f t="shared" si="12"/>
        <v>36931.63117979798</v>
      </c>
      <c r="AA14" s="78">
        <f t="shared" si="3"/>
        <v>0.1846581558989899</v>
      </c>
      <c r="AB14" s="30">
        <v>60</v>
      </c>
      <c r="AC14" s="32">
        <f t="shared" si="13"/>
        <v>0.44794014383838388</v>
      </c>
      <c r="AD14" s="32">
        <f t="shared" si="14"/>
        <v>0.29545304943838385</v>
      </c>
    </row>
    <row r="15" spans="1:30" ht="14.4" thickBot="1" x14ac:dyDescent="0.35"/>
    <row r="16" spans="1:30" x14ac:dyDescent="0.3">
      <c r="A16" s="33" t="s">
        <v>27</v>
      </c>
      <c r="B16" s="34"/>
      <c r="C16" s="34"/>
      <c r="D16" s="34"/>
      <c r="E16" s="34"/>
      <c r="F16" s="34"/>
      <c r="G16" s="35"/>
      <c r="AC16" s="80"/>
    </row>
    <row r="17" spans="1:12" x14ac:dyDescent="0.3">
      <c r="A17" s="36" t="s">
        <v>28</v>
      </c>
      <c r="B17" s="37" t="s">
        <v>29</v>
      </c>
      <c r="C17" s="37" t="s">
        <v>30</v>
      </c>
      <c r="D17" s="37" t="s">
        <v>31</v>
      </c>
      <c r="E17" s="37" t="s">
        <v>32</v>
      </c>
      <c r="F17" s="37" t="s">
        <v>33</v>
      </c>
      <c r="G17" s="38" t="s">
        <v>34</v>
      </c>
      <c r="J17" s="39"/>
      <c r="K17" s="85"/>
      <c r="L17" s="14" t="s">
        <v>59</v>
      </c>
    </row>
    <row r="18" spans="1:12" ht="14.4" thickBot="1" x14ac:dyDescent="0.35">
      <c r="A18" s="40">
        <v>4</v>
      </c>
      <c r="B18" s="41">
        <v>32</v>
      </c>
      <c r="C18" s="41">
        <v>200</v>
      </c>
      <c r="D18" s="41">
        <v>0.5</v>
      </c>
      <c r="E18" s="41">
        <v>5</v>
      </c>
      <c r="F18" s="42">
        <v>25</v>
      </c>
      <c r="G18" s="43">
        <v>0.3</v>
      </c>
    </row>
    <row r="19" spans="1:12" ht="14.4" thickBot="1" x14ac:dyDescent="0.35">
      <c r="A19" s="40">
        <v>4</v>
      </c>
      <c r="B19" s="41">
        <v>32</v>
      </c>
      <c r="C19" s="41">
        <v>200</v>
      </c>
      <c r="D19" s="41">
        <v>0.25</v>
      </c>
      <c r="E19" s="41">
        <v>5</v>
      </c>
      <c r="F19" s="42">
        <v>25</v>
      </c>
      <c r="G19" s="43">
        <v>0.3</v>
      </c>
    </row>
    <row r="20" spans="1:12" ht="14.4" thickBot="1" x14ac:dyDescent="0.35">
      <c r="J20" s="44"/>
      <c r="K20" s="86"/>
      <c r="L20" s="14" t="s">
        <v>60</v>
      </c>
    </row>
    <row r="21" spans="1:12" x14ac:dyDescent="0.3">
      <c r="A21" s="45" t="s">
        <v>35</v>
      </c>
      <c r="B21" s="46"/>
      <c r="C21" s="46" t="s">
        <v>36</v>
      </c>
      <c r="D21" s="47" t="s">
        <v>37</v>
      </c>
    </row>
    <row r="22" spans="1:12" x14ac:dyDescent="0.3">
      <c r="A22" s="48" t="s">
        <v>40</v>
      </c>
      <c r="B22" s="49">
        <v>1.5</v>
      </c>
      <c r="C22" s="50">
        <v>96</v>
      </c>
      <c r="D22" s="51"/>
    </row>
    <row r="23" spans="1:12" x14ac:dyDescent="0.3">
      <c r="A23" s="48" t="s">
        <v>40</v>
      </c>
      <c r="B23" s="49">
        <v>15</v>
      </c>
      <c r="C23" s="50">
        <v>4</v>
      </c>
      <c r="D23" s="51"/>
    </row>
    <row r="24" spans="1:12" x14ac:dyDescent="0.3">
      <c r="A24" s="48" t="s">
        <v>40</v>
      </c>
      <c r="B24" s="49">
        <v>0</v>
      </c>
      <c r="C24" s="50"/>
      <c r="D24" s="51"/>
    </row>
    <row r="25" spans="1:12" ht="14.4" thickBot="1" x14ac:dyDescent="0.35">
      <c r="A25" s="48" t="s">
        <v>44</v>
      </c>
      <c r="B25" s="49">
        <v>0</v>
      </c>
      <c r="C25" s="50"/>
      <c r="D25" s="51"/>
    </row>
    <row r="26" spans="1:12" ht="14.4" thickBot="1" x14ac:dyDescent="0.35">
      <c r="A26" s="52" t="s">
        <v>45</v>
      </c>
      <c r="B26" s="53">
        <f>SUM(B22:B25)</f>
        <v>16.5</v>
      </c>
      <c r="C26" s="54">
        <f>(B22*C22/100)+(B23*C23/100)+(B24*C24/100)+(B25*C25/100)</f>
        <v>2.04</v>
      </c>
      <c r="D26" s="55" t="s">
        <v>62</v>
      </c>
    </row>
    <row r="27" spans="1:12" ht="14.4" thickBot="1" x14ac:dyDescent="0.35"/>
    <row r="28" spans="1:12" x14ac:dyDescent="0.3">
      <c r="A28" s="56" t="s">
        <v>38</v>
      </c>
      <c r="B28" s="57"/>
      <c r="C28" s="58"/>
      <c r="D28" s="59" t="s">
        <v>39</v>
      </c>
      <c r="E28" s="60" t="s">
        <v>97</v>
      </c>
    </row>
    <row r="29" spans="1:12" x14ac:dyDescent="0.3">
      <c r="A29" s="61" t="s">
        <v>42</v>
      </c>
      <c r="B29" s="62">
        <v>1100</v>
      </c>
      <c r="C29" s="63"/>
      <c r="D29" s="64"/>
      <c r="E29" s="65"/>
    </row>
    <row r="30" spans="1:12" x14ac:dyDescent="0.3">
      <c r="A30" s="61" t="s">
        <v>86</v>
      </c>
      <c r="B30" s="62">
        <v>9</v>
      </c>
      <c r="C30" s="63" t="s">
        <v>41</v>
      </c>
      <c r="D30" s="66">
        <v>0.68100000000000005</v>
      </c>
      <c r="E30" s="65">
        <f>D30*B30</f>
        <v>6.1290000000000004</v>
      </c>
    </row>
    <row r="31" spans="1:12" x14ac:dyDescent="0.3">
      <c r="A31" s="61" t="s">
        <v>87</v>
      </c>
      <c r="B31" s="62">
        <f>B30*B29</f>
        <v>9900</v>
      </c>
      <c r="C31" s="67"/>
      <c r="D31" s="68"/>
      <c r="E31" s="65"/>
    </row>
    <row r="32" spans="1:12" x14ac:dyDescent="0.3">
      <c r="A32" s="61" t="s">
        <v>88</v>
      </c>
      <c r="B32" s="62">
        <v>9</v>
      </c>
      <c r="C32" s="63" t="s">
        <v>43</v>
      </c>
      <c r="D32" s="69">
        <v>0.13800000000000001</v>
      </c>
      <c r="E32" s="65">
        <f>D32*B32</f>
        <v>1.242</v>
      </c>
    </row>
    <row r="33" spans="1:5" x14ac:dyDescent="0.3">
      <c r="A33" s="61" t="s">
        <v>46</v>
      </c>
      <c r="B33" s="62">
        <f>B32*5</f>
        <v>45</v>
      </c>
      <c r="C33" s="63" t="s">
        <v>47</v>
      </c>
      <c r="D33" s="66">
        <v>4.3400000000000001E-2</v>
      </c>
      <c r="E33" s="65">
        <f>D33*B33</f>
        <v>1.9530000000000001</v>
      </c>
    </row>
    <row r="34" spans="1:5" ht="14.4" thickBot="1" x14ac:dyDescent="0.35">
      <c r="A34" s="70" t="s">
        <v>48</v>
      </c>
      <c r="B34" s="71" t="s">
        <v>49</v>
      </c>
      <c r="C34" s="72" t="s">
        <v>50</v>
      </c>
      <c r="D34" s="73">
        <v>2</v>
      </c>
      <c r="E34" s="74">
        <f>D34</f>
        <v>2</v>
      </c>
    </row>
    <row r="35" spans="1:5" ht="14.4" thickBot="1" x14ac:dyDescent="0.35">
      <c r="E35" s="75">
        <f>SUM(E29:E34)</f>
        <v>11.324</v>
      </c>
    </row>
    <row r="36" spans="1:5" ht="14.4" thickBot="1" x14ac:dyDescent="0.35">
      <c r="D36" s="76" t="s">
        <v>98</v>
      </c>
      <c r="E36" s="77">
        <f>E35/B31</f>
        <v>1.1438383838383839E-3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45</vt:i4>
      </vt:variant>
      <vt:variant>
        <vt:lpstr>Intervalli denominati</vt:lpstr>
      </vt:variant>
      <vt:variant>
        <vt:i4>1</vt:i4>
      </vt:variant>
    </vt:vector>
  </HeadingPairs>
  <TitlesOfParts>
    <vt:vector size="46" baseType="lpstr">
      <vt:lpstr>CAP_PESI_LOTTI</vt:lpstr>
      <vt:lpstr>30ML PP NBN</vt:lpstr>
      <vt:lpstr>30ML PP COL </vt:lpstr>
      <vt:lpstr>30ML PE NBN</vt:lpstr>
      <vt:lpstr>30ML PE COL</vt:lpstr>
      <vt:lpstr>50ML PP NBN def</vt:lpstr>
      <vt:lpstr>50ML PP COL</vt:lpstr>
      <vt:lpstr>50ML PE NBN</vt:lpstr>
      <vt:lpstr>50ML PE COL</vt:lpstr>
      <vt:lpstr>75ML PP NBN</vt:lpstr>
      <vt:lpstr>75ML PP COL</vt:lpstr>
      <vt:lpstr>75ML PE NBN</vt:lpstr>
      <vt:lpstr>75ML PE COL</vt:lpstr>
      <vt:lpstr>100ML PP NBN</vt:lpstr>
      <vt:lpstr>100ML PP COL</vt:lpstr>
      <vt:lpstr>100ML PE NBN</vt:lpstr>
      <vt:lpstr>100ML PE COL</vt:lpstr>
      <vt:lpstr>125ML PP NBN</vt:lpstr>
      <vt:lpstr>125ML PP COL</vt:lpstr>
      <vt:lpstr>125ML PE NBN</vt:lpstr>
      <vt:lpstr>125ML PE COL</vt:lpstr>
      <vt:lpstr>150ML PP NBN</vt:lpstr>
      <vt:lpstr>150ML PP COL</vt:lpstr>
      <vt:lpstr>150ML PE NBN</vt:lpstr>
      <vt:lpstr>150ML PE COL</vt:lpstr>
      <vt:lpstr>200ML PP NBN</vt:lpstr>
      <vt:lpstr>200ML PP COL</vt:lpstr>
      <vt:lpstr>200ML PE NBN</vt:lpstr>
      <vt:lpstr>200ML PE COL</vt:lpstr>
      <vt:lpstr>250ML PP NBN</vt:lpstr>
      <vt:lpstr>250ML PP COL</vt:lpstr>
      <vt:lpstr>250ML PE NBN</vt:lpstr>
      <vt:lpstr>250ML PE COL</vt:lpstr>
      <vt:lpstr>300 to 400ML PP NBN</vt:lpstr>
      <vt:lpstr>300 to 400ML PP COL</vt:lpstr>
      <vt:lpstr>300 to 400ML PE NBN</vt:lpstr>
      <vt:lpstr>300 to 400ML PE COL</vt:lpstr>
      <vt:lpstr>500ML PP NBN</vt:lpstr>
      <vt:lpstr>500ML PP COL</vt:lpstr>
      <vt:lpstr>500ML PE NBN</vt:lpstr>
      <vt:lpstr>500ML PE COL</vt:lpstr>
      <vt:lpstr>1000ML PP COL</vt:lpstr>
      <vt:lpstr>1000ML PP NBN</vt:lpstr>
      <vt:lpstr>1000ML PE NBN</vt:lpstr>
      <vt:lpstr>1000ML PE COL</vt:lpstr>
      <vt:lpstr>'30ML PP NBN'!Area_stampa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Rosi</dc:creator>
  <cp:lastModifiedBy>Federico Rosi</cp:lastModifiedBy>
  <cp:lastPrinted>2025-06-29T16:27:46Z</cp:lastPrinted>
  <dcterms:created xsi:type="dcterms:W3CDTF">2025-06-29T08:55:32Z</dcterms:created>
  <dcterms:modified xsi:type="dcterms:W3CDTF">2026-08-03T12:32:47Z</dcterms:modified>
</cp:coreProperties>
</file>